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6cba0ed626491ac/Документы/GitHub/DataAnalytics_DataLovesAcademy/modul_4_Statistics/"/>
    </mc:Choice>
  </mc:AlternateContent>
  <xr:revisionPtr revIDLastSave="0" documentId="11_43A116C4FAEA044C7954D64AE98D1FBEE608BA24" xr6:coauthVersionLast="47" xr6:coauthVersionMax="47" xr10:uidLastSave="{00000000-0000-0000-0000-000000000000}"/>
  <bookViews>
    <workbookView xWindow="-120" yWindow="-120" windowWidth="29040" windowHeight="15720" activeTab="2" xr2:uid="{00000000-000D-0000-FFFF-FFFF00000000}"/>
  </bookViews>
  <sheets>
    <sheet name="Опис даних" sheetId="1" r:id="rId1"/>
    <sheet name="Опис колонок даних" sheetId="2" r:id="rId2"/>
    <sheet name="Завдання" sheetId="3" r:id="rId3"/>
    <sheet name="Сирі дані" sheetId="4" r:id="rId4"/>
    <sheet name="Statistic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wEMODOaQFNQVzjleftV9xNhZd1s7//Z2IS8Tl6NA2mI="/>
    </ext>
  </extLst>
</workbook>
</file>

<file path=xl/calcChain.xml><?xml version="1.0" encoding="utf-8"?>
<calcChain xmlns="http://schemas.openxmlformats.org/spreadsheetml/2006/main">
  <c r="B87" i="5" l="1"/>
  <c r="B86" i="5"/>
  <c r="B85" i="5"/>
  <c r="B84" i="5"/>
  <c r="B83" i="5"/>
  <c r="B82" i="5"/>
  <c r="B81" i="5"/>
  <c r="B80" i="5"/>
  <c r="B79" i="5"/>
  <c r="B78" i="5"/>
  <c r="B77" i="5"/>
  <c r="B70" i="5"/>
  <c r="C11" i="5"/>
  <c r="B11" i="5"/>
  <c r="C10" i="5"/>
  <c r="B10" i="5"/>
  <c r="C9" i="5"/>
  <c r="B9" i="5"/>
  <c r="C8" i="5"/>
  <c r="B8" i="5"/>
  <c r="C7" i="5"/>
  <c r="B7" i="5"/>
  <c r="C6" i="5"/>
  <c r="B6" i="5"/>
  <c r="C5" i="5"/>
  <c r="B5" i="5"/>
  <c r="C4" i="5"/>
  <c r="B4" i="5"/>
</calcChain>
</file>

<file path=xl/sharedStrings.xml><?xml version="1.0" encoding="utf-8"?>
<sst xmlns="http://schemas.openxmlformats.org/spreadsheetml/2006/main" count="2555" uniqueCount="217">
  <si>
    <t xml:space="preserve">У цьому домашньому завданні ми будемо працювати з набором даних, який об’єднує показники щастя та економічної стабільності у 148 країнах за період з 2015 по 2023 рік. Цей датасет створено на основі Індексу світового щастя (World Happiness Index, WHI) та макроекономічних показників, таких як ВВП і інфляція.
Дані розміщено на аркуші "Сирі дані", опис колонок даних - на аркуші "Опис колонок даних".
Незаповнені клітинки містять відсутні дані для перетину цього рядочку і колонки.
Мета використання набору — дослідити, як економічні умови впливають на добробут і щастя людей в різних регіонах світу.
А наша з вами додаткова мета — попрактикуватись із статистичним аналізом даних.
І для цього ми будемо виконувати завдання на аркуші "Завдання".
</t>
  </si>
  <si>
    <t>Назва змінної</t>
  </si>
  <si>
    <t>Опис</t>
  </si>
  <si>
    <t>Country</t>
  </si>
  <si>
    <t>Назва країни, в якій були зафіксовані дані.</t>
  </si>
  <si>
    <t>Continent/Region</t>
  </si>
  <si>
    <t>Континент або регіон, у якому розташована країна.</t>
  </si>
  <si>
    <t>Year</t>
  </si>
  <si>
    <t>Рік, у якому були зібрані дані.</t>
  </si>
  <si>
    <t>Happiness Score</t>
  </si>
  <si>
    <t>Індекс щастя за World Happiness Report: чим вище значення, тим вищий рівень щастя.</t>
  </si>
  <si>
    <t>GDP per Capita</t>
  </si>
  <si>
    <t>Нормалізований валовий внутрішній продукт (ВВП) на душу населення.</t>
  </si>
  <si>
    <t>Headline Consumer Price Inflation</t>
  </si>
  <si>
    <t>Загальний рівень інфляції на основі індексу споживчих цін (CPI).</t>
  </si>
  <si>
    <t>Energy Consumer Price Inflation</t>
  </si>
  <si>
    <t>Рівень інфляції на енергетичні товари згідно з індексом споживчих цін.</t>
  </si>
  <si>
    <t>Food Consumer Price Inflation</t>
  </si>
  <si>
    <t>Рівень інфляції на продукти харчування згідно з індексом споживчих цін.</t>
  </si>
  <si>
    <t>Official Core Consumer Price Inflation</t>
  </si>
  <si>
    <t>Базовий рівень інфляції без урахування енергії та продуктів харчування.</t>
  </si>
  <si>
    <t>Producer Price Inflation</t>
  </si>
  <si>
    <t>Рівень інфляції на основі індексу цін виробників (PPI).</t>
  </si>
  <si>
    <t>GDP deflator Index growth rate</t>
  </si>
  <si>
    <t>Темп зростання дефлятора ВВП — показника загального рівня цін в економіці.</t>
  </si>
  <si>
    <t>Social support</t>
  </si>
  <si>
    <t>Рівень соціальної підтримки, яку отримують громадяни від держави та сім’ї.</t>
  </si>
  <si>
    <t>Healthy life expectancy at birth</t>
  </si>
  <si>
    <t>Очікувана нормалізована тривалість здорового життя при народженні.</t>
  </si>
  <si>
    <t>Freedom to make life choices</t>
  </si>
  <si>
    <t>Ступінь свободи людей у прийнятті особистих життєвих рішень.</t>
  </si>
  <si>
    <t>Generosity</t>
  </si>
  <si>
    <t>Рівень щедрості в країні — готовність громадян допомагати іншим.</t>
  </si>
  <si>
    <t>Perceptions of corruption</t>
  </si>
  <si>
    <t>Сприйняття рівня корупції в країні за оцінками її мешканців.</t>
  </si>
  <si>
    <r>
      <rPr>
        <b/>
        <sz val="12"/>
        <color theme="1"/>
        <rFont val="Calibri"/>
      </rPr>
      <t>Завдання:</t>
    </r>
    <r>
      <rPr>
        <sz val="12"/>
        <color theme="1"/>
        <rFont val="Calibri"/>
      </rPr>
      <t xml:space="preserve">
1. Створіть новий аркуш “Statistics” і обчисліть на ньому описову статистику показників Happiness Score, GDP per Capita. А саме, обчисліть значення
- Арифметичного середнього
- Медіани
- Макс. Значення
- Мін. Значення
- Діапазон (Range)
- Дисперсії
- Стандартного відхилення
Округліть всі значення до 2х цифр після коми
2. Напишіть на аркуші “Statistics” свої висновки: що ми можете сказати про розподіл розглянутих числових колонок
Чи розподіл кожної з колонок симетричний?
3. На аркуші  “Statistics” побудуйте гістограми розподілів числових колонок Happiness Score, GDP per Capita. Опишіть, що бачите з розподілів? Які аналітичні висновки ви б могли відзвітувати про ці дані?
4. На аркуші  “Statistics” побудуйте графік розсіювання Happiness Score проти GDP per Capita. Опишіть, що ви бачите на графіку, чи є щось цікавое і незвичне? 
5. Обчисліть коефіцієнт кореляції Пірсона між Happiness Score, GDP per Capita. Для обчислення використайте фукнцію PEARSON(). Напишіть висновок про те значення, яке отримали. Що це каже про дані?
6. Обчисліть кореляціяю Пірсона між Happiness Score і всіма рештою числовими значеннями, які потенційно на нього впливають. З яким показником найсильніший лінійний звʼязок у Happiness Score? Чи для вас це виглядає логічним? 
7. Запишіть коротке відео використовуючи зручний онлайн сервіс Loom, на якому опишіть свої аналітичні висновки із презентацією результатів. Українською, але якщо хочете спробувати анлійською аби потренуватись - you are welcome. Це - обовʼязковий пункт цього завдання. На презентації має бути видно вас, видно екран і чути, як ви презентуєте результати невеличного дослідження.
Відео оцінюється в 2 бали. оцінюємо інформативність, зрозумілість і загальне враження (чи все чисто і охайно як в звіті, так і на відео, чи добре вас видно).</t>
    </r>
  </si>
  <si>
    <t>Afghanistan</t>
  </si>
  <si>
    <t>South Asia</t>
  </si>
  <si>
    <t>Albania</t>
  </si>
  <si>
    <t>Central and Eastern Europe</t>
  </si>
  <si>
    <t>Algeria</t>
  </si>
  <si>
    <t>Middle East and North Africa</t>
  </si>
  <si>
    <t>Angola</t>
  </si>
  <si>
    <t>Sub-Saharan Africa</t>
  </si>
  <si>
    <t>Argentina</t>
  </si>
  <si>
    <t>Latin America and Caribbean</t>
  </si>
  <si>
    <t>Armenia</t>
  </si>
  <si>
    <t>Australia</t>
  </si>
  <si>
    <t>North America and ANZ</t>
  </si>
  <si>
    <t>Austria</t>
  </si>
  <si>
    <t>Western Europe</t>
  </si>
  <si>
    <t>Azerbaijan</t>
  </si>
  <si>
    <t>Bahrain</t>
  </si>
  <si>
    <t>Bangladesh</t>
  </si>
  <si>
    <t>Belarus</t>
  </si>
  <si>
    <t>Belgium</t>
  </si>
  <si>
    <t>Belize</t>
  </si>
  <si>
    <t>Benin</t>
  </si>
  <si>
    <t>Bhutan</t>
  </si>
  <si>
    <t>Bolivia</t>
  </si>
  <si>
    <t>Bosnia and Herzegovina</t>
  </si>
  <si>
    <t>Botswana</t>
  </si>
  <si>
    <t>Brazil</t>
  </si>
  <si>
    <t>Bulgaria</t>
  </si>
  <si>
    <t>Burkina Faso</t>
  </si>
  <si>
    <t>Burundi</t>
  </si>
  <si>
    <t>Cambodia</t>
  </si>
  <si>
    <t>Southeast Asia</t>
  </si>
  <si>
    <t>Cameroon</t>
  </si>
  <si>
    <t>Canada</t>
  </si>
  <si>
    <t>Central African Republic</t>
  </si>
  <si>
    <t>Chad</t>
  </si>
  <si>
    <t>Chile</t>
  </si>
  <si>
    <t>China</t>
  </si>
  <si>
    <t>East Asia</t>
  </si>
  <si>
    <t>Colombia</t>
  </si>
  <si>
    <t>Comoros</t>
  </si>
  <si>
    <t>Costa Rica</t>
  </si>
  <si>
    <t>Croatia</t>
  </si>
  <si>
    <t>Cyprus</t>
  </si>
  <si>
    <t>Czech Republic</t>
  </si>
  <si>
    <t>Denmark</t>
  </si>
  <si>
    <t>Djibouti</t>
  </si>
  <si>
    <t>Dominican Republic</t>
  </si>
  <si>
    <t>Ecuador</t>
  </si>
  <si>
    <t>El Salvador</t>
  </si>
  <si>
    <t>Estonia</t>
  </si>
  <si>
    <t>Ethiopia</t>
  </si>
  <si>
    <t>Finland</t>
  </si>
  <si>
    <t>France</t>
  </si>
  <si>
    <t>Gabon</t>
  </si>
  <si>
    <t>Georgia</t>
  </si>
  <si>
    <t>Germany</t>
  </si>
  <si>
    <t>Ghana</t>
  </si>
  <si>
    <t>Greece</t>
  </si>
  <si>
    <t>Guatemala</t>
  </si>
  <si>
    <t>Guinea</t>
  </si>
  <si>
    <t>Haiti</t>
  </si>
  <si>
    <t>Honduras</t>
  </si>
  <si>
    <t>Hungary</t>
  </si>
  <si>
    <t>Iceland</t>
  </si>
  <si>
    <t>India</t>
  </si>
  <si>
    <t>Indonesia</t>
  </si>
  <si>
    <t>Iraq</t>
  </si>
  <si>
    <t>Ireland</t>
  </si>
  <si>
    <t>Israel</t>
  </si>
  <si>
    <t>Italy</t>
  </si>
  <si>
    <t>Jamaica</t>
  </si>
  <si>
    <t>Japan</t>
  </si>
  <si>
    <t>Jordan</t>
  </si>
  <si>
    <t>Kazakhstan</t>
  </si>
  <si>
    <t>Commonwealth of Independent States</t>
  </si>
  <si>
    <t>Kenya</t>
  </si>
  <si>
    <t>Kosovo</t>
  </si>
  <si>
    <t>Kuwait</t>
  </si>
  <si>
    <t>Latvia</t>
  </si>
  <si>
    <t>Lebanon</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</si>
  <si>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</si>
  <si>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</si>
  <si>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</si>
  <si>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</si>
  <si>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</si>
  <si>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</si>
  <si>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</si>
  <si>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</si>
  <si>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</si>
  <si>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</si>
  <si>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</si>
  <si>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</si>
  <si>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</si>
  <si>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</si>
  <si>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</si>
  <si>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</si>
  <si>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</si>
  <si>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</si>
  <si>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</si>
  <si>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</si>
  <si>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</si>
  <si>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</si>
  <si>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</si>
  <si>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</si>
  <si>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</si>
  <si>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</si>
  <si>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</si>
  <si>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</si>
  <si>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</si>
  <si>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</si>
  <si>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</si>
  <si>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</si>
  <si>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Paraguay</t>
  </si>
  <si>
    <t>Peru</t>
  </si>
  <si>
    <t>Philippines</t>
  </si>
  <si>
    <t>Poland</t>
  </si>
  <si>
    <t>Portugal</t>
  </si>
  <si>
    <t>Puerto Rico</t>
  </si>
  <si>
    <t>Qatar</t>
  </si>
  <si>
    <t>Romania</t>
  </si>
  <si>
    <t>Rwanda</t>
  </si>
  <si>
    <t>Saudi Arabia</t>
  </si>
  <si>
    <t>Senegal</t>
  </si>
  <si>
    <t>Serbia</t>
  </si>
  <si>
    <t>Sierra Leone</t>
  </si>
  <si>
    <t>Singapore</t>
  </si>
  <si>
    <t>Slovakia</t>
  </si>
  <si>
    <t>Slovenia</t>
  </si>
  <si>
    <t>Somalia</t>
  </si>
  <si>
    <t>South Africa</t>
  </si>
  <si>
    <t>South Sudan</t>
  </si>
  <si>
    <t>Spain</t>
  </si>
  <si>
    <t>Sri Lanka</t>
  </si>
  <si>
    <t>Sudan</t>
  </si>
  <si>
    <t>Suriname</t>
  </si>
  <si>
    <t>Swaziland</t>
  </si>
  <si>
    <t>Sweden</t>
  </si>
  <si>
    <t>Switzerland</t>
  </si>
  <si>
    <t>Taiwan Province of China</t>
  </si>
  <si>
    <t>Tajikistan</t>
  </si>
  <si>
    <t>Tanzania</t>
  </si>
  <si>
    <t>Thailand</t>
  </si>
  <si>
    <t>Togo</t>
  </si>
  <si>
    <t>Trinidad and Tobago</t>
  </si>
  <si>
    <t>Tunisia</t>
  </si>
  <si>
    <t>Turkey</t>
  </si>
  <si>
    <t>Turkmenistan</t>
  </si>
  <si>
    <t>Uganda</t>
  </si>
  <si>
    <t>Ukraine</t>
  </si>
  <si>
    <t>United Arab Emirates</t>
  </si>
  <si>
    <t>United Kingdom</t>
  </si>
  <si>
    <t>United States</t>
  </si>
  <si>
    <t>Uruguay</t>
  </si>
  <si>
    <t>Uzbekistan</t>
  </si>
  <si>
    <t>Vietnam</t>
  </si>
  <si>
    <t>Zambia</t>
  </si>
  <si>
    <t>Zimbabwe</t>
  </si>
  <si>
    <t>Описова статистика показників Happiness Score, GDP per Capita</t>
  </si>
  <si>
    <t xml:space="preserve"> Happiness Score</t>
  </si>
  <si>
    <t>Арифметичне середнє</t>
  </si>
  <si>
    <t>Медіана</t>
  </si>
  <si>
    <t>Мода</t>
  </si>
  <si>
    <t>Min</t>
  </si>
  <si>
    <t>Max</t>
  </si>
  <si>
    <t>Діапазон</t>
  </si>
  <si>
    <t>Дисперсія</t>
  </si>
  <si>
    <t>Ст. відх.</t>
  </si>
  <si>
    <t>Висновки:</t>
  </si>
  <si>
    <t xml:space="preserve">Для обох показників медіана зміщена праворуч, що важливо, бо вона не чутлива до викидів, які могли зменшити значення для середнього. Мода для Happiness Score помітно вища за середні показники, що говорить про переважання вищих рівнів щастя для більшості країн. Широкий діапазон розкиду даних показує помітну варіативність рівня щастя між країнами, і так само - суттєве розсіювання для показника ВВП. Дисперсія для Happiness Score та GDP per Capita  не є великою, тобто їх значення доволі скупчені навколо середнього. А стандартне відхилення каже, що варіація даних невелика, проте для індексу щастя вона трохи більша, аніж для ВВП, як і було видно з дисперсії. </t>
  </si>
  <si>
    <t>Гістограми підтвердили попередні висновки. Значення індексу щастя на гістограмі зміщені праворуч -це означає меншу кількість країн з низьким індексом щастя. Гісторгама для ВВП навпаки зміщена ліворуч - менша кількість країн з дуже високим ВВП на душу населення.  Тобто значення для індексу щастя тяжіють до більших величин, а от ВВП до менших. Хоча саме дуже низькі чи дуже високі значення (крайні значення) все ж зустрічаються рідше і для більшості країн характерні середні показники (наявна центральна тенденція).</t>
  </si>
  <si>
    <t>Графік розсіювання демонструє наявність позитивного зв'язку між індексом щастя та ВВП. Можна сказати що іпроглядається певна тенденція — країни з вищим ВВП мають і вищий рівень щастя, що може свідчити про вплив економічного добробуту на відчуття благополуччя. 
Хоча трапляються окремі країни, які мають високий рівень щастя при невисокому ВВП, що свідчить про вплив нематеріальних факторів.</t>
  </si>
  <si>
    <t>коефіцієнт кореляції Пірсона між Happiness Score, GDP per Capita</t>
  </si>
  <si>
    <t>PEARSON()</t>
  </si>
  <si>
    <t>Оскільки кореляція Пірсона показує силу і напрямок зв'язку між 2 змінними ми тепер знаємо що між  Happiness Score та GDP per Capita наявний сильний, прямий зв'язок. Але коефіцієнт таки не =1, тому можемо припускати, що окрім економічного фактору вплив на індекс щастя мають інші чинники.</t>
  </si>
  <si>
    <t>коефіцієнт кореляції Пірсона між Happiness Score та рештою показників:</t>
  </si>
  <si>
    <t>Група показників (Headline Consumer Price Inflation, Energy Consumer Price Inflation, Food Consumer Price Inflation, Official Core Consumer Price Inflation, Producer Price Inflation, GDP deflator Index growth rate) має обернений зв'язок із Happiness Score.  Узагальнено цей зв'язок не надто суттєвий для всіх цих показників. При цьому найслабший із них - на індекс цін виробників, а найбільший -  із Базовим рівнем інфляції без урахування енергії та продуктів харчування.  2 група показників які мають прямий зв'язок із Happiness Score: (Social support, Healthy life expectancy at birth, Freedom to make life choices, Generosity, Perceptions of corruption).  На відміну від попередньої групи тут видно тісніші взщі взаємозв'язки. Виділяється лише Рівень щедрості в країні, який з індексом щастя майже не повязаний. А от найбільша кореляція виявилась між Індексом щастя та Очікуваною нормалізованою тривалістю здорового життя при народженні, та трохи менша із значенням Рівня соціальної підтримки, яку отримують громадяни від держави та сім’ї. ОТЖЕ, ми побачили, що вцілому Індекс щастя слабо пов'язаний із суто фінансовими показниками - як рівень інфляції чи то загальний рівень цін, але прямо і сильно корелює із більш соціально орієнтованими показниками на зразок соціальної підтримки та очікуваної тривалості життя.</t>
  </si>
  <si>
    <t>ВИСНОВКИ:</t>
  </si>
  <si>
    <t>Проведений аналіз показав, що між рівнем щастя та о-вними макроекономічними показниками існує лише частковий зв’язок. Хоча зростання ВВП на душу населення супроводжується підвищенням індексу щастя, економічне зростання не гарантує відчуття благополуччя. Найвагомішу роль відіграють все ж соціальні чинники — соціальна підтримка, свобода вибору та здоров’я. Саме вони забезпечують позитивний вплив на рівень щастя, а не фінансові показники.</t>
  </si>
  <si>
    <t>ВІДЕО</t>
  </si>
  <si>
    <t>https://www.loom.com/share/d73b5491c7c74f43b1a5d399f7459f1b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</si>
</sst>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2"/>
      <color theme="1"/>
      <name val="Calibri"/>
    </font>
    <font>
      <b/>
      <sz val="12"/>
      <color theme="1"/>
      <name val="Calibri"/>
    </font>
    <font>
      <sz val="12"/>
      <color theme="1"/>
      <name val="Arial"/>
    </font>
    <font>
      <b/>
      <sz val="12"/>
      <color theme="1"/>
      <name val="Verdana"/>
    </font>
    <font>
      <sz val="10"/>
      <color theme="1"/>
      <name val="Verdana"/>
    </font>
    <font>
      <b/>
      <sz val="10"/>
      <color theme="1"/>
      <name val="Verdana"/>
    </font>
    <font>
      <b/>
      <sz val="12"/>
      <color theme="1"/>
      <name val="Calibri"/>
      <scheme val="minor"/>
    </font>
    <font>
      <sz val="12"/>
      <color theme="1"/>
      <name val="Calibri"/>
      <scheme val="minor"/>
    </font>
    <font>
      <u/>
      <sz val="12"/>
      <color rgb="FF0000FF"/>
      <name val="Calibri"/>
    </font>
  </fonts>
  <fills count="6">
    <fill>
      <patternFill patternType="none"/>
    </fill>
    <fill>
      <patternFill patternType="gray125"/>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applyAlignment="1">
      <alignment horizontal="left"/>
    </xf>
    <xf numFmtId="0" fontId="1" fillId="0" borderId="0" xfId="0" applyFont="1" applyAlignment="1">
      <alignment horizontal="left"/>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right"/>
    </xf>
    <xf numFmtId="0" fontId="6" fillId="0" borderId="0" xfId="0" applyFont="1" applyAlignment="1">
      <alignment horizontal="right"/>
    </xf>
    <xf numFmtId="0" fontId="6" fillId="0" borderId="0" xfId="0" applyFont="1"/>
    <xf numFmtId="2" fontId="5" fillId="0" borderId="0" xfId="0" applyNumberFormat="1" applyFont="1" applyAlignment="1">
      <alignment horizontal="center"/>
    </xf>
    <xf numFmtId="0" fontId="7" fillId="2" borderId="0" xfId="0" applyFont="1" applyFill="1"/>
    <xf numFmtId="0" fontId="8" fillId="0" borderId="0" xfId="0" applyFont="1" applyAlignment="1">
      <alignment wrapText="1"/>
    </xf>
    <xf numFmtId="0" fontId="7" fillId="0" borderId="0" xfId="0" applyFont="1"/>
    <xf numFmtId="0" fontId="8" fillId="0" borderId="0" xfId="0" applyFont="1"/>
    <xf numFmtId="2" fontId="8" fillId="0" borderId="0" xfId="0" applyNumberFormat="1" applyFont="1"/>
    <xf numFmtId="2" fontId="8" fillId="3" borderId="0" xfId="0" applyNumberFormat="1" applyFont="1" applyFill="1"/>
    <xf numFmtId="2" fontId="8" fillId="4" borderId="0" xfId="0" applyNumberFormat="1" applyFont="1" applyFill="1"/>
    <xf numFmtId="0" fontId="1" fillId="0" borderId="0" xfId="0" applyFont="1" applyAlignment="1">
      <alignment vertical="top" wrapText="1"/>
    </xf>
    <xf numFmtId="0" fontId="0" fillId="0" borderId="0" xfId="0"/>
    <xf numFmtId="0" fontId="8" fillId="0" borderId="0" xfId="0" applyFont="1" applyAlignment="1">
      <alignment wrapText="1"/>
    </xf>
    <xf numFmtId="0" fontId="8" fillId="2" borderId="0" xfId="0" applyFont="1" applyFill="1" applyAlignment="1">
      <alignment wrapText="1"/>
    </xf>
    <xf numFmtId="0" fontId="9" fillId="5" borderId="0" xfId="0" applyFont="1" applyFill="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000" b="0">
                <a:solidFill>
                  <a:srgbClr val="000000"/>
                </a:solidFill>
                <a:latin typeface="+mn-lt"/>
              </a:defRPr>
            </a:pPr>
            <a:r>
              <a:rPr lang="en-US" sz="2000" b="0">
                <a:solidFill>
                  <a:srgbClr val="000000"/>
                </a:solidFill>
                <a:latin typeface="+mn-lt"/>
              </a:rPr>
              <a:t>Scatter plot of Happiness Score vs. GDP per Capita</a:t>
            </a:r>
          </a:p>
        </c:rich>
      </c:tx>
      <c:overlay val="0"/>
    </c:title>
    <c:autoTitleDeleted val="0"/>
    <c:plotArea>
      <c:layout/>
      <c:scatterChart>
        <c:scatterStyle val="lineMarker"/>
        <c:varyColors val="0"/>
        <c:ser>
          <c:idx val="0"/>
          <c:order val="0"/>
          <c:tx>
            <c:strRef>
              <c:f>'Сирі дані'!$E$1</c:f>
              <c:strCache>
                <c:ptCount val="1"/>
                <c:pt idx="0">
                  <c:v>GDP per Capita</c:v>
                </c:pt>
              </c:strCache>
            </c:strRef>
          </c:tx>
          <c:spPr>
            <a:ln>
              <a:noFill/>
            </a:ln>
          </c:spPr>
          <c:marker>
            <c:symbol val="circle"/>
            <c:size val="5"/>
            <c:spPr>
              <a:solidFill>
                <a:srgbClr val="8E7CC3"/>
              </a:solidFill>
              <a:ln cmpd="sng">
                <a:solidFill>
                  <a:srgbClr val="8E7CC3"/>
                </a:solidFill>
              </a:ln>
            </c:spPr>
          </c:marker>
          <c:xVal>
            <c:numRef>
              <c:f>'Сирі дані'!$D$2:$D$1233</c:f>
              <c:numCache>
                <c:formatCode>General</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xVal>
          <c:yVal>
            <c:numRef>
              <c:f>'Сирі дані'!$E$2:$E$1233</c:f>
              <c:numCache>
                <c:formatCode>General</c:formatCode>
                <c:ptCount val="1232"/>
                <c:pt idx="0">
                  <c:v>0.31981999999999999</c:v>
                </c:pt>
                <c:pt idx="1">
                  <c:v>0.38227</c:v>
                </c:pt>
                <c:pt idx="2">
                  <c:v>0.40147721800000002</c:v>
                </c:pt>
                <c:pt idx="3">
                  <c:v>0.33200000000000002</c:v>
                </c:pt>
                <c:pt idx="4">
                  <c:v>0.35</c:v>
                </c:pt>
                <c:pt idx="5">
                  <c:v>0.30070585</c:v>
                </c:pt>
                <c:pt idx="6">
                  <c:v>0.37</c:v>
                </c:pt>
                <c:pt idx="7">
                  <c:v>0.75800000000000001</c:v>
                </c:pt>
                <c:pt idx="8">
                  <c:v>0.64500000000000002</c:v>
                </c:pt>
                <c:pt idx="9">
                  <c:v>0.87866999999999995</c:v>
                </c:pt>
                <c:pt idx="10">
                  <c:v>0.95530000000000004</c:v>
                </c:pt>
                <c:pt idx="11">
                  <c:v>0.99619275299999999</c:v>
                </c:pt>
                <c:pt idx="12">
                  <c:v>0.91600000000000004</c:v>
                </c:pt>
                <c:pt idx="13">
                  <c:v>0.94699999999999995</c:v>
                </c:pt>
                <c:pt idx="14">
                  <c:v>0.90665304700000005</c:v>
                </c:pt>
                <c:pt idx="15">
                  <c:v>1.008</c:v>
                </c:pt>
                <c:pt idx="16">
                  <c:v>1.4390000000000001</c:v>
                </c:pt>
                <c:pt idx="17">
                  <c:v>1.4490000000000001</c:v>
                </c:pt>
                <c:pt idx="18">
                  <c:v>0.93928999999999996</c:v>
                </c:pt>
                <c:pt idx="19">
                  <c:v>1.0526599999999999</c:v>
                </c:pt>
                <c:pt idx="20">
                  <c:v>1.0918644669999999</c:v>
                </c:pt>
                <c:pt idx="21">
                  <c:v>0.97899999999999998</c:v>
                </c:pt>
                <c:pt idx="22">
                  <c:v>1.002</c:v>
                </c:pt>
                <c:pt idx="23">
                  <c:v>0.943856001</c:v>
                </c:pt>
                <c:pt idx="24">
                  <c:v>0.94599999999999995</c:v>
                </c:pt>
                <c:pt idx="25">
                  <c:v>1.363</c:v>
                </c:pt>
                <c:pt idx="26">
                  <c:v>1.353</c:v>
                </c:pt>
                <c:pt idx="27">
                  <c:v>0.75778000000000001</c:v>
                </c:pt>
                <c:pt idx="28">
                  <c:v>0.84731000000000001</c:v>
                </c:pt>
                <c:pt idx="29">
                  <c:v>0.85842817999999999</c:v>
                </c:pt>
                <c:pt idx="30">
                  <c:v>0.73</c:v>
                </c:pt>
                <c:pt idx="31">
                  <c:v>1.0535099999999999</c:v>
                </c:pt>
                <c:pt idx="32">
                  <c:v>1.15137</c:v>
                </c:pt>
                <c:pt idx="33">
                  <c:v>1.1852954630000001</c:v>
                </c:pt>
                <c:pt idx="34">
                  <c:v>1.073</c:v>
                </c:pt>
                <c:pt idx="35">
                  <c:v>1.0920000000000001</c:v>
                </c:pt>
                <c:pt idx="36">
                  <c:v>1.028465629</c:v>
                </c:pt>
                <c:pt idx="37">
                  <c:v>1.1619999999999999</c:v>
                </c:pt>
                <c:pt idx="38">
                  <c:v>1.5920000000000001</c:v>
                </c:pt>
                <c:pt idx="39">
                  <c:v>1.59</c:v>
                </c:pt>
                <c:pt idx="40">
                  <c:v>0.76820999999999995</c:v>
                </c:pt>
                <c:pt idx="41">
                  <c:v>0.86085999999999996</c:v>
                </c:pt>
                <c:pt idx="42">
                  <c:v>0.90059673799999995</c:v>
                </c:pt>
                <c:pt idx="43">
                  <c:v>0.81599999999999995</c:v>
                </c:pt>
                <c:pt idx="44">
                  <c:v>0.85</c:v>
                </c:pt>
                <c:pt idx="45">
                  <c:v>0.80826240800000004</c:v>
                </c:pt>
                <c:pt idx="46">
                  <c:v>0.996</c:v>
                </c:pt>
                <c:pt idx="47">
                  <c:v>1.4339999999999999</c:v>
                </c:pt>
                <c:pt idx="48">
                  <c:v>1.466</c:v>
                </c:pt>
                <c:pt idx="49">
                  <c:v>1.33358</c:v>
                </c:pt>
                <c:pt idx="50">
                  <c:v>1.4444300000000001</c:v>
                </c:pt>
                <c:pt idx="51">
                  <c:v>1.484414935</c:v>
                </c:pt>
                <c:pt idx="52">
                  <c:v>1.34</c:v>
                </c:pt>
                <c:pt idx="53">
                  <c:v>1.3720000000000001</c:v>
                </c:pt>
                <c:pt idx="54">
                  <c:v>1.310396433</c:v>
                </c:pt>
                <c:pt idx="55">
                  <c:v>1.4530000000000001</c:v>
                </c:pt>
                <c:pt idx="56">
                  <c:v>1.9</c:v>
                </c:pt>
                <c:pt idx="57">
                  <c:v>1.899</c:v>
                </c:pt>
                <c:pt idx="58">
                  <c:v>1.3372299999999999</c:v>
                </c:pt>
                <c:pt idx="59">
                  <c:v>1.45038</c:v>
                </c:pt>
                <c:pt idx="60">
                  <c:v>1.4870972629999999</c:v>
                </c:pt>
                <c:pt idx="61">
                  <c:v>1.341</c:v>
                </c:pt>
                <c:pt idx="62">
                  <c:v>1.3759999999999999</c:v>
                </c:pt>
                <c:pt idx="63">
                  <c:v>1.3172855379999999</c:v>
                </c:pt>
                <c:pt idx="64">
                  <c:v>1.492</c:v>
                </c:pt>
                <c:pt idx="65">
                  <c:v>1.931</c:v>
                </c:pt>
                <c:pt idx="66">
                  <c:v>1.927</c:v>
                </c:pt>
                <c:pt idx="67">
                  <c:v>1.02389</c:v>
                </c:pt>
                <c:pt idx="68">
                  <c:v>1.1237299999999999</c:v>
                </c:pt>
                <c:pt idx="69">
                  <c:v>1.153601766</c:v>
                </c:pt>
                <c:pt idx="70">
                  <c:v>1.024</c:v>
                </c:pt>
                <c:pt idx="71">
                  <c:v>1.0429999999999999</c:v>
                </c:pt>
                <c:pt idx="72">
                  <c:v>0.99027270099999998</c:v>
                </c:pt>
                <c:pt idx="73">
                  <c:v>1.0249999999999999</c:v>
                </c:pt>
                <c:pt idx="74">
                  <c:v>1.458</c:v>
                </c:pt>
                <c:pt idx="75">
                  <c:v>1.32376</c:v>
                </c:pt>
                <c:pt idx="76">
                  <c:v>1.44024</c:v>
                </c:pt>
                <c:pt idx="77">
                  <c:v>1.4884122609999999</c:v>
                </c:pt>
                <c:pt idx="78">
                  <c:v>1.3380000000000001</c:v>
                </c:pt>
                <c:pt idx="79">
                  <c:v>1.3620000000000001</c:v>
                </c:pt>
                <c:pt idx="80">
                  <c:v>1.2966922519999999</c:v>
                </c:pt>
                <c:pt idx="81">
                  <c:v>1.409</c:v>
                </c:pt>
                <c:pt idx="82">
                  <c:v>1.8540000000000001</c:v>
                </c:pt>
                <c:pt idx="83">
                  <c:v>1.883</c:v>
                </c:pt>
                <c:pt idx="84">
                  <c:v>0.39752999999999999</c:v>
                </c:pt>
                <c:pt idx="85">
                  <c:v>0.54176999999999997</c:v>
                </c:pt>
                <c:pt idx="86">
                  <c:v>0.586682975</c:v>
                </c:pt>
                <c:pt idx="87">
                  <c:v>0.53200000000000003</c:v>
                </c:pt>
                <c:pt idx="88">
                  <c:v>0.56200000000000006</c:v>
                </c:pt>
                <c:pt idx="89">
                  <c:v>0.556156278</c:v>
                </c:pt>
                <c:pt idx="90">
                  <c:v>0.63500000000000001</c:v>
                </c:pt>
                <c:pt idx="91">
                  <c:v>1.06</c:v>
                </c:pt>
                <c:pt idx="92">
                  <c:v>1.133</c:v>
                </c:pt>
                <c:pt idx="93">
                  <c:v>1.0319199999999999</c:v>
                </c:pt>
                <c:pt idx="94">
                  <c:v>1.13062</c:v>
                </c:pt>
                <c:pt idx="95">
                  <c:v>1.15655756</c:v>
                </c:pt>
                <c:pt idx="96">
                  <c:v>1.0389999999999999</c:v>
                </c:pt>
                <c:pt idx="97">
                  <c:v>1.0669999999999999</c:v>
                </c:pt>
                <c:pt idx="98">
                  <c:v>1.0188544989999999</c:v>
                </c:pt>
                <c:pt idx="99">
                  <c:v>1.1240000000000001</c:v>
                </c:pt>
                <c:pt idx="100">
                  <c:v>1.5620000000000001</c:v>
                </c:pt>
                <c:pt idx="101">
                  <c:v>1.30782</c:v>
                </c:pt>
                <c:pt idx="102">
                  <c:v>1.4253899999999999</c:v>
                </c:pt>
                <c:pt idx="103">
                  <c:v>1.463780761</c:v>
                </c:pt>
                <c:pt idx="104">
                  <c:v>1.3240000000000001</c:v>
                </c:pt>
                <c:pt idx="105">
                  <c:v>1.3560000000000001</c:v>
                </c:pt>
                <c:pt idx="106">
                  <c:v>1.2958427669999999</c:v>
                </c:pt>
                <c:pt idx="107">
                  <c:v>1.4630000000000001</c:v>
                </c:pt>
                <c:pt idx="108">
                  <c:v>1.907</c:v>
                </c:pt>
                <c:pt idx="109">
                  <c:v>1.907</c:v>
                </c:pt>
                <c:pt idx="110">
                  <c:v>0.87616000000000005</c:v>
                </c:pt>
                <c:pt idx="111">
                  <c:v>0.90797531600000003</c:v>
                </c:pt>
                <c:pt idx="112">
                  <c:v>0.80700000000000005</c:v>
                </c:pt>
                <c:pt idx="113">
                  <c:v>0.28665000000000002</c:v>
                </c:pt>
                <c:pt idx="114">
                  <c:v>0.39499000000000001</c:v>
                </c:pt>
                <c:pt idx="115">
                  <c:v>0.431085408</c:v>
                </c:pt>
                <c:pt idx="116">
                  <c:v>0.378</c:v>
                </c:pt>
                <c:pt idx="117">
                  <c:v>0.39300000000000002</c:v>
                </c:pt>
                <c:pt idx="118">
                  <c:v>0.36624470399999998</c:v>
                </c:pt>
                <c:pt idx="119">
                  <c:v>0.50700000000000001</c:v>
                </c:pt>
                <c:pt idx="120">
                  <c:v>0.93200000000000005</c:v>
                </c:pt>
                <c:pt idx="121">
                  <c:v>0.92400000000000004</c:v>
                </c:pt>
                <c:pt idx="122">
                  <c:v>0.77041999999999999</c:v>
                </c:pt>
                <c:pt idx="123">
                  <c:v>0.85270000000000001</c:v>
                </c:pt>
                <c:pt idx="124">
                  <c:v>0.88541638899999997</c:v>
                </c:pt>
                <c:pt idx="125">
                  <c:v>0.79600000000000004</c:v>
                </c:pt>
                <c:pt idx="126">
                  <c:v>0.81299999999999994</c:v>
                </c:pt>
                <c:pt idx="127">
                  <c:v>0.68132999999999999</c:v>
                </c:pt>
                <c:pt idx="128">
                  <c:v>0.79422000000000004</c:v>
                </c:pt>
                <c:pt idx="129">
                  <c:v>0.83375656600000003</c:v>
                </c:pt>
                <c:pt idx="130">
                  <c:v>0.751</c:v>
                </c:pt>
                <c:pt idx="131">
                  <c:v>0.77600000000000002</c:v>
                </c:pt>
                <c:pt idx="132">
                  <c:v>0.73097634300000003</c:v>
                </c:pt>
                <c:pt idx="133">
                  <c:v>0.84199999999999997</c:v>
                </c:pt>
                <c:pt idx="134">
                  <c:v>1.256</c:v>
                </c:pt>
                <c:pt idx="135">
                  <c:v>1.24</c:v>
                </c:pt>
                <c:pt idx="136">
                  <c:v>0.83223000000000003</c:v>
                </c:pt>
                <c:pt idx="137">
                  <c:v>0.93383000000000005</c:v>
                </c:pt>
                <c:pt idx="138">
                  <c:v>0.98240941800000003</c:v>
                </c:pt>
                <c:pt idx="139">
                  <c:v>0.91500000000000004</c:v>
                </c:pt>
                <c:pt idx="140">
                  <c:v>0.94499999999999995</c:v>
                </c:pt>
                <c:pt idx="141">
                  <c:v>0.91839546000000005</c:v>
                </c:pt>
                <c:pt idx="142">
                  <c:v>1.032</c:v>
                </c:pt>
                <c:pt idx="143">
                  <c:v>1.468</c:v>
                </c:pt>
                <c:pt idx="144">
                  <c:v>1.4670000000000001</c:v>
                </c:pt>
                <c:pt idx="145">
                  <c:v>0.99355000000000004</c:v>
                </c:pt>
                <c:pt idx="146">
                  <c:v>1.09426</c:v>
                </c:pt>
                <c:pt idx="147">
                  <c:v>1.122094154</c:v>
                </c:pt>
                <c:pt idx="148">
                  <c:v>1.0169999999999999</c:v>
                </c:pt>
                <c:pt idx="149">
                  <c:v>1.0409999999999999</c:v>
                </c:pt>
                <c:pt idx="150">
                  <c:v>0.99754899699999999</c:v>
                </c:pt>
                <c:pt idx="151">
                  <c:v>1.099</c:v>
                </c:pt>
                <c:pt idx="152">
                  <c:v>1.5029999999999999</c:v>
                </c:pt>
                <c:pt idx="153">
                  <c:v>1.4710000000000001</c:v>
                </c:pt>
                <c:pt idx="154">
                  <c:v>0.98124</c:v>
                </c:pt>
                <c:pt idx="155">
                  <c:v>1.08754</c:v>
                </c:pt>
                <c:pt idx="156">
                  <c:v>1.1073532100000001</c:v>
                </c:pt>
                <c:pt idx="157">
                  <c:v>0.98599999999999999</c:v>
                </c:pt>
                <c:pt idx="158">
                  <c:v>1.004</c:v>
                </c:pt>
                <c:pt idx="159">
                  <c:v>0.95267987300000001</c:v>
                </c:pt>
                <c:pt idx="160">
                  <c:v>1.028</c:v>
                </c:pt>
                <c:pt idx="161">
                  <c:v>1.462</c:v>
                </c:pt>
                <c:pt idx="162">
                  <c:v>1.454</c:v>
                </c:pt>
                <c:pt idx="163">
                  <c:v>1.0121599999999999</c:v>
                </c:pt>
                <c:pt idx="164">
                  <c:v>1.1130599999999999</c:v>
                </c:pt>
                <c:pt idx="165">
                  <c:v>1.161459088</c:v>
                </c:pt>
                <c:pt idx="166">
                  <c:v>1.054</c:v>
                </c:pt>
                <c:pt idx="167">
                  <c:v>1.0920000000000001</c:v>
                </c:pt>
                <c:pt idx="168">
                  <c:v>1.046554685</c:v>
                </c:pt>
                <c:pt idx="169">
                  <c:v>1.181</c:v>
                </c:pt>
                <c:pt idx="170">
                  <c:v>1.625</c:v>
                </c:pt>
                <c:pt idx="171">
                  <c:v>1.635</c:v>
                </c:pt>
                <c:pt idx="172">
                  <c:v>0.25812000000000002</c:v>
                </c:pt>
                <c:pt idx="173">
                  <c:v>0.31995000000000001</c:v>
                </c:pt>
                <c:pt idx="174">
                  <c:v>0.35022771400000002</c:v>
                </c:pt>
                <c:pt idx="175">
                  <c:v>0.314</c:v>
                </c:pt>
                <c:pt idx="176">
                  <c:v>0.33100000000000002</c:v>
                </c:pt>
                <c:pt idx="177">
                  <c:v>0.30246764399999998</c:v>
                </c:pt>
                <c:pt idx="178">
                  <c:v>0.36399999999999999</c:v>
                </c:pt>
                <c:pt idx="179">
                  <c:v>0.77900000000000003</c:v>
                </c:pt>
                <c:pt idx="180">
                  <c:v>0.76800000000000002</c:v>
                </c:pt>
                <c:pt idx="181">
                  <c:v>1.5299999999999999E-2</c:v>
                </c:pt>
                <c:pt idx="182">
                  <c:v>6.8309999999999996E-2</c:v>
                </c:pt>
                <c:pt idx="183">
                  <c:v>9.1622569000000001E-2</c:v>
                </c:pt>
                <c:pt idx="184">
                  <c:v>9.0999999999999998E-2</c:v>
                </c:pt>
                <c:pt idx="185">
                  <c:v>4.5999999999999999E-2</c:v>
                </c:pt>
                <c:pt idx="186">
                  <c:v>0</c:v>
                </c:pt>
                <c:pt idx="187">
                  <c:v>0</c:v>
                </c:pt>
                <c:pt idx="188">
                  <c:v>0.46038000000000001</c:v>
                </c:pt>
                <c:pt idx="189">
                  <c:v>0.55603999999999998</c:v>
                </c:pt>
                <c:pt idx="190">
                  <c:v>0.60176509600000005</c:v>
                </c:pt>
                <c:pt idx="191">
                  <c:v>0.54900000000000004</c:v>
                </c:pt>
                <c:pt idx="192">
                  <c:v>0.57399999999999995</c:v>
                </c:pt>
                <c:pt idx="193">
                  <c:v>0.54463493799999996</c:v>
                </c:pt>
                <c:pt idx="194">
                  <c:v>0.60299999999999998</c:v>
                </c:pt>
                <c:pt idx="195">
                  <c:v>1.0189999999999999</c:v>
                </c:pt>
                <c:pt idx="196">
                  <c:v>1.0249999999999999</c:v>
                </c:pt>
                <c:pt idx="197">
                  <c:v>0.42249999999999999</c:v>
                </c:pt>
                <c:pt idx="198">
                  <c:v>0.52497000000000005</c:v>
                </c:pt>
                <c:pt idx="199">
                  <c:v>0.56430536499999995</c:v>
                </c:pt>
                <c:pt idx="200">
                  <c:v>0.53500000000000003</c:v>
                </c:pt>
                <c:pt idx="201">
                  <c:v>0.54900000000000004</c:v>
                </c:pt>
                <c:pt idx="202">
                  <c:v>0.50395804600000005</c:v>
                </c:pt>
                <c:pt idx="203">
                  <c:v>0.54300000000000004</c:v>
                </c:pt>
                <c:pt idx="204">
                  <c:v>0.96799999999999997</c:v>
                </c:pt>
                <c:pt idx="205">
                  <c:v>0.96499999999999997</c:v>
                </c:pt>
                <c:pt idx="206">
                  <c:v>1.32629</c:v>
                </c:pt>
                <c:pt idx="207">
                  <c:v>1.44015</c:v>
                </c:pt>
                <c:pt idx="208">
                  <c:v>1.479204416</c:v>
                </c:pt>
                <c:pt idx="209">
                  <c:v>1.33</c:v>
                </c:pt>
                <c:pt idx="210">
                  <c:v>1.365</c:v>
                </c:pt>
                <c:pt idx="211">
                  <c:v>1.301647663</c:v>
                </c:pt>
                <c:pt idx="212">
                  <c:v>1.4470000000000001</c:v>
                </c:pt>
                <c:pt idx="213">
                  <c:v>1.8859999999999999</c:v>
                </c:pt>
                <c:pt idx="214">
                  <c:v>1.881</c:v>
                </c:pt>
                <c:pt idx="215">
                  <c:v>7.85E-2</c:v>
                </c:pt>
                <c:pt idx="216">
                  <c:v>0</c:v>
                </c:pt>
                <c:pt idx="217">
                  <c:v>2.4E-2</c:v>
                </c:pt>
                <c:pt idx="218">
                  <c:v>2.5999999999999999E-2</c:v>
                </c:pt>
                <c:pt idx="219">
                  <c:v>4.1072082000000003E-2</c:v>
                </c:pt>
                <c:pt idx="220">
                  <c:v>0.34193000000000001</c:v>
                </c:pt>
                <c:pt idx="221">
                  <c:v>0.42214000000000002</c:v>
                </c:pt>
                <c:pt idx="222">
                  <c:v>0.43801298700000002</c:v>
                </c:pt>
                <c:pt idx="223">
                  <c:v>0.35799999999999998</c:v>
                </c:pt>
                <c:pt idx="224">
                  <c:v>0.35</c:v>
                </c:pt>
                <c:pt idx="225">
                  <c:v>0.30228748900000002</c:v>
                </c:pt>
                <c:pt idx="226">
                  <c:v>0.255</c:v>
                </c:pt>
                <c:pt idx="227">
                  <c:v>0.66200000000000003</c:v>
                </c:pt>
                <c:pt idx="228">
                  <c:v>0.622</c:v>
                </c:pt>
                <c:pt idx="229">
                  <c:v>1.1071500000000001</c:v>
                </c:pt>
                <c:pt idx="230">
                  <c:v>1.2166999999999999</c:v>
                </c:pt>
                <c:pt idx="231">
                  <c:v>1.25278461</c:v>
                </c:pt>
                <c:pt idx="232">
                  <c:v>1.131</c:v>
                </c:pt>
                <c:pt idx="233">
                  <c:v>1.159</c:v>
                </c:pt>
                <c:pt idx="234">
                  <c:v>1.0969924929999999</c:v>
                </c:pt>
                <c:pt idx="235">
                  <c:v>1.2</c:v>
                </c:pt>
                <c:pt idx="236">
                  <c:v>1.651</c:v>
                </c:pt>
                <c:pt idx="237">
                  <c:v>1.645</c:v>
                </c:pt>
                <c:pt idx="238">
                  <c:v>0.89012000000000002</c:v>
                </c:pt>
                <c:pt idx="239">
                  <c:v>1.0278</c:v>
                </c:pt>
                <c:pt idx="240">
                  <c:v>1.0811657910000001</c:v>
                </c:pt>
                <c:pt idx="241">
                  <c:v>0.98899999999999999</c:v>
                </c:pt>
                <c:pt idx="242">
                  <c:v>1.0289999999999999</c:v>
                </c:pt>
                <c:pt idx="243">
                  <c:v>0.990533412</c:v>
                </c:pt>
                <c:pt idx="244">
                  <c:v>1.0609999999999999</c:v>
                </c:pt>
                <c:pt idx="245">
                  <c:v>1.508</c:v>
                </c:pt>
                <c:pt idx="246">
                  <c:v>1.51</c:v>
                </c:pt>
                <c:pt idx="247">
                  <c:v>0.91861000000000004</c:v>
                </c:pt>
                <c:pt idx="248">
                  <c:v>1.0303199999999999</c:v>
                </c:pt>
                <c:pt idx="249">
                  <c:v>1.070622325</c:v>
                </c:pt>
                <c:pt idx="250">
                  <c:v>0.96</c:v>
                </c:pt>
                <c:pt idx="251">
                  <c:v>0.98499999999999999</c:v>
                </c:pt>
                <c:pt idx="252">
                  <c:v>0.93220371000000002</c:v>
                </c:pt>
                <c:pt idx="253">
                  <c:v>1.0209999999999999</c:v>
                </c:pt>
                <c:pt idx="254">
                  <c:v>1.452</c:v>
                </c:pt>
                <c:pt idx="255">
                  <c:v>1.4550000000000001</c:v>
                </c:pt>
                <c:pt idx="256">
                  <c:v>0.23905999999999999</c:v>
                </c:pt>
                <c:pt idx="257">
                  <c:v>0.27509</c:v>
                </c:pt>
                <c:pt idx="258">
                  <c:v>0.27400000000000002</c:v>
                </c:pt>
                <c:pt idx="259">
                  <c:v>0.41562077400000003</c:v>
                </c:pt>
                <c:pt idx="260">
                  <c:v>0.48799999999999999</c:v>
                </c:pt>
                <c:pt idx="261">
                  <c:v>0.89900000000000002</c:v>
                </c:pt>
                <c:pt idx="262">
                  <c:v>0.91400000000000003</c:v>
                </c:pt>
                <c:pt idx="263">
                  <c:v>0.95577999999999996</c:v>
                </c:pt>
                <c:pt idx="264">
                  <c:v>1.0687899999999999</c:v>
                </c:pt>
                <c:pt idx="265">
                  <c:v>1.109706283</c:v>
                </c:pt>
                <c:pt idx="266">
                  <c:v>1.01</c:v>
                </c:pt>
                <c:pt idx="267">
                  <c:v>1.034</c:v>
                </c:pt>
                <c:pt idx="268">
                  <c:v>0.98110771200000002</c:v>
                </c:pt>
                <c:pt idx="269">
                  <c:v>1.1339999999999999</c:v>
                </c:pt>
                <c:pt idx="270">
                  <c:v>1.5840000000000001</c:v>
                </c:pt>
                <c:pt idx="271">
                  <c:v>1.587</c:v>
                </c:pt>
                <c:pt idx="272">
                  <c:v>1.0825400000000001</c:v>
                </c:pt>
                <c:pt idx="273">
                  <c:v>1.18649</c:v>
                </c:pt>
                <c:pt idx="274">
                  <c:v>1.2225562329999999</c:v>
                </c:pt>
                <c:pt idx="275">
                  <c:v>1.115</c:v>
                </c:pt>
                <c:pt idx="276">
                  <c:v>1.155</c:v>
                </c:pt>
                <c:pt idx="277">
                  <c:v>1.1090242859999999</c:v>
                </c:pt>
                <c:pt idx="278">
                  <c:v>1.2509999999999999</c:v>
                </c:pt>
                <c:pt idx="279">
                  <c:v>1.7050000000000001</c:v>
                </c:pt>
                <c:pt idx="280">
                  <c:v>1.7270000000000001</c:v>
                </c:pt>
                <c:pt idx="281">
                  <c:v>1.2081299999999999</c:v>
                </c:pt>
                <c:pt idx="282">
                  <c:v>1.31857</c:v>
                </c:pt>
                <c:pt idx="283">
                  <c:v>1.355938077</c:v>
                </c:pt>
                <c:pt idx="284">
                  <c:v>1.2290000000000001</c:v>
                </c:pt>
                <c:pt idx="285">
                  <c:v>1.2290000000000001</c:v>
                </c:pt>
                <c:pt idx="286">
                  <c:v>1.2629999999999999</c:v>
                </c:pt>
                <c:pt idx="287">
                  <c:v>1.2629999999999999</c:v>
                </c:pt>
                <c:pt idx="288">
                  <c:v>1.21279943</c:v>
                </c:pt>
                <c:pt idx="289">
                  <c:v>1.377</c:v>
                </c:pt>
                <c:pt idx="290">
                  <c:v>1.8149999999999999</c:v>
                </c:pt>
                <c:pt idx="291">
                  <c:v>1.8240000000000001</c:v>
                </c:pt>
                <c:pt idx="292">
                  <c:v>1.1789799999999999</c:v>
                </c:pt>
                <c:pt idx="293">
                  <c:v>1.30915</c:v>
                </c:pt>
                <c:pt idx="294">
                  <c:v>1.352682352</c:v>
                </c:pt>
                <c:pt idx="295">
                  <c:v>1.2330000000000001</c:v>
                </c:pt>
                <c:pt idx="296">
                  <c:v>1.2689999999999999</c:v>
                </c:pt>
                <c:pt idx="297">
                  <c:v>1.2123223540000001</c:v>
                </c:pt>
                <c:pt idx="298">
                  <c:v>1.37</c:v>
                </c:pt>
                <c:pt idx="299">
                  <c:v>1.32548</c:v>
                </c:pt>
                <c:pt idx="300">
                  <c:v>1.4417800000000001</c:v>
                </c:pt>
                <c:pt idx="301">
                  <c:v>1.482383013</c:v>
                </c:pt>
                <c:pt idx="302">
                  <c:v>1.351</c:v>
                </c:pt>
                <c:pt idx="303">
                  <c:v>1.383</c:v>
                </c:pt>
                <c:pt idx="304">
                  <c:v>1.3269485240000001</c:v>
                </c:pt>
                <c:pt idx="305">
                  <c:v>1.502</c:v>
                </c:pt>
                <c:pt idx="306">
                  <c:v>1.9530000000000001</c:v>
                </c:pt>
                <c:pt idx="307">
                  <c:v>1.9490000000000001</c:v>
                </c:pt>
                <c:pt idx="308">
                  <c:v>0.44024999999999997</c:v>
                </c:pt>
                <c:pt idx="309">
                  <c:v>0.89537</c:v>
                </c:pt>
                <c:pt idx="310">
                  <c:v>1.0278700000000001</c:v>
                </c:pt>
                <c:pt idx="311">
                  <c:v>1.0793738369999999</c:v>
                </c:pt>
                <c:pt idx="312">
                  <c:v>0.98199999999999998</c:v>
                </c:pt>
                <c:pt idx="313">
                  <c:v>1.0149999999999999</c:v>
                </c:pt>
                <c:pt idx="314">
                  <c:v>0.98319184800000003</c:v>
                </c:pt>
                <c:pt idx="315">
                  <c:v>1.1060000000000001</c:v>
                </c:pt>
                <c:pt idx="316">
                  <c:v>1.538</c:v>
                </c:pt>
                <c:pt idx="317">
                  <c:v>1.536</c:v>
                </c:pt>
                <c:pt idx="318">
                  <c:v>0.86402000000000001</c:v>
                </c:pt>
                <c:pt idx="319">
                  <c:v>0.97306000000000004</c:v>
                </c:pt>
                <c:pt idx="320">
                  <c:v>1.0008203980000001</c:v>
                </c:pt>
                <c:pt idx="321">
                  <c:v>0.88900000000000001</c:v>
                </c:pt>
                <c:pt idx="322">
                  <c:v>0.91200000000000003</c:v>
                </c:pt>
                <c:pt idx="323">
                  <c:v>0.85338360099999999</c:v>
                </c:pt>
                <c:pt idx="324">
                  <c:v>0.93500000000000005</c:v>
                </c:pt>
                <c:pt idx="325">
                  <c:v>1.3520000000000001</c:v>
                </c:pt>
                <c:pt idx="326">
                  <c:v>1.343</c:v>
                </c:pt>
                <c:pt idx="327">
                  <c:v>0.76454</c:v>
                </c:pt>
                <c:pt idx="328">
                  <c:v>0.87370000000000003</c:v>
                </c:pt>
                <c:pt idx="329">
                  <c:v>0.909784496</c:v>
                </c:pt>
                <c:pt idx="330">
                  <c:v>0.80600000000000005</c:v>
                </c:pt>
                <c:pt idx="331">
                  <c:v>0.79400000000000004</c:v>
                </c:pt>
                <c:pt idx="332">
                  <c:v>0.74894040799999995</c:v>
                </c:pt>
                <c:pt idx="333">
                  <c:v>0.84499999999999997</c:v>
                </c:pt>
                <c:pt idx="334">
                  <c:v>1.2649999999999999</c:v>
                </c:pt>
                <c:pt idx="335">
                  <c:v>1.278</c:v>
                </c:pt>
                <c:pt idx="336">
                  <c:v>1.15174</c:v>
                </c:pt>
                <c:pt idx="337">
                  <c:v>1.2796400000000001</c:v>
                </c:pt>
                <c:pt idx="338">
                  <c:v>1.3208793400000001</c:v>
                </c:pt>
                <c:pt idx="339">
                  <c:v>1.2</c:v>
                </c:pt>
                <c:pt idx="340">
                  <c:v>1.2370000000000001</c:v>
                </c:pt>
                <c:pt idx="341">
                  <c:v>1.192441225</c:v>
                </c:pt>
                <c:pt idx="342">
                  <c:v>1.3440000000000001</c:v>
                </c:pt>
                <c:pt idx="343">
                  <c:v>1.7929999999999999</c:v>
                </c:pt>
                <c:pt idx="344">
                  <c:v>1.798</c:v>
                </c:pt>
                <c:pt idx="345">
                  <c:v>0.19073000000000001</c:v>
                </c:pt>
                <c:pt idx="346">
                  <c:v>0.29282999999999998</c:v>
                </c:pt>
                <c:pt idx="347">
                  <c:v>0.33923384499999998</c:v>
                </c:pt>
                <c:pt idx="348">
                  <c:v>0.308</c:v>
                </c:pt>
                <c:pt idx="349">
                  <c:v>0.33600000000000002</c:v>
                </c:pt>
                <c:pt idx="350">
                  <c:v>0.31512564399999998</c:v>
                </c:pt>
                <c:pt idx="351">
                  <c:v>0.37</c:v>
                </c:pt>
                <c:pt idx="352">
                  <c:v>0.78800000000000003</c:v>
                </c:pt>
                <c:pt idx="353">
                  <c:v>0.79300000000000004</c:v>
                </c:pt>
                <c:pt idx="354">
                  <c:v>1.2902499999999999</c:v>
                </c:pt>
                <c:pt idx="355">
                  <c:v>1.40598</c:v>
                </c:pt>
                <c:pt idx="356">
                  <c:v>1.4435719250000001</c:v>
                </c:pt>
                <c:pt idx="357">
                  <c:v>1.3049999999999999</c:v>
                </c:pt>
                <c:pt idx="358">
                  <c:v>1.34</c:v>
                </c:pt>
                <c:pt idx="359">
                  <c:v>1.2851895090000001</c:v>
                </c:pt>
                <c:pt idx="360">
                  <c:v>1.446</c:v>
                </c:pt>
                <c:pt idx="361">
                  <c:v>1.8919999999999999</c:v>
                </c:pt>
                <c:pt idx="362">
                  <c:v>1.8879999999999999</c:v>
                </c:pt>
                <c:pt idx="363">
                  <c:v>1.2777799999999999</c:v>
                </c:pt>
                <c:pt idx="364">
                  <c:v>1.3948799999999999</c:v>
                </c:pt>
                <c:pt idx="365">
                  <c:v>1.430923462</c:v>
                </c:pt>
                <c:pt idx="366">
                  <c:v>1.2929999999999999</c:v>
                </c:pt>
                <c:pt idx="367">
                  <c:v>1.3240000000000001</c:v>
                </c:pt>
                <c:pt idx="368">
                  <c:v>1.2681293490000001</c:v>
                </c:pt>
                <c:pt idx="369">
                  <c:v>1.421</c:v>
                </c:pt>
                <c:pt idx="370">
                  <c:v>1.863</c:v>
                </c:pt>
                <c:pt idx="371">
                  <c:v>1.8560000000000001</c:v>
                </c:pt>
                <c:pt idx="372">
                  <c:v>1.0602400000000001</c:v>
                </c:pt>
                <c:pt idx="373">
                  <c:v>1.1585099999999999</c:v>
                </c:pt>
                <c:pt idx="374">
                  <c:v>1.198210239</c:v>
                </c:pt>
                <c:pt idx="375">
                  <c:v>1.036</c:v>
                </c:pt>
                <c:pt idx="376">
                  <c:v>1.0569999999999999</c:v>
                </c:pt>
                <c:pt idx="377">
                  <c:v>0.98804438100000003</c:v>
                </c:pt>
                <c:pt idx="378">
                  <c:v>1.0369999999999999</c:v>
                </c:pt>
                <c:pt idx="379">
                  <c:v>1.4590000000000001</c:v>
                </c:pt>
                <c:pt idx="380">
                  <c:v>1.4379999999999999</c:v>
                </c:pt>
                <c:pt idx="381">
                  <c:v>0.7419</c:v>
                </c:pt>
                <c:pt idx="382">
                  <c:v>0.83792</c:v>
                </c:pt>
                <c:pt idx="383">
                  <c:v>0.950612664</c:v>
                </c:pt>
                <c:pt idx="384">
                  <c:v>0.85299999999999998</c:v>
                </c:pt>
                <c:pt idx="385">
                  <c:v>0.88600000000000001</c:v>
                </c:pt>
                <c:pt idx="386">
                  <c:v>0.84719806900000005</c:v>
                </c:pt>
                <c:pt idx="387">
                  <c:v>1.03</c:v>
                </c:pt>
                <c:pt idx="388">
                  <c:v>1.4670000000000001</c:v>
                </c:pt>
                <c:pt idx="389">
                  <c:v>1.4770000000000001</c:v>
                </c:pt>
                <c:pt idx="390">
                  <c:v>1.32792</c:v>
                </c:pt>
                <c:pt idx="391">
                  <c:v>1.44787</c:v>
                </c:pt>
                <c:pt idx="392">
                  <c:v>1.4879233839999999</c:v>
                </c:pt>
                <c:pt idx="393">
                  <c:v>1.34</c:v>
                </c:pt>
                <c:pt idx="394">
                  <c:v>1.373</c:v>
                </c:pt>
                <c:pt idx="395">
                  <c:v>1.3141845459999999</c:v>
                </c:pt>
                <c:pt idx="396">
                  <c:v>1.48</c:v>
                </c:pt>
                <c:pt idx="397">
                  <c:v>1.9239999999999999</c:v>
                </c:pt>
                <c:pt idx="398">
                  <c:v>1.919</c:v>
                </c:pt>
                <c:pt idx="399">
                  <c:v>0.54557999999999995</c:v>
                </c:pt>
                <c:pt idx="400">
                  <c:v>0.63107000000000002</c:v>
                </c:pt>
                <c:pt idx="401">
                  <c:v>0.66722482400000005</c:v>
                </c:pt>
                <c:pt idx="402">
                  <c:v>0.59199999999999997</c:v>
                </c:pt>
                <c:pt idx="403">
                  <c:v>0.61099999999999999</c:v>
                </c:pt>
                <c:pt idx="404">
                  <c:v>0.57586246699999999</c:v>
                </c:pt>
                <c:pt idx="405">
                  <c:v>0.68</c:v>
                </c:pt>
                <c:pt idx="406">
                  <c:v>1.1120000000000001</c:v>
                </c:pt>
                <c:pt idx="407">
                  <c:v>1.101</c:v>
                </c:pt>
                <c:pt idx="408">
                  <c:v>1.1540600000000001</c:v>
                </c:pt>
                <c:pt idx="409">
                  <c:v>1.2488600000000001</c:v>
                </c:pt>
                <c:pt idx="410">
                  <c:v>1.2894874810000001</c:v>
                </c:pt>
                <c:pt idx="411">
                  <c:v>1.1539999999999999</c:v>
                </c:pt>
                <c:pt idx="412">
                  <c:v>1.181</c:v>
                </c:pt>
                <c:pt idx="413">
                  <c:v>1.128070116</c:v>
                </c:pt>
                <c:pt idx="414">
                  <c:v>1.2729999999999999</c:v>
                </c:pt>
                <c:pt idx="415">
                  <c:v>1.7030000000000001</c:v>
                </c:pt>
                <c:pt idx="416">
                  <c:v>1.708</c:v>
                </c:pt>
                <c:pt idx="417">
                  <c:v>0.74553000000000003</c:v>
                </c:pt>
                <c:pt idx="418">
                  <c:v>0.83453999999999995</c:v>
                </c:pt>
                <c:pt idx="419">
                  <c:v>0.87200194600000003</c:v>
                </c:pt>
                <c:pt idx="420">
                  <c:v>0.78100000000000003</c:v>
                </c:pt>
                <c:pt idx="421">
                  <c:v>0.8</c:v>
                </c:pt>
                <c:pt idx="422">
                  <c:v>0.753815711</c:v>
                </c:pt>
                <c:pt idx="423">
                  <c:v>0.84499999999999997</c:v>
                </c:pt>
                <c:pt idx="424">
                  <c:v>1.274</c:v>
                </c:pt>
                <c:pt idx="425">
                  <c:v>1.2869999999999999</c:v>
                </c:pt>
                <c:pt idx="426">
                  <c:v>0.17416999999999999</c:v>
                </c:pt>
                <c:pt idx="427">
                  <c:v>0.22414999999999999</c:v>
                </c:pt>
                <c:pt idx="428">
                  <c:v>0.24454993</c:v>
                </c:pt>
                <c:pt idx="429">
                  <c:v>0.34399999999999997</c:v>
                </c:pt>
                <c:pt idx="430">
                  <c:v>0.38</c:v>
                </c:pt>
                <c:pt idx="431">
                  <c:v>0.39000773399999999</c:v>
                </c:pt>
                <c:pt idx="432">
                  <c:v>0.42</c:v>
                </c:pt>
                <c:pt idx="433">
                  <c:v>0.84799999999999998</c:v>
                </c:pt>
                <c:pt idx="434">
                  <c:v>0.84399999999999997</c:v>
                </c:pt>
                <c:pt idx="435">
                  <c:v>0.26673000000000002</c:v>
                </c:pt>
                <c:pt idx="436">
                  <c:v>0.34097</c:v>
                </c:pt>
                <c:pt idx="437">
                  <c:v>0.36861026299999999</c:v>
                </c:pt>
                <c:pt idx="438">
                  <c:v>0.315</c:v>
                </c:pt>
                <c:pt idx="439">
                  <c:v>0.32300000000000001</c:v>
                </c:pt>
                <c:pt idx="440">
                  <c:v>0.28473442799999998</c:v>
                </c:pt>
                <c:pt idx="441">
                  <c:v>0.29399999999999998</c:v>
                </c:pt>
                <c:pt idx="442">
                  <c:v>0.59531999999999996</c:v>
                </c:pt>
                <c:pt idx="443">
                  <c:v>0.69428999999999996</c:v>
                </c:pt>
                <c:pt idx="444">
                  <c:v>0.73057311800000002</c:v>
                </c:pt>
                <c:pt idx="445">
                  <c:v>0.62</c:v>
                </c:pt>
                <c:pt idx="446">
                  <c:v>0.64200000000000002</c:v>
                </c:pt>
                <c:pt idx="447">
                  <c:v>0.59876358500000004</c:v>
                </c:pt>
                <c:pt idx="448">
                  <c:v>0.70299999999999996</c:v>
                </c:pt>
                <c:pt idx="449">
                  <c:v>1.111</c:v>
                </c:pt>
                <c:pt idx="450">
                  <c:v>1.115</c:v>
                </c:pt>
                <c:pt idx="451">
                  <c:v>1.12094</c:v>
                </c:pt>
                <c:pt idx="452">
                  <c:v>1.24142</c:v>
                </c:pt>
                <c:pt idx="453">
                  <c:v>1.286011934</c:v>
                </c:pt>
                <c:pt idx="454">
                  <c:v>1.171</c:v>
                </c:pt>
                <c:pt idx="455">
                  <c:v>1.2010000000000001</c:v>
                </c:pt>
                <c:pt idx="456">
                  <c:v>1.1643071169999999</c:v>
                </c:pt>
                <c:pt idx="457">
                  <c:v>1.3009999999999999</c:v>
                </c:pt>
                <c:pt idx="458">
                  <c:v>1.748</c:v>
                </c:pt>
                <c:pt idx="459">
                  <c:v>1.754</c:v>
                </c:pt>
                <c:pt idx="460">
                  <c:v>1.3023199999999999</c:v>
                </c:pt>
                <c:pt idx="461">
                  <c:v>1.42666</c:v>
                </c:pt>
                <c:pt idx="462">
                  <c:v>1.48063302</c:v>
                </c:pt>
                <c:pt idx="463">
                  <c:v>1.343</c:v>
                </c:pt>
                <c:pt idx="464">
                  <c:v>1.38</c:v>
                </c:pt>
                <c:pt idx="465">
                  <c:v>1.3265016080000001</c:v>
                </c:pt>
                <c:pt idx="466">
                  <c:v>1.482</c:v>
                </c:pt>
                <c:pt idx="467">
                  <c:v>1.9359999999999999</c:v>
                </c:pt>
                <c:pt idx="468">
                  <c:v>1.9259999999999999</c:v>
                </c:pt>
                <c:pt idx="469">
                  <c:v>0.64498999999999995</c:v>
                </c:pt>
                <c:pt idx="470">
                  <c:v>0.74036000000000002</c:v>
                </c:pt>
                <c:pt idx="471">
                  <c:v>0.79222124800000004</c:v>
                </c:pt>
                <c:pt idx="472">
                  <c:v>0.72099999999999997</c:v>
                </c:pt>
                <c:pt idx="473">
                  <c:v>0.755</c:v>
                </c:pt>
                <c:pt idx="474">
                  <c:v>0.73057615799999998</c:v>
                </c:pt>
                <c:pt idx="475">
                  <c:v>0.74099999999999999</c:v>
                </c:pt>
                <c:pt idx="476">
                  <c:v>1.167</c:v>
                </c:pt>
                <c:pt idx="477">
                  <c:v>1.159</c:v>
                </c:pt>
                <c:pt idx="478">
                  <c:v>0.82826999999999995</c:v>
                </c:pt>
                <c:pt idx="479">
                  <c:v>0.95104</c:v>
                </c:pt>
                <c:pt idx="480">
                  <c:v>0.99553859199999994</c:v>
                </c:pt>
                <c:pt idx="481">
                  <c:v>0.89900000000000002</c:v>
                </c:pt>
                <c:pt idx="482">
                  <c:v>0.93100000000000005</c:v>
                </c:pt>
                <c:pt idx="483">
                  <c:v>0.89172071200000003</c:v>
                </c:pt>
                <c:pt idx="484">
                  <c:v>0.95399999999999996</c:v>
                </c:pt>
                <c:pt idx="485">
                  <c:v>1.3819999999999999</c:v>
                </c:pt>
                <c:pt idx="486">
                  <c:v>1.3839999999999999</c:v>
                </c:pt>
                <c:pt idx="487">
                  <c:v>0.98548999999999998</c:v>
                </c:pt>
                <c:pt idx="488">
                  <c:v>1.07474</c:v>
                </c:pt>
                <c:pt idx="489">
                  <c:v>1.102710485</c:v>
                </c:pt>
                <c:pt idx="490">
                  <c:v>1.01</c:v>
                </c:pt>
                <c:pt idx="491">
                  <c:v>1.0429999999999999</c:v>
                </c:pt>
                <c:pt idx="492">
                  <c:v>0.98201870899999999</c:v>
                </c:pt>
                <c:pt idx="493">
                  <c:v>0.91</c:v>
                </c:pt>
                <c:pt idx="494">
                  <c:v>1.2889999999999999</c:v>
                </c:pt>
                <c:pt idx="495">
                  <c:v>1.2809999999999999</c:v>
                </c:pt>
                <c:pt idx="496">
                  <c:v>1.33596</c:v>
                </c:pt>
                <c:pt idx="497">
                  <c:v>1.4834099999999999</c:v>
                </c:pt>
                <c:pt idx="498">
                  <c:v>1.535706639</c:v>
                </c:pt>
                <c:pt idx="499">
                  <c:v>1.448</c:v>
                </c:pt>
                <c:pt idx="500">
                  <c:v>1.4990000000000001</c:v>
                </c:pt>
                <c:pt idx="501">
                  <c:v>1.4468867780000001</c:v>
                </c:pt>
                <c:pt idx="502">
                  <c:v>1.6439999999999999</c:v>
                </c:pt>
                <c:pt idx="503">
                  <c:v>2.129</c:v>
                </c:pt>
                <c:pt idx="504">
                  <c:v>2.1520000000000001</c:v>
                </c:pt>
                <c:pt idx="505">
                  <c:v>1.2285699999999999</c:v>
                </c:pt>
                <c:pt idx="506">
                  <c:v>1.3376600000000001</c:v>
                </c:pt>
                <c:pt idx="507">
                  <c:v>1.375382423</c:v>
                </c:pt>
                <c:pt idx="508">
                  <c:v>1.3009999999999999</c:v>
                </c:pt>
                <c:pt idx="509">
                  <c:v>1.276</c:v>
                </c:pt>
                <c:pt idx="510">
                  <c:v>1.2164636849999999</c:v>
                </c:pt>
                <c:pt idx="511">
                  <c:v>1.3759999999999999</c:v>
                </c:pt>
                <c:pt idx="512">
                  <c:v>1.8260000000000001</c:v>
                </c:pt>
                <c:pt idx="513">
                  <c:v>1.833</c:v>
                </c:pt>
                <c:pt idx="514">
                  <c:v>1.2511399999999999</c:v>
                </c:pt>
                <c:pt idx="515">
                  <c:v>1.3549500000000001</c:v>
                </c:pt>
                <c:pt idx="516">
                  <c:v>1.3950666190000001</c:v>
                </c:pt>
                <c:pt idx="517">
                  <c:v>1.264</c:v>
                </c:pt>
                <c:pt idx="518">
                  <c:v>1.294</c:v>
                </c:pt>
                <c:pt idx="519">
                  <c:v>1.236396074</c:v>
                </c:pt>
                <c:pt idx="520">
                  <c:v>1.393</c:v>
                </c:pt>
                <c:pt idx="521">
                  <c:v>1.8340000000000001</c:v>
                </c:pt>
                <c:pt idx="522">
                  <c:v>1.8320000000000001</c:v>
                </c:pt>
                <c:pt idx="523">
                  <c:v>0.81037999999999999</c:v>
                </c:pt>
                <c:pt idx="524">
                  <c:v>0.89332999999999996</c:v>
                </c:pt>
                <c:pt idx="525">
                  <c:v>0.92557930899999996</c:v>
                </c:pt>
                <c:pt idx="526">
                  <c:v>0.81899999999999995</c:v>
                </c:pt>
                <c:pt idx="527">
                  <c:v>0.83099999999999996</c:v>
                </c:pt>
                <c:pt idx="528">
                  <c:v>0.77905839700000001</c:v>
                </c:pt>
                <c:pt idx="529">
                  <c:v>0.89100000000000001</c:v>
                </c:pt>
                <c:pt idx="530">
                  <c:v>1.296</c:v>
                </c:pt>
                <c:pt idx="531">
                  <c:v>1.3049999999999999</c:v>
                </c:pt>
                <c:pt idx="532">
                  <c:v>1.27074</c:v>
                </c:pt>
                <c:pt idx="533">
                  <c:v>1.3800699999999999</c:v>
                </c:pt>
                <c:pt idx="534">
                  <c:v>1.416915178</c:v>
                </c:pt>
                <c:pt idx="535">
                  <c:v>1.294</c:v>
                </c:pt>
                <c:pt idx="536">
                  <c:v>1.327</c:v>
                </c:pt>
                <c:pt idx="537">
                  <c:v>1.26672411</c:v>
                </c:pt>
                <c:pt idx="538">
                  <c:v>1.389</c:v>
                </c:pt>
                <c:pt idx="539">
                  <c:v>1.835</c:v>
                </c:pt>
                <c:pt idx="540">
                  <c:v>1.825</c:v>
                </c:pt>
                <c:pt idx="541">
                  <c:v>0.90198</c:v>
                </c:pt>
                <c:pt idx="542">
                  <c:v>0.99673</c:v>
                </c:pt>
                <c:pt idx="543">
                  <c:v>0.99101239399999996</c:v>
                </c:pt>
                <c:pt idx="544">
                  <c:v>0.82199999999999995</c:v>
                </c:pt>
                <c:pt idx="545">
                  <c:v>0.83699999999999997</c:v>
                </c:pt>
                <c:pt idx="546">
                  <c:v>0.78517919800000002</c:v>
                </c:pt>
                <c:pt idx="547">
                  <c:v>0.89</c:v>
                </c:pt>
                <c:pt idx="548">
                  <c:v>1.3240000000000001</c:v>
                </c:pt>
                <c:pt idx="549">
                  <c:v>1.292</c:v>
                </c:pt>
                <c:pt idx="550">
                  <c:v>1.1225400000000001</c:v>
                </c:pt>
                <c:pt idx="551">
                  <c:v>1.22943</c:v>
                </c:pt>
                <c:pt idx="552">
                  <c:v>1.2845562699999999</c:v>
                </c:pt>
                <c:pt idx="553">
                  <c:v>1.143</c:v>
                </c:pt>
                <c:pt idx="554">
                  <c:v>1.173</c:v>
                </c:pt>
                <c:pt idx="555">
                  <c:v>1.1225942369999999</c:v>
                </c:pt>
                <c:pt idx="556">
                  <c:v>1.23</c:v>
                </c:pt>
                <c:pt idx="557">
                  <c:v>1.6679999999999999</c:v>
                </c:pt>
                <c:pt idx="558">
                  <c:v>1.6639999999999999</c:v>
                </c:pt>
                <c:pt idx="559">
                  <c:v>0.36470999999999998</c:v>
                </c:pt>
                <c:pt idx="560">
                  <c:v>0.52266999999999997</c:v>
                </c:pt>
                <c:pt idx="561">
                  <c:v>0.56047946199999998</c:v>
                </c:pt>
                <c:pt idx="562">
                  <c:v>0.49299999999999999</c:v>
                </c:pt>
                <c:pt idx="563">
                  <c:v>0.51200000000000001</c:v>
                </c:pt>
                <c:pt idx="564">
                  <c:v>0.47641339900000002</c:v>
                </c:pt>
                <c:pt idx="565">
                  <c:v>0.60299999999999998</c:v>
                </c:pt>
                <c:pt idx="566">
                  <c:v>1.032</c:v>
                </c:pt>
                <c:pt idx="567">
                  <c:v>1.0509999999999999</c:v>
                </c:pt>
                <c:pt idx="568">
                  <c:v>0.80147999999999997</c:v>
                </c:pt>
                <c:pt idx="569">
                  <c:v>0.90144999999999997</c:v>
                </c:pt>
                <c:pt idx="570">
                  <c:v>0.95148438199999996</c:v>
                </c:pt>
                <c:pt idx="571">
                  <c:v>0.85499999999999998</c:v>
                </c:pt>
                <c:pt idx="572">
                  <c:v>0.88200000000000001</c:v>
                </c:pt>
                <c:pt idx="573">
                  <c:v>0.84048134100000005</c:v>
                </c:pt>
                <c:pt idx="574">
                  <c:v>0.93700000000000006</c:v>
                </c:pt>
                <c:pt idx="575">
                  <c:v>1.3620000000000001</c:v>
                </c:pt>
                <c:pt idx="576">
                  <c:v>1.3740000000000001</c:v>
                </c:pt>
                <c:pt idx="577">
                  <c:v>1.5542199999999999</c:v>
                </c:pt>
                <c:pt idx="578">
                  <c:v>1.61714</c:v>
                </c:pt>
                <c:pt idx="579">
                  <c:v>1.6329524520000001</c:v>
                </c:pt>
                <c:pt idx="580">
                  <c:v>1.474</c:v>
                </c:pt>
                <c:pt idx="581">
                  <c:v>1.5</c:v>
                </c:pt>
                <c:pt idx="582">
                  <c:v>1.424833655</c:v>
                </c:pt>
                <c:pt idx="583">
                  <c:v>1.4610000000000001</c:v>
                </c:pt>
                <c:pt idx="584">
                  <c:v>1.9039999999999999</c:v>
                </c:pt>
                <c:pt idx="585">
                  <c:v>1.1131200000000001</c:v>
                </c:pt>
                <c:pt idx="586">
                  <c:v>1.2178800000000001</c:v>
                </c:pt>
                <c:pt idx="587">
                  <c:v>1.260748625</c:v>
                </c:pt>
                <c:pt idx="588">
                  <c:v>1.1479999999999999</c:v>
                </c:pt>
                <c:pt idx="589">
                  <c:v>1.1870000000000001</c:v>
                </c:pt>
                <c:pt idx="590">
                  <c:v>1.1413954500000001</c:v>
                </c:pt>
                <c:pt idx="591">
                  <c:v>1.2849999999999999</c:v>
                </c:pt>
                <c:pt idx="592">
                  <c:v>1.732</c:v>
                </c:pt>
                <c:pt idx="593">
                  <c:v>1.7370000000000001</c:v>
                </c:pt>
                <c:pt idx="594">
                  <c:v>1.0256400000000001</c:v>
                </c:pt>
                <c:pt idx="595">
                  <c:v>1.1226799999999999</c:v>
                </c:pt>
                <c:pt idx="596">
                  <c:v>1.0749875310000001</c:v>
                </c:pt>
                <c:pt idx="597">
                  <c:v>0.96499999999999997</c:v>
                </c:pt>
                <c:pt idx="598">
                  <c:v>0.98699999999999999</c:v>
                </c:pt>
                <c:pt idx="599">
                  <c:v>0.88923251599999997</c:v>
                </c:pt>
                <c:pt idx="600">
                  <c:v>1.0449999999999999</c:v>
                </c:pt>
                <c:pt idx="601">
                  <c:v>1.3919999999999999</c:v>
                </c:pt>
                <c:pt idx="602">
                  <c:v>1.417</c:v>
                </c:pt>
                <c:pt idx="603">
                  <c:v>0.37545000000000001</c:v>
                </c:pt>
                <c:pt idx="604">
                  <c:v>0.52102124699999997</c:v>
                </c:pt>
                <c:pt idx="605">
                  <c:v>0.47199999999999998</c:v>
                </c:pt>
                <c:pt idx="606">
                  <c:v>0.48899999999999999</c:v>
                </c:pt>
                <c:pt idx="607">
                  <c:v>0.45493874000000001</c:v>
                </c:pt>
                <c:pt idx="608">
                  <c:v>0.45100000000000001</c:v>
                </c:pt>
                <c:pt idx="609">
                  <c:v>0.83899999999999997</c:v>
                </c:pt>
                <c:pt idx="610">
                  <c:v>7.1199999999999999E-2</c:v>
                </c:pt>
                <c:pt idx="611">
                  <c:v>0.10706</c:v>
                </c:pt>
                <c:pt idx="612">
                  <c:v>0.11904179300000001</c:v>
                </c:pt>
                <c:pt idx="613">
                  <c:v>7.5999999999999998E-2</c:v>
                </c:pt>
                <c:pt idx="614">
                  <c:v>7.2999999999999995E-2</c:v>
                </c:pt>
                <c:pt idx="615">
                  <c:v>0.174103007</c:v>
                </c:pt>
                <c:pt idx="616">
                  <c:v>0.22800000000000001</c:v>
                </c:pt>
                <c:pt idx="617">
                  <c:v>0.63600000000000001</c:v>
                </c:pt>
                <c:pt idx="618">
                  <c:v>0.628</c:v>
                </c:pt>
                <c:pt idx="619">
                  <c:v>1.1314500000000001</c:v>
                </c:pt>
                <c:pt idx="620">
                  <c:v>1.0668800000000001</c:v>
                </c:pt>
                <c:pt idx="621">
                  <c:v>1.1018030640000001</c:v>
                </c:pt>
                <c:pt idx="622">
                  <c:v>0.98499999999999999</c:v>
                </c:pt>
                <c:pt idx="623">
                  <c:v>1.044</c:v>
                </c:pt>
                <c:pt idx="624">
                  <c:v>1.021913767</c:v>
                </c:pt>
                <c:pt idx="625">
                  <c:v>1.044</c:v>
                </c:pt>
                <c:pt idx="626">
                  <c:v>1.476</c:v>
                </c:pt>
                <c:pt idx="627">
                  <c:v>1.14723</c:v>
                </c:pt>
                <c:pt idx="628">
                  <c:v>1.2692000000000001</c:v>
                </c:pt>
                <c:pt idx="629">
                  <c:v>1.3145823480000001</c:v>
                </c:pt>
                <c:pt idx="630">
                  <c:v>1.1970000000000001</c:v>
                </c:pt>
                <c:pt idx="631">
                  <c:v>1.238</c:v>
                </c:pt>
                <c:pt idx="632">
                  <c:v>1.1935596470000001</c:v>
                </c:pt>
                <c:pt idx="633">
                  <c:v>1.35</c:v>
                </c:pt>
                <c:pt idx="634">
                  <c:v>1.804</c:v>
                </c:pt>
                <c:pt idx="635">
                  <c:v>1.8080000000000001</c:v>
                </c:pt>
                <c:pt idx="636">
                  <c:v>1.5639099999999999</c:v>
                </c:pt>
                <c:pt idx="637">
                  <c:v>1.6975199999999999</c:v>
                </c:pt>
                <c:pt idx="638">
                  <c:v>1.741943598</c:v>
                </c:pt>
                <c:pt idx="639">
                  <c:v>1.5760000000000001</c:v>
                </c:pt>
                <c:pt idx="640">
                  <c:v>1.609</c:v>
                </c:pt>
                <c:pt idx="641">
                  <c:v>1.536676049</c:v>
                </c:pt>
                <c:pt idx="642">
                  <c:v>1.7509999999999999</c:v>
                </c:pt>
                <c:pt idx="643">
                  <c:v>2.2090000000000001</c:v>
                </c:pt>
                <c:pt idx="644">
                  <c:v>2.2000000000000002</c:v>
                </c:pt>
                <c:pt idx="645">
                  <c:v>0.20824000000000001</c:v>
                </c:pt>
                <c:pt idx="646">
                  <c:v>0.27954000000000001</c:v>
                </c:pt>
                <c:pt idx="647">
                  <c:v>0.30580869300000002</c:v>
                </c:pt>
                <c:pt idx="648">
                  <c:v>0.26200000000000001</c:v>
                </c:pt>
                <c:pt idx="649">
                  <c:v>0.27400000000000002</c:v>
                </c:pt>
                <c:pt idx="650">
                  <c:v>0.24455320799999999</c:v>
                </c:pt>
                <c:pt idx="651">
                  <c:v>0.26600000000000001</c:v>
                </c:pt>
                <c:pt idx="652">
                  <c:v>0.67</c:v>
                </c:pt>
                <c:pt idx="653">
                  <c:v>0.63200000000000001</c:v>
                </c:pt>
                <c:pt idx="654">
                  <c:v>1.6039999999999999E-2</c:v>
                </c:pt>
                <c:pt idx="655">
                  <c:v>8.7090000000000001E-2</c:v>
                </c:pt>
                <c:pt idx="656">
                  <c:v>0.23344203799999999</c:v>
                </c:pt>
                <c:pt idx="657">
                  <c:v>0.186</c:v>
                </c:pt>
                <c:pt idx="658">
                  <c:v>0.191</c:v>
                </c:pt>
                <c:pt idx="659">
                  <c:v>0.176534727</c:v>
                </c:pt>
                <c:pt idx="660">
                  <c:v>0.113</c:v>
                </c:pt>
                <c:pt idx="661">
                  <c:v>0.64800000000000002</c:v>
                </c:pt>
                <c:pt idx="662">
                  <c:v>0.63700000000000001</c:v>
                </c:pt>
                <c:pt idx="663">
                  <c:v>1.12486</c:v>
                </c:pt>
                <c:pt idx="664">
                  <c:v>1.25142</c:v>
                </c:pt>
                <c:pt idx="665">
                  <c:v>1.2912154199999999</c:v>
                </c:pt>
                <c:pt idx="666">
                  <c:v>1.161</c:v>
                </c:pt>
                <c:pt idx="667">
                  <c:v>1.2210000000000001</c:v>
                </c:pt>
                <c:pt idx="668">
                  <c:v>1.168421626</c:v>
                </c:pt>
                <c:pt idx="669">
                  <c:v>1.2589999999999999</c:v>
                </c:pt>
                <c:pt idx="670">
                  <c:v>1.6890000000000001</c:v>
                </c:pt>
                <c:pt idx="671">
                  <c:v>1.665</c:v>
                </c:pt>
                <c:pt idx="672">
                  <c:v>0.93786430399999998</c:v>
                </c:pt>
                <c:pt idx="673">
                  <c:v>1.115</c:v>
                </c:pt>
                <c:pt idx="674">
                  <c:v>0.26074000000000003</c:v>
                </c:pt>
                <c:pt idx="675">
                  <c:v>0.31291999999999998</c:v>
                </c:pt>
                <c:pt idx="676">
                  <c:v>0.47618049400000001</c:v>
                </c:pt>
                <c:pt idx="677">
                  <c:v>0.37</c:v>
                </c:pt>
                <c:pt idx="678">
                  <c:v>0.38500000000000001</c:v>
                </c:pt>
                <c:pt idx="679">
                  <c:v>0.35246264900000002</c:v>
                </c:pt>
                <c:pt idx="680">
                  <c:v>0.38700000000000001</c:v>
                </c:pt>
                <c:pt idx="681">
                  <c:v>0.79200000000000004</c:v>
                </c:pt>
                <c:pt idx="682">
                  <c:v>0.76300000000000001</c:v>
                </c:pt>
                <c:pt idx="683">
                  <c:v>1.2074</c:v>
                </c:pt>
                <c:pt idx="684">
                  <c:v>1.30782</c:v>
                </c:pt>
                <c:pt idx="685">
                  <c:v>1.343279839</c:v>
                </c:pt>
                <c:pt idx="686">
                  <c:v>1.27</c:v>
                </c:pt>
                <c:pt idx="687">
                  <c:v>1.3</c:v>
                </c:pt>
                <c:pt idx="688">
                  <c:v>1.2525132889999999</c:v>
                </c:pt>
                <c:pt idx="689">
                  <c:v>1.411</c:v>
                </c:pt>
                <c:pt idx="690">
                  <c:v>1.8380000000000001</c:v>
                </c:pt>
                <c:pt idx="691">
                  <c:v>1.841</c:v>
                </c:pt>
                <c:pt idx="692">
                  <c:v>0.45406999999999997</c:v>
                </c:pt>
                <c:pt idx="693">
                  <c:v>0.61390999999999996</c:v>
                </c:pt>
                <c:pt idx="694">
                  <c:v>0.64845728899999999</c:v>
                </c:pt>
                <c:pt idx="695">
                  <c:v>0.55700000000000005</c:v>
                </c:pt>
                <c:pt idx="696">
                  <c:v>0.56999999999999995</c:v>
                </c:pt>
                <c:pt idx="697">
                  <c:v>0.53968489200000003</c:v>
                </c:pt>
                <c:pt idx="698">
                  <c:v>0.66600000000000004</c:v>
                </c:pt>
                <c:pt idx="699">
                  <c:v>1.1000000000000001</c:v>
                </c:pt>
                <c:pt idx="700">
                  <c:v>1.099</c:v>
                </c:pt>
                <c:pt idx="701">
                  <c:v>1.0076099999999999</c:v>
                </c:pt>
                <c:pt idx="702">
                  <c:v>1.1437200000000001</c:v>
                </c:pt>
                <c:pt idx="703">
                  <c:v>1.1893955469999999</c:v>
                </c:pt>
                <c:pt idx="704">
                  <c:v>1.0900000000000001</c:v>
                </c:pt>
                <c:pt idx="705">
                  <c:v>1.1200000000000001</c:v>
                </c:pt>
                <c:pt idx="706">
                  <c:v>1.07366395</c:v>
                </c:pt>
                <c:pt idx="707">
                  <c:v>1.1779999999999999</c:v>
                </c:pt>
                <c:pt idx="708">
                  <c:v>1.591</c:v>
                </c:pt>
                <c:pt idx="709">
                  <c:v>1.589</c:v>
                </c:pt>
                <c:pt idx="710">
                  <c:v>1.02054</c:v>
                </c:pt>
                <c:pt idx="711">
                  <c:v>1.1150800000000001</c:v>
                </c:pt>
                <c:pt idx="712">
                  <c:v>1.153183818</c:v>
                </c:pt>
                <c:pt idx="713">
                  <c:v>1.038</c:v>
                </c:pt>
                <c:pt idx="714">
                  <c:v>1.07</c:v>
                </c:pt>
                <c:pt idx="715">
                  <c:v>1.024387479</c:v>
                </c:pt>
                <c:pt idx="716">
                  <c:v>1.1259999999999999</c:v>
                </c:pt>
                <c:pt idx="717">
                  <c:v>1.552</c:v>
                </c:pt>
                <c:pt idx="718">
                  <c:v>1.55</c:v>
                </c:pt>
                <c:pt idx="719">
                  <c:v>0.59448000000000001</c:v>
                </c:pt>
                <c:pt idx="720">
                  <c:v>0.69177</c:v>
                </c:pt>
                <c:pt idx="721">
                  <c:v>0.72887062999999996</c:v>
                </c:pt>
                <c:pt idx="722">
                  <c:v>0.65700000000000003</c:v>
                </c:pt>
                <c:pt idx="723">
                  <c:v>0.68500000000000005</c:v>
                </c:pt>
                <c:pt idx="724">
                  <c:v>0.70791679600000001</c:v>
                </c:pt>
                <c:pt idx="725">
                  <c:v>0.98499999999999999</c:v>
                </c:pt>
                <c:pt idx="726">
                  <c:v>1.417</c:v>
                </c:pt>
                <c:pt idx="727">
                  <c:v>1.425</c:v>
                </c:pt>
                <c:pt idx="728">
                  <c:v>0.82818999999999998</c:v>
                </c:pt>
                <c:pt idx="729">
                  <c:v>0.98853000000000002</c:v>
                </c:pt>
                <c:pt idx="730">
                  <c:v>1.0272358660000001</c:v>
                </c:pt>
                <c:pt idx="731">
                  <c:v>0.91400000000000003</c:v>
                </c:pt>
                <c:pt idx="732">
                  <c:v>0.94799999999999995</c:v>
                </c:pt>
                <c:pt idx="733">
                  <c:v>0.90487277499999996</c:v>
                </c:pt>
                <c:pt idx="734">
                  <c:v>0.96599999999999997</c:v>
                </c:pt>
                <c:pt idx="735">
                  <c:v>1.393</c:v>
                </c:pt>
                <c:pt idx="736">
                  <c:v>1.379</c:v>
                </c:pt>
                <c:pt idx="737">
                  <c:v>0.97438000000000002</c:v>
                </c:pt>
                <c:pt idx="738">
                  <c:v>1.0783799999999999</c:v>
                </c:pt>
                <c:pt idx="739">
                  <c:v>1.1211290359999999</c:v>
                </c:pt>
                <c:pt idx="740">
                  <c:v>1.0169999999999999</c:v>
                </c:pt>
                <c:pt idx="741">
                  <c:v>1.0509999999999999</c:v>
                </c:pt>
                <c:pt idx="742">
                  <c:v>1.0101500750000001</c:v>
                </c:pt>
                <c:pt idx="743">
                  <c:v>1.155</c:v>
                </c:pt>
                <c:pt idx="744">
                  <c:v>1.573</c:v>
                </c:pt>
                <c:pt idx="745">
                  <c:v>1.5369999999999999</c:v>
                </c:pt>
                <c:pt idx="746">
                  <c:v>0.73479000000000005</c:v>
                </c:pt>
                <c:pt idx="747">
                  <c:v>0.84057999999999999</c:v>
                </c:pt>
                <c:pt idx="748">
                  <c:v>0.87811458099999995</c:v>
                </c:pt>
                <c:pt idx="749">
                  <c:v>0.77900000000000003</c:v>
                </c:pt>
                <c:pt idx="750">
                  <c:v>0.80100000000000005</c:v>
                </c:pt>
                <c:pt idx="751">
                  <c:v>0.75862211000000002</c:v>
                </c:pt>
                <c:pt idx="752">
                  <c:v>0.79200000000000004</c:v>
                </c:pt>
                <c:pt idx="753">
                  <c:v>1.208</c:v>
                </c:pt>
                <c:pt idx="754">
                  <c:v>1.236</c:v>
                </c:pt>
                <c:pt idx="755">
                  <c:v>8.3080000000000001E-2</c:v>
                </c:pt>
                <c:pt idx="756">
                  <c:v>0.23430565</c:v>
                </c:pt>
                <c:pt idx="757">
                  <c:v>0.19800000000000001</c:v>
                </c:pt>
                <c:pt idx="758">
                  <c:v>0.20399999999999999</c:v>
                </c:pt>
                <c:pt idx="759">
                  <c:v>0.17874136600000001</c:v>
                </c:pt>
                <c:pt idx="760">
                  <c:v>0.183</c:v>
                </c:pt>
                <c:pt idx="761">
                  <c:v>0.57799999999999996</c:v>
                </c:pt>
                <c:pt idx="762">
                  <c:v>0.56999999999999995</c:v>
                </c:pt>
                <c:pt idx="763">
                  <c:v>0.27107999999999999</c:v>
                </c:pt>
                <c:pt idx="764">
                  <c:v>0.34111999999999998</c:v>
                </c:pt>
                <c:pt idx="765">
                  <c:v>0.36711054999999998</c:v>
                </c:pt>
                <c:pt idx="766">
                  <c:v>0.68200000000000005</c:v>
                </c:pt>
                <c:pt idx="767">
                  <c:v>0.71</c:v>
                </c:pt>
                <c:pt idx="768">
                  <c:v>0.67809092999999998</c:v>
                </c:pt>
                <c:pt idx="769">
                  <c:v>0.66600000000000004</c:v>
                </c:pt>
                <c:pt idx="770">
                  <c:v>1.038</c:v>
                </c:pt>
                <c:pt idx="771">
                  <c:v>1.032</c:v>
                </c:pt>
                <c:pt idx="772">
                  <c:v>0.93286999999999998</c:v>
                </c:pt>
                <c:pt idx="773">
                  <c:v>0.96443432600000001</c:v>
                </c:pt>
                <c:pt idx="774">
                  <c:v>0.874</c:v>
                </c:pt>
                <c:pt idx="775">
                  <c:v>0.879</c:v>
                </c:pt>
                <c:pt idx="776">
                  <c:v>0.84008198999999995</c:v>
                </c:pt>
                <c:pt idx="777">
                  <c:v>0.88200000000000001</c:v>
                </c:pt>
                <c:pt idx="778">
                  <c:v>1.292</c:v>
                </c:pt>
                <c:pt idx="779">
                  <c:v>1.2889999999999999</c:v>
                </c:pt>
                <c:pt idx="780">
                  <c:v>0.35997000000000001</c:v>
                </c:pt>
                <c:pt idx="781">
                  <c:v>0.44625999999999999</c:v>
                </c:pt>
                <c:pt idx="782">
                  <c:v>0.47982019199999998</c:v>
                </c:pt>
                <c:pt idx="783">
                  <c:v>0.42499999999999999</c:v>
                </c:pt>
                <c:pt idx="784">
                  <c:v>0.44600000000000001</c:v>
                </c:pt>
                <c:pt idx="785">
                  <c:v>0.44405037200000003</c:v>
                </c:pt>
                <c:pt idx="786">
                  <c:v>0.51900000000000002</c:v>
                </c:pt>
                <c:pt idx="787">
                  <c:v>0.98399999999999999</c:v>
                </c:pt>
                <c:pt idx="788">
                  <c:v>0.97899999999999998</c:v>
                </c:pt>
                <c:pt idx="789">
                  <c:v>1.32944</c:v>
                </c:pt>
                <c:pt idx="790">
                  <c:v>1.46468</c:v>
                </c:pt>
                <c:pt idx="791">
                  <c:v>1.5039446350000001</c:v>
                </c:pt>
                <c:pt idx="792">
                  <c:v>1.361</c:v>
                </c:pt>
                <c:pt idx="793">
                  <c:v>1.3959999999999999</c:v>
                </c:pt>
                <c:pt idx="794">
                  <c:v>1.3389463420000001</c:v>
                </c:pt>
                <c:pt idx="795">
                  <c:v>1.5009999999999999</c:v>
                </c:pt>
                <c:pt idx="796">
                  <c:v>1.9450000000000001</c:v>
                </c:pt>
                <c:pt idx="797">
                  <c:v>1.9419999999999999</c:v>
                </c:pt>
                <c:pt idx="798">
                  <c:v>1.2501800000000001</c:v>
                </c:pt>
                <c:pt idx="799">
                  <c:v>1.36066</c:v>
                </c:pt>
                <c:pt idx="800">
                  <c:v>1.4057060480000001</c:v>
                </c:pt>
                <c:pt idx="801">
                  <c:v>1.268</c:v>
                </c:pt>
                <c:pt idx="802">
                  <c:v>1.3029999999999999</c:v>
                </c:pt>
                <c:pt idx="803">
                  <c:v>1.2423179150000001</c:v>
                </c:pt>
                <c:pt idx="804">
                  <c:v>1.4</c:v>
                </c:pt>
                <c:pt idx="805">
                  <c:v>1.8520000000000001</c:v>
                </c:pt>
                <c:pt idx="806">
                  <c:v>1.8420000000000001</c:v>
                </c:pt>
                <c:pt idx="807">
                  <c:v>0.59325000000000006</c:v>
                </c:pt>
                <c:pt idx="808">
                  <c:v>0.69384000000000001</c:v>
                </c:pt>
                <c:pt idx="809">
                  <c:v>0.73729920400000004</c:v>
                </c:pt>
                <c:pt idx="810">
                  <c:v>0.66800000000000004</c:v>
                </c:pt>
                <c:pt idx="811">
                  <c:v>0.69399999999999995</c:v>
                </c:pt>
                <c:pt idx="812">
                  <c:v>0.62003314499999995</c:v>
                </c:pt>
                <c:pt idx="813">
                  <c:v>0.69299999999999995</c:v>
                </c:pt>
                <c:pt idx="814">
                  <c:v>1.105</c:v>
                </c:pt>
                <c:pt idx="815">
                  <c:v>1.109</c:v>
                </c:pt>
                <c:pt idx="816">
                  <c:v>6.9400000000000003E-2</c:v>
                </c:pt>
                <c:pt idx="817">
                  <c:v>0.13270000000000001</c:v>
                </c:pt>
                <c:pt idx="818">
                  <c:v>0.16192533100000001</c:v>
                </c:pt>
                <c:pt idx="819">
                  <c:v>0.13100000000000001</c:v>
                </c:pt>
                <c:pt idx="820">
                  <c:v>0.13800000000000001</c:v>
                </c:pt>
                <c:pt idx="821">
                  <c:v>0.108330332</c:v>
                </c:pt>
                <c:pt idx="822">
                  <c:v>0.16200000000000001</c:v>
                </c:pt>
                <c:pt idx="823">
                  <c:v>0.56999999999999995</c:v>
                </c:pt>
                <c:pt idx="824">
                  <c:v>0.56100000000000005</c:v>
                </c:pt>
                <c:pt idx="825">
                  <c:v>0.65434999999999999</c:v>
                </c:pt>
                <c:pt idx="826">
                  <c:v>0.75216000000000005</c:v>
                </c:pt>
                <c:pt idx="827">
                  <c:v>0.78375625599999998</c:v>
                </c:pt>
                <c:pt idx="828">
                  <c:v>0.68899999999999995</c:v>
                </c:pt>
                <c:pt idx="829">
                  <c:v>0.69599999999999995</c:v>
                </c:pt>
                <c:pt idx="830">
                  <c:v>0.64590185899999997</c:v>
                </c:pt>
                <c:pt idx="831">
                  <c:v>0.66300000000000003</c:v>
                </c:pt>
                <c:pt idx="832">
                  <c:v>1.079</c:v>
                </c:pt>
                <c:pt idx="833">
                  <c:v>1.0649999999999999</c:v>
                </c:pt>
                <c:pt idx="834">
                  <c:v>0.91851000000000005</c:v>
                </c:pt>
                <c:pt idx="835">
                  <c:v>1.0193000000000001</c:v>
                </c:pt>
                <c:pt idx="836">
                  <c:v>1.0645779369999999</c:v>
                </c:pt>
                <c:pt idx="837">
                  <c:v>0.95899999999999996</c:v>
                </c:pt>
                <c:pt idx="838">
                  <c:v>0.98299999999999998</c:v>
                </c:pt>
                <c:pt idx="839">
                  <c:v>0.93537199500000001</c:v>
                </c:pt>
                <c:pt idx="840">
                  <c:v>1.0680000000000001</c:v>
                </c:pt>
                <c:pt idx="841">
                  <c:v>1.5049999999999999</c:v>
                </c:pt>
                <c:pt idx="842">
                  <c:v>1.498</c:v>
                </c:pt>
                <c:pt idx="843">
                  <c:v>1.4590000000000001</c:v>
                </c:pt>
                <c:pt idx="844">
                  <c:v>1.57744</c:v>
                </c:pt>
                <c:pt idx="845">
                  <c:v>1.6164631840000001</c:v>
                </c:pt>
                <c:pt idx="846">
                  <c:v>1.456</c:v>
                </c:pt>
                <c:pt idx="847">
                  <c:v>1.488</c:v>
                </c:pt>
                <c:pt idx="848">
                  <c:v>1.42420733</c:v>
                </c:pt>
                <c:pt idx="849">
                  <c:v>1.5429999999999999</c:v>
                </c:pt>
                <c:pt idx="850">
                  <c:v>1.9970000000000001</c:v>
                </c:pt>
                <c:pt idx="851">
                  <c:v>1.994</c:v>
                </c:pt>
                <c:pt idx="852">
                  <c:v>1.3601099999999999</c:v>
                </c:pt>
                <c:pt idx="853">
                  <c:v>0.59543000000000001</c:v>
                </c:pt>
                <c:pt idx="854">
                  <c:v>0.68815999999999999</c:v>
                </c:pt>
                <c:pt idx="855">
                  <c:v>0.72688353100000003</c:v>
                </c:pt>
                <c:pt idx="856">
                  <c:v>0.65200000000000002</c:v>
                </c:pt>
                <c:pt idx="857">
                  <c:v>0.67700000000000005</c:v>
                </c:pt>
                <c:pt idx="858">
                  <c:v>0.61679947400000001</c:v>
                </c:pt>
                <c:pt idx="859">
                  <c:v>0.63700000000000001</c:v>
                </c:pt>
                <c:pt idx="860">
                  <c:v>1.0489999999999999</c:v>
                </c:pt>
                <c:pt idx="861">
                  <c:v>1.081</c:v>
                </c:pt>
                <c:pt idx="862">
                  <c:v>1.0635300000000001</c:v>
                </c:pt>
                <c:pt idx="863">
                  <c:v>1.18306</c:v>
                </c:pt>
                <c:pt idx="864">
                  <c:v>1.2337484359999999</c:v>
                </c:pt>
                <c:pt idx="865">
                  <c:v>1.1120000000000001</c:v>
                </c:pt>
                <c:pt idx="866">
                  <c:v>1.149</c:v>
                </c:pt>
                <c:pt idx="867">
                  <c:v>1.0976678129999999</c:v>
                </c:pt>
                <c:pt idx="868">
                  <c:v>1.298</c:v>
                </c:pt>
                <c:pt idx="869">
                  <c:v>1.7150000000000001</c:v>
                </c:pt>
                <c:pt idx="870">
                  <c:v>1.714</c:v>
                </c:pt>
                <c:pt idx="871">
                  <c:v>0.75985000000000003</c:v>
                </c:pt>
                <c:pt idx="872">
                  <c:v>0.89373000000000002</c:v>
                </c:pt>
                <c:pt idx="873">
                  <c:v>0.93253731699999998</c:v>
                </c:pt>
                <c:pt idx="874">
                  <c:v>0.83499999999999996</c:v>
                </c:pt>
                <c:pt idx="875">
                  <c:v>0.85499999999999998</c:v>
                </c:pt>
                <c:pt idx="876">
                  <c:v>0.89799082299999999</c:v>
                </c:pt>
                <c:pt idx="877">
                  <c:v>0.98299999999999998</c:v>
                </c:pt>
                <c:pt idx="878">
                  <c:v>1.409</c:v>
                </c:pt>
                <c:pt idx="879">
                  <c:v>1.4279999999999999</c:v>
                </c:pt>
                <c:pt idx="880">
                  <c:v>0.90019000000000005</c:v>
                </c:pt>
                <c:pt idx="881">
                  <c:v>0.99602000000000002</c:v>
                </c:pt>
                <c:pt idx="882">
                  <c:v>1.0352252719999999</c:v>
                </c:pt>
                <c:pt idx="883">
                  <c:v>0.93400000000000005</c:v>
                </c:pt>
                <c:pt idx="884">
                  <c:v>0.96</c:v>
                </c:pt>
                <c:pt idx="885">
                  <c:v>0.91854917999999997</c:v>
                </c:pt>
                <c:pt idx="886">
                  <c:v>0.98599999999999999</c:v>
                </c:pt>
                <c:pt idx="887">
                  <c:v>1.397</c:v>
                </c:pt>
                <c:pt idx="888">
                  <c:v>1.39</c:v>
                </c:pt>
                <c:pt idx="889">
                  <c:v>0.70531999999999995</c:v>
                </c:pt>
                <c:pt idx="890">
                  <c:v>0.81216999999999995</c:v>
                </c:pt>
                <c:pt idx="891">
                  <c:v>0.85769921500000001</c:v>
                </c:pt>
                <c:pt idx="892">
                  <c:v>0.77500000000000002</c:v>
                </c:pt>
                <c:pt idx="893">
                  <c:v>0.80700000000000005</c:v>
                </c:pt>
                <c:pt idx="894">
                  <c:v>0.77512067600000001</c:v>
                </c:pt>
                <c:pt idx="895">
                  <c:v>0.85299999999999998</c:v>
                </c:pt>
                <c:pt idx="896">
                  <c:v>1.268</c:v>
                </c:pt>
                <c:pt idx="897">
                  <c:v>1.238</c:v>
                </c:pt>
                <c:pt idx="898">
                  <c:v>1.1255500000000001</c:v>
                </c:pt>
                <c:pt idx="899">
                  <c:v>1.2458499999999999</c:v>
                </c:pt>
                <c:pt idx="900">
                  <c:v>1.2917878629999999</c:v>
                </c:pt>
                <c:pt idx="901">
                  <c:v>1.1759999999999999</c:v>
                </c:pt>
                <c:pt idx="902">
                  <c:v>1.206</c:v>
                </c:pt>
                <c:pt idx="903">
                  <c:v>1.1692291500000001</c:v>
                </c:pt>
                <c:pt idx="904">
                  <c:v>1.3089999999999999</c:v>
                </c:pt>
                <c:pt idx="905">
                  <c:v>1.758</c:v>
                </c:pt>
                <c:pt idx="906">
                  <c:v>1.7669999999999999</c:v>
                </c:pt>
                <c:pt idx="907">
                  <c:v>1.15991</c:v>
                </c:pt>
                <c:pt idx="908">
                  <c:v>1.27607</c:v>
                </c:pt>
                <c:pt idx="909">
                  <c:v>1.315175295</c:v>
                </c:pt>
                <c:pt idx="910">
                  <c:v>1.1879999999999999</c:v>
                </c:pt>
                <c:pt idx="911">
                  <c:v>1.2210000000000001</c:v>
                </c:pt>
                <c:pt idx="912">
                  <c:v>1.168800831</c:v>
                </c:pt>
                <c:pt idx="913">
                  <c:v>1.323</c:v>
                </c:pt>
                <c:pt idx="914">
                  <c:v>1.76</c:v>
                </c:pt>
                <c:pt idx="915">
                  <c:v>1.758</c:v>
                </c:pt>
                <c:pt idx="916">
                  <c:v>1.3594299999999999</c:v>
                </c:pt>
                <c:pt idx="917">
                  <c:v>1.69042</c:v>
                </c:pt>
                <c:pt idx="918">
                  <c:v>1.8242700000000001</c:v>
                </c:pt>
                <c:pt idx="919">
                  <c:v>1.8707656859999999</c:v>
                </c:pt>
                <c:pt idx="920">
                  <c:v>1.649</c:v>
                </c:pt>
                <c:pt idx="921">
                  <c:v>1.6839999999999999</c:v>
                </c:pt>
                <c:pt idx="922">
                  <c:v>1.04345</c:v>
                </c:pt>
                <c:pt idx="923">
                  <c:v>1.1697</c:v>
                </c:pt>
                <c:pt idx="924">
                  <c:v>1.217683911</c:v>
                </c:pt>
                <c:pt idx="925">
                  <c:v>1.1160000000000001</c:v>
                </c:pt>
                <c:pt idx="926">
                  <c:v>1.1619999999999999</c:v>
                </c:pt>
                <c:pt idx="927">
                  <c:v>1.1204016210000001</c:v>
                </c:pt>
                <c:pt idx="928">
                  <c:v>1.2749999999999999</c:v>
                </c:pt>
                <c:pt idx="929">
                  <c:v>1.7190000000000001</c:v>
                </c:pt>
                <c:pt idx="930">
                  <c:v>1.726</c:v>
                </c:pt>
                <c:pt idx="931">
                  <c:v>0.22208</c:v>
                </c:pt>
                <c:pt idx="932">
                  <c:v>0.32845999999999997</c:v>
                </c:pt>
                <c:pt idx="933">
                  <c:v>0.36874589299999999</c:v>
                </c:pt>
                <c:pt idx="934">
                  <c:v>0.33200000000000002</c:v>
                </c:pt>
                <c:pt idx="935">
                  <c:v>0.35899999999999999</c:v>
                </c:pt>
                <c:pt idx="936">
                  <c:v>0.343242675</c:v>
                </c:pt>
                <c:pt idx="937">
                  <c:v>0.36399999999999999</c:v>
                </c:pt>
                <c:pt idx="938">
                  <c:v>0.78500000000000003</c:v>
                </c:pt>
                <c:pt idx="939">
                  <c:v>1.39541</c:v>
                </c:pt>
                <c:pt idx="940">
                  <c:v>1.48953</c:v>
                </c:pt>
                <c:pt idx="941">
                  <c:v>1.530623555</c:v>
                </c:pt>
                <c:pt idx="942">
                  <c:v>1.379</c:v>
                </c:pt>
                <c:pt idx="943">
                  <c:v>1.403</c:v>
                </c:pt>
                <c:pt idx="944">
                  <c:v>1.334328532</c:v>
                </c:pt>
                <c:pt idx="945">
                  <c:v>1.4350000000000001</c:v>
                </c:pt>
                <c:pt idx="946">
                  <c:v>1.87</c:v>
                </c:pt>
                <c:pt idx="947">
                  <c:v>1.861</c:v>
                </c:pt>
                <c:pt idx="948">
                  <c:v>0.36498000000000003</c:v>
                </c:pt>
                <c:pt idx="949">
                  <c:v>0.44313999999999998</c:v>
                </c:pt>
                <c:pt idx="950">
                  <c:v>0.47930902199999997</c:v>
                </c:pt>
                <c:pt idx="951">
                  <c:v>0.42899999999999999</c:v>
                </c:pt>
                <c:pt idx="952">
                  <c:v>0.45</c:v>
                </c:pt>
                <c:pt idx="953">
                  <c:v>0.50406181800000005</c:v>
                </c:pt>
                <c:pt idx="954">
                  <c:v>0.51800000000000002</c:v>
                </c:pt>
                <c:pt idx="955">
                  <c:v>0.93300000000000005</c:v>
                </c:pt>
                <c:pt idx="956">
                  <c:v>0.94299999999999995</c:v>
                </c:pt>
                <c:pt idx="957">
                  <c:v>0.92052999999999996</c:v>
                </c:pt>
                <c:pt idx="958">
                  <c:v>1.03437</c:v>
                </c:pt>
                <c:pt idx="959">
                  <c:v>1.069317579</c:v>
                </c:pt>
                <c:pt idx="960">
                  <c:v>0.97499999999999998</c:v>
                </c:pt>
                <c:pt idx="961">
                  <c:v>1.004</c:v>
                </c:pt>
                <c:pt idx="962">
                  <c:v>0.98818182899999996</c:v>
                </c:pt>
                <c:pt idx="963">
                  <c:v>1.101</c:v>
                </c:pt>
                <c:pt idx="964">
                  <c:v>1.55</c:v>
                </c:pt>
                <c:pt idx="965">
                  <c:v>1.552</c:v>
                </c:pt>
                <c:pt idx="966">
                  <c:v>0.33023999999999998</c:v>
                </c:pt>
                <c:pt idx="967">
                  <c:v>0.36485000000000001</c:v>
                </c:pt>
                <c:pt idx="968">
                  <c:v>0.36842092900000001</c:v>
                </c:pt>
                <c:pt idx="969">
                  <c:v>0.25600000000000001</c:v>
                </c:pt>
                <c:pt idx="970">
                  <c:v>0.26800000000000002</c:v>
                </c:pt>
                <c:pt idx="971">
                  <c:v>0.24056038299999999</c:v>
                </c:pt>
                <c:pt idx="972">
                  <c:v>0.27900000000000003</c:v>
                </c:pt>
                <c:pt idx="973">
                  <c:v>0.68600000000000005</c:v>
                </c:pt>
                <c:pt idx="974">
                  <c:v>0.67</c:v>
                </c:pt>
                <c:pt idx="975">
                  <c:v>1.52186</c:v>
                </c:pt>
                <c:pt idx="976">
                  <c:v>1.6455500000000001</c:v>
                </c:pt>
                <c:pt idx="977">
                  <c:v>1.69227767</c:v>
                </c:pt>
                <c:pt idx="978">
                  <c:v>1.5289999999999999</c:v>
                </c:pt>
                <c:pt idx="979">
                  <c:v>1.5720000000000001</c:v>
                </c:pt>
                <c:pt idx="980">
                  <c:v>1.5195801259999999</c:v>
                </c:pt>
                <c:pt idx="981">
                  <c:v>1.6950000000000001</c:v>
                </c:pt>
                <c:pt idx="982">
                  <c:v>2.149</c:v>
                </c:pt>
                <c:pt idx="983">
                  <c:v>2.1680000000000001</c:v>
                </c:pt>
                <c:pt idx="984">
                  <c:v>1.1689099999999999</c:v>
                </c:pt>
                <c:pt idx="985">
                  <c:v>1.27973</c:v>
                </c:pt>
                <c:pt idx="986">
                  <c:v>1.325393558</c:v>
                </c:pt>
                <c:pt idx="987">
                  <c:v>1.21</c:v>
                </c:pt>
                <c:pt idx="988">
                  <c:v>1.246</c:v>
                </c:pt>
                <c:pt idx="989">
                  <c:v>1.1948376890000001</c:v>
                </c:pt>
                <c:pt idx="990">
                  <c:v>1.304</c:v>
                </c:pt>
                <c:pt idx="991">
                  <c:v>1.736</c:v>
                </c:pt>
                <c:pt idx="992">
                  <c:v>1.7310000000000001</c:v>
                </c:pt>
                <c:pt idx="993">
                  <c:v>1.1849799999999999</c:v>
                </c:pt>
                <c:pt idx="994">
                  <c:v>1.2994699999999999</c:v>
                </c:pt>
                <c:pt idx="995">
                  <c:v>1.3412059549999999</c:v>
                </c:pt>
                <c:pt idx="996">
                  <c:v>1.2190000000000001</c:v>
                </c:pt>
                <c:pt idx="997">
                  <c:v>1.258</c:v>
                </c:pt>
                <c:pt idx="998">
                  <c:v>1.208652496</c:v>
                </c:pt>
                <c:pt idx="999">
                  <c:v>1.36</c:v>
                </c:pt>
                <c:pt idx="1000">
                  <c:v>1.81</c:v>
                </c:pt>
                <c:pt idx="1001">
                  <c:v>1.8149999999999999</c:v>
                </c:pt>
                <c:pt idx="1002">
                  <c:v>0</c:v>
                </c:pt>
                <c:pt idx="1003">
                  <c:v>2.2643184E-2</c:v>
                </c:pt>
                <c:pt idx="1004">
                  <c:v>0</c:v>
                </c:pt>
                <c:pt idx="1005">
                  <c:v>0</c:v>
                </c:pt>
                <c:pt idx="1006">
                  <c:v>0.92049000000000003</c:v>
                </c:pt>
                <c:pt idx="1007">
                  <c:v>1.02416</c:v>
                </c:pt>
                <c:pt idx="1008">
                  <c:v>1.0546987059999999</c:v>
                </c:pt>
                <c:pt idx="1009">
                  <c:v>0.94</c:v>
                </c:pt>
                <c:pt idx="1010">
                  <c:v>0.96</c:v>
                </c:pt>
                <c:pt idx="1011">
                  <c:v>0.90214043899999996</c:v>
                </c:pt>
                <c:pt idx="1012">
                  <c:v>0.96699999999999997</c:v>
                </c:pt>
                <c:pt idx="1013">
                  <c:v>1.425</c:v>
                </c:pt>
                <c:pt idx="1014">
                  <c:v>1.417</c:v>
                </c:pt>
                <c:pt idx="1015">
                  <c:v>0.39394000000000001</c:v>
                </c:pt>
                <c:pt idx="1016">
                  <c:v>0.39724862599999999</c:v>
                </c:pt>
                <c:pt idx="1017">
                  <c:v>0.33700000000000002</c:v>
                </c:pt>
                <c:pt idx="1018">
                  <c:v>0.30599999999999999</c:v>
                </c:pt>
                <c:pt idx="1019">
                  <c:v>0.28908297399999999</c:v>
                </c:pt>
                <c:pt idx="1020">
                  <c:v>1.23011</c:v>
                </c:pt>
                <c:pt idx="1021">
                  <c:v>1.34253</c:v>
                </c:pt>
                <c:pt idx="1022">
                  <c:v>1.3843978640000001</c:v>
                </c:pt>
                <c:pt idx="1023">
                  <c:v>1.2509999999999999</c:v>
                </c:pt>
                <c:pt idx="1024">
                  <c:v>1.286</c:v>
                </c:pt>
                <c:pt idx="1025">
                  <c:v>1.230535269</c:v>
                </c:pt>
                <c:pt idx="1026">
                  <c:v>1.375</c:v>
                </c:pt>
                <c:pt idx="1027">
                  <c:v>1.8080000000000001</c:v>
                </c:pt>
                <c:pt idx="1028">
                  <c:v>1.798</c:v>
                </c:pt>
                <c:pt idx="1029">
                  <c:v>0.83523999999999998</c:v>
                </c:pt>
                <c:pt idx="1030">
                  <c:v>0.97318000000000005</c:v>
                </c:pt>
                <c:pt idx="1031">
                  <c:v>1.0098501440000001</c:v>
                </c:pt>
                <c:pt idx="1032">
                  <c:v>0.91800000000000004</c:v>
                </c:pt>
                <c:pt idx="1033">
                  <c:v>0.94899999999999995</c:v>
                </c:pt>
                <c:pt idx="1034">
                  <c:v>0.89798694800000001</c:v>
                </c:pt>
                <c:pt idx="1035">
                  <c:v>0.99</c:v>
                </c:pt>
                <c:pt idx="1036">
                  <c:v>1.415</c:v>
                </c:pt>
                <c:pt idx="1037">
                  <c:v>1.4219999999999999</c:v>
                </c:pt>
                <c:pt idx="1038">
                  <c:v>0.52107000000000003</c:v>
                </c:pt>
                <c:pt idx="1039">
                  <c:v>0.63068999999999997</c:v>
                </c:pt>
                <c:pt idx="1040">
                  <c:v>0.65951669199999996</c:v>
                </c:pt>
                <c:pt idx="1041">
                  <c:v>0.60499999999999998</c:v>
                </c:pt>
                <c:pt idx="1042">
                  <c:v>0.99534</c:v>
                </c:pt>
                <c:pt idx="1043">
                  <c:v>1.0968599999999999</c:v>
                </c:pt>
                <c:pt idx="1044">
                  <c:v>0.71206000000000003</c:v>
                </c:pt>
                <c:pt idx="1045">
                  <c:v>0.81100000000000005</c:v>
                </c:pt>
                <c:pt idx="1046">
                  <c:v>0.82753974200000002</c:v>
                </c:pt>
                <c:pt idx="1047">
                  <c:v>0.84899999999999998</c:v>
                </c:pt>
                <c:pt idx="1048">
                  <c:v>1.3317099999999999</c:v>
                </c:pt>
                <c:pt idx="1049">
                  <c:v>1.45181</c:v>
                </c:pt>
                <c:pt idx="1050">
                  <c:v>1.494387269</c:v>
                </c:pt>
                <c:pt idx="1051">
                  <c:v>1.355</c:v>
                </c:pt>
                <c:pt idx="1052">
                  <c:v>1.387</c:v>
                </c:pt>
                <c:pt idx="1053">
                  <c:v>1.322235227</c:v>
                </c:pt>
                <c:pt idx="1054">
                  <c:v>1.478</c:v>
                </c:pt>
                <c:pt idx="1055">
                  <c:v>1.92</c:v>
                </c:pt>
                <c:pt idx="1056">
                  <c:v>1.921</c:v>
                </c:pt>
                <c:pt idx="1057">
                  <c:v>1.3965099999999999</c:v>
                </c:pt>
                <c:pt idx="1058">
                  <c:v>1.5273300000000001</c:v>
                </c:pt>
                <c:pt idx="1059">
                  <c:v>1.5649795529999999</c:v>
                </c:pt>
                <c:pt idx="1060">
                  <c:v>1.42</c:v>
                </c:pt>
                <c:pt idx="1061">
                  <c:v>1.452</c:v>
                </c:pt>
                <c:pt idx="1062">
                  <c:v>1.39077425</c:v>
                </c:pt>
                <c:pt idx="1063">
                  <c:v>1.5660000000000001</c:v>
                </c:pt>
                <c:pt idx="1064">
                  <c:v>2.0259999999999998</c:v>
                </c:pt>
                <c:pt idx="1065">
                  <c:v>2.0219999999999998</c:v>
                </c:pt>
                <c:pt idx="1066">
                  <c:v>1.29098</c:v>
                </c:pt>
                <c:pt idx="1067">
                  <c:v>1.3972899999999999</c:v>
                </c:pt>
                <c:pt idx="1068">
                  <c:v>1.433626533</c:v>
                </c:pt>
                <c:pt idx="1069">
                  <c:v>1.365</c:v>
                </c:pt>
                <c:pt idx="1070">
                  <c:v>1.3680000000000001</c:v>
                </c:pt>
                <c:pt idx="1071">
                  <c:v>1.3274705410000001</c:v>
                </c:pt>
                <c:pt idx="1072">
                  <c:v>1.48</c:v>
                </c:pt>
                <c:pt idx="1073">
                  <c:v>1.897</c:v>
                </c:pt>
                <c:pt idx="1074">
                  <c:v>1.89</c:v>
                </c:pt>
                <c:pt idx="1075">
                  <c:v>0.39046999999999998</c:v>
                </c:pt>
                <c:pt idx="1076">
                  <c:v>0.48835000000000001</c:v>
                </c:pt>
                <c:pt idx="1077">
                  <c:v>0.52471363500000001</c:v>
                </c:pt>
                <c:pt idx="1078">
                  <c:v>0.47399999999999998</c:v>
                </c:pt>
                <c:pt idx="1079">
                  <c:v>0.49299999999999999</c:v>
                </c:pt>
                <c:pt idx="1080">
                  <c:v>0.47487461600000003</c:v>
                </c:pt>
                <c:pt idx="1081">
                  <c:v>0.50800000000000001</c:v>
                </c:pt>
                <c:pt idx="1082">
                  <c:v>0.96599999999999997</c:v>
                </c:pt>
                <c:pt idx="1083">
                  <c:v>0.97199999999999998</c:v>
                </c:pt>
                <c:pt idx="1084">
                  <c:v>0.28520000000000001</c:v>
                </c:pt>
                <c:pt idx="1085">
                  <c:v>0.47155000000000002</c:v>
                </c:pt>
                <c:pt idx="1086">
                  <c:v>0.51113587599999999</c:v>
                </c:pt>
                <c:pt idx="1087">
                  <c:v>0.45500000000000002</c:v>
                </c:pt>
                <c:pt idx="1088">
                  <c:v>0.47599999999999998</c:v>
                </c:pt>
                <c:pt idx="1089">
                  <c:v>0.457163125</c:v>
                </c:pt>
                <c:pt idx="1090">
                  <c:v>0.433</c:v>
                </c:pt>
                <c:pt idx="1091">
                  <c:v>0.84799999999999998</c:v>
                </c:pt>
                <c:pt idx="1092">
                  <c:v>0.83599999999999997</c:v>
                </c:pt>
                <c:pt idx="1093">
                  <c:v>0.96689999999999998</c:v>
                </c:pt>
                <c:pt idx="1094">
                  <c:v>1.0892999999999999</c:v>
                </c:pt>
                <c:pt idx="1095">
                  <c:v>1.127868772</c:v>
                </c:pt>
                <c:pt idx="1096">
                  <c:v>1.016</c:v>
                </c:pt>
                <c:pt idx="1097">
                  <c:v>1.05</c:v>
                </c:pt>
                <c:pt idx="1098">
                  <c:v>1.0070292949999999</c:v>
                </c:pt>
                <c:pt idx="1099">
                  <c:v>1.107</c:v>
                </c:pt>
                <c:pt idx="1100">
                  <c:v>1.5349999999999999</c:v>
                </c:pt>
                <c:pt idx="1101">
                  <c:v>1.5149999999999999</c:v>
                </c:pt>
                <c:pt idx="1102">
                  <c:v>0.20868</c:v>
                </c:pt>
                <c:pt idx="1103">
                  <c:v>0.28122999999999998</c:v>
                </c:pt>
                <c:pt idx="1104">
                  <c:v>0.30544471699999998</c:v>
                </c:pt>
                <c:pt idx="1105">
                  <c:v>0.25900000000000001</c:v>
                </c:pt>
                <c:pt idx="1106">
                  <c:v>0.27500000000000002</c:v>
                </c:pt>
                <c:pt idx="1107">
                  <c:v>0.26811626599999999</c:v>
                </c:pt>
                <c:pt idx="1108">
                  <c:v>0.254</c:v>
                </c:pt>
                <c:pt idx="1109">
                  <c:v>0.77100000000000002</c:v>
                </c:pt>
                <c:pt idx="1110">
                  <c:v>0.77</c:v>
                </c:pt>
                <c:pt idx="1111">
                  <c:v>1.21183</c:v>
                </c:pt>
                <c:pt idx="1112">
                  <c:v>1.32572</c:v>
                </c:pt>
                <c:pt idx="1113">
                  <c:v>1.361355901</c:v>
                </c:pt>
                <c:pt idx="1114">
                  <c:v>1.2230000000000001</c:v>
                </c:pt>
                <c:pt idx="1115">
                  <c:v>1.2310000000000001</c:v>
                </c:pt>
                <c:pt idx="1116">
                  <c:v>1.167641521</c:v>
                </c:pt>
                <c:pt idx="1117">
                  <c:v>0.88112999999999997</c:v>
                </c:pt>
                <c:pt idx="1118">
                  <c:v>0.97724</c:v>
                </c:pt>
                <c:pt idx="1119">
                  <c:v>1.0072658059999999</c:v>
                </c:pt>
                <c:pt idx="1120">
                  <c:v>0.9</c:v>
                </c:pt>
                <c:pt idx="1121">
                  <c:v>0.92100000000000004</c:v>
                </c:pt>
                <c:pt idx="1122">
                  <c:v>0.87474268700000002</c:v>
                </c:pt>
                <c:pt idx="1123">
                  <c:v>0.91900000000000004</c:v>
                </c:pt>
                <c:pt idx="1124">
                  <c:v>1.35</c:v>
                </c:pt>
                <c:pt idx="1125">
                  <c:v>1.333</c:v>
                </c:pt>
                <c:pt idx="1126">
                  <c:v>1.06098</c:v>
                </c:pt>
                <c:pt idx="1127">
                  <c:v>1.16492</c:v>
                </c:pt>
                <c:pt idx="1128">
                  <c:v>1.1982743739999999</c:v>
                </c:pt>
                <c:pt idx="1129">
                  <c:v>1.1479999999999999</c:v>
                </c:pt>
                <c:pt idx="1130">
                  <c:v>1.1830000000000001</c:v>
                </c:pt>
                <c:pt idx="1131">
                  <c:v>1.127169251</c:v>
                </c:pt>
                <c:pt idx="1132">
                  <c:v>1.26</c:v>
                </c:pt>
                <c:pt idx="1133">
                  <c:v>1.7070000000000001</c:v>
                </c:pt>
                <c:pt idx="1134">
                  <c:v>0.95847000000000004</c:v>
                </c:pt>
                <c:pt idx="1135">
                  <c:v>1.0801700000000001</c:v>
                </c:pt>
                <c:pt idx="1136">
                  <c:v>1.1307767630000001</c:v>
                </c:pt>
                <c:pt idx="1137">
                  <c:v>1.016</c:v>
                </c:pt>
                <c:pt idx="1138">
                  <c:v>1.052</c:v>
                </c:pt>
                <c:pt idx="1139">
                  <c:v>1.0089635850000001</c:v>
                </c:pt>
                <c:pt idx="1140">
                  <c:v>1.046</c:v>
                </c:pt>
                <c:pt idx="1141">
                  <c:v>1.484</c:v>
                </c:pt>
                <c:pt idx="1142">
                  <c:v>0.21102000000000001</c:v>
                </c:pt>
                <c:pt idx="1143">
                  <c:v>0.34719</c:v>
                </c:pt>
                <c:pt idx="1144">
                  <c:v>0.38143071499999998</c:v>
                </c:pt>
                <c:pt idx="1145">
                  <c:v>0.32200000000000001</c:v>
                </c:pt>
                <c:pt idx="1146">
                  <c:v>0.33200000000000002</c:v>
                </c:pt>
                <c:pt idx="1147">
                  <c:v>0.31233742799999997</c:v>
                </c:pt>
                <c:pt idx="1148">
                  <c:v>0.36399999999999999</c:v>
                </c:pt>
                <c:pt idx="1149">
                  <c:v>0.77700000000000002</c:v>
                </c:pt>
                <c:pt idx="1150">
                  <c:v>0.78500000000000003</c:v>
                </c:pt>
                <c:pt idx="1151">
                  <c:v>0.79906999999999995</c:v>
                </c:pt>
                <c:pt idx="1152">
                  <c:v>0.87287000000000003</c:v>
                </c:pt>
                <c:pt idx="1153">
                  <c:v>0.894651949</c:v>
                </c:pt>
                <c:pt idx="1154">
                  <c:v>0.79300000000000004</c:v>
                </c:pt>
                <c:pt idx="1155">
                  <c:v>0.82</c:v>
                </c:pt>
                <c:pt idx="1156">
                  <c:v>0.78043460799999997</c:v>
                </c:pt>
                <c:pt idx="1157">
                  <c:v>0.97899999999999998</c:v>
                </c:pt>
                <c:pt idx="1158">
                  <c:v>1.411</c:v>
                </c:pt>
                <c:pt idx="1159">
                  <c:v>1.3580000000000001</c:v>
                </c:pt>
                <c:pt idx="1160">
                  <c:v>1.42727</c:v>
                </c:pt>
                <c:pt idx="1161">
                  <c:v>1.57352</c:v>
                </c:pt>
                <c:pt idx="1162">
                  <c:v>1.626343369</c:v>
                </c:pt>
                <c:pt idx="1163">
                  <c:v>2.0960000000000001</c:v>
                </c:pt>
                <c:pt idx="1164">
                  <c:v>1.5029999999999999</c:v>
                </c:pt>
                <c:pt idx="1165">
                  <c:v>1.4310864210000001</c:v>
                </c:pt>
                <c:pt idx="1166">
                  <c:v>1.5549999999999999</c:v>
                </c:pt>
                <c:pt idx="1167">
                  <c:v>1.998</c:v>
                </c:pt>
                <c:pt idx="1168">
                  <c:v>2.0150000000000001</c:v>
                </c:pt>
                <c:pt idx="1169">
                  <c:v>1.26637</c:v>
                </c:pt>
                <c:pt idx="1170">
                  <c:v>1.40283</c:v>
                </c:pt>
                <c:pt idx="1171">
                  <c:v>1.44163394</c:v>
                </c:pt>
                <c:pt idx="1172">
                  <c:v>1.244</c:v>
                </c:pt>
                <c:pt idx="1173">
                  <c:v>1.333</c:v>
                </c:pt>
                <c:pt idx="1174">
                  <c:v>1.273061037</c:v>
                </c:pt>
                <c:pt idx="1175">
                  <c:v>1.423</c:v>
                </c:pt>
                <c:pt idx="1176">
                  <c:v>1.867</c:v>
                </c:pt>
                <c:pt idx="1177">
                  <c:v>1.857</c:v>
                </c:pt>
                <c:pt idx="1178">
                  <c:v>1.3945099999999999</c:v>
                </c:pt>
                <c:pt idx="1179">
                  <c:v>1.50796</c:v>
                </c:pt>
                <c:pt idx="1180">
                  <c:v>1.546259284</c:v>
                </c:pt>
                <c:pt idx="1181">
                  <c:v>1.3979999999999999</c:v>
                </c:pt>
                <c:pt idx="1182">
                  <c:v>1.4330000000000001</c:v>
                </c:pt>
                <c:pt idx="1183">
                  <c:v>1.3739868399999999</c:v>
                </c:pt>
                <c:pt idx="1184">
                  <c:v>1.5329999999999999</c:v>
                </c:pt>
                <c:pt idx="1185">
                  <c:v>1.982</c:v>
                </c:pt>
                <c:pt idx="1186">
                  <c:v>1.98</c:v>
                </c:pt>
                <c:pt idx="1187">
                  <c:v>1.06166</c:v>
                </c:pt>
                <c:pt idx="1188">
                  <c:v>1.18157</c:v>
                </c:pt>
                <c:pt idx="1189">
                  <c:v>1.2175596950000001</c:v>
                </c:pt>
                <c:pt idx="1190">
                  <c:v>1.093</c:v>
                </c:pt>
                <c:pt idx="1191">
                  <c:v>1.1240000000000001</c:v>
                </c:pt>
                <c:pt idx="1192">
                  <c:v>1.071000457</c:v>
                </c:pt>
                <c:pt idx="1193">
                  <c:v>1.1639999999999999</c:v>
                </c:pt>
                <c:pt idx="1194">
                  <c:v>1.615</c:v>
                </c:pt>
                <c:pt idx="1195">
                  <c:v>1.617</c:v>
                </c:pt>
                <c:pt idx="1196">
                  <c:v>0.63244</c:v>
                </c:pt>
                <c:pt idx="1197">
                  <c:v>0.73590999999999995</c:v>
                </c:pt>
                <c:pt idx="1198">
                  <c:v>0.78644108800000001</c:v>
                </c:pt>
                <c:pt idx="1199">
                  <c:v>0.71899999999999997</c:v>
                </c:pt>
                <c:pt idx="1200">
                  <c:v>0.745</c:v>
                </c:pt>
                <c:pt idx="1201">
                  <c:v>0.69665294899999997</c:v>
                </c:pt>
                <c:pt idx="1202">
                  <c:v>0.76900000000000002</c:v>
                </c:pt>
                <c:pt idx="1203">
                  <c:v>1.2190000000000001</c:v>
                </c:pt>
                <c:pt idx="1204">
                  <c:v>1.2270000000000001</c:v>
                </c:pt>
                <c:pt idx="1205">
                  <c:v>0.63216000000000006</c:v>
                </c:pt>
                <c:pt idx="1206">
                  <c:v>0.74036999999999997</c:v>
                </c:pt>
                <c:pt idx="1207">
                  <c:v>0.78854757499999995</c:v>
                </c:pt>
                <c:pt idx="1208">
                  <c:v>0.71499999999999997</c:v>
                </c:pt>
                <c:pt idx="1209">
                  <c:v>0.74099999999999999</c:v>
                </c:pt>
                <c:pt idx="1210">
                  <c:v>0.71809238200000003</c:v>
                </c:pt>
                <c:pt idx="1211">
                  <c:v>0.81699999999999995</c:v>
                </c:pt>
                <c:pt idx="1212">
                  <c:v>1.252</c:v>
                </c:pt>
                <c:pt idx="1213">
                  <c:v>1.349</c:v>
                </c:pt>
                <c:pt idx="1214">
                  <c:v>0.47038000000000002</c:v>
                </c:pt>
                <c:pt idx="1215">
                  <c:v>0.61202000000000001</c:v>
                </c:pt>
                <c:pt idx="1216">
                  <c:v>0.63640677899999998</c:v>
                </c:pt>
                <c:pt idx="1217">
                  <c:v>0.56200000000000006</c:v>
                </c:pt>
                <c:pt idx="1218">
                  <c:v>0.57799999999999996</c:v>
                </c:pt>
                <c:pt idx="1219">
                  <c:v>0.53683376299999996</c:v>
                </c:pt>
                <c:pt idx="1220">
                  <c:v>0.52800000000000002</c:v>
                </c:pt>
                <c:pt idx="1221">
                  <c:v>0.93</c:v>
                </c:pt>
                <c:pt idx="1222">
                  <c:v>0.91400000000000003</c:v>
                </c:pt>
                <c:pt idx="1223">
                  <c:v>0.27100000000000002</c:v>
                </c:pt>
                <c:pt idx="1224">
                  <c:v>0.35041</c:v>
                </c:pt>
                <c:pt idx="1225">
                  <c:v>0.37584653499999998</c:v>
                </c:pt>
                <c:pt idx="1226">
                  <c:v>0.35699999999999998</c:v>
                </c:pt>
                <c:pt idx="1227">
                  <c:v>0.36599999999999999</c:v>
                </c:pt>
                <c:pt idx="1228">
                  <c:v>0.42556402100000001</c:v>
                </c:pt>
                <c:pt idx="1229">
                  <c:v>0.45700000000000002</c:v>
                </c:pt>
                <c:pt idx="1230">
                  <c:v>0.94699999999999995</c:v>
                </c:pt>
                <c:pt idx="1231">
                  <c:v>0.75800000000000001</c:v>
                </c:pt>
              </c:numCache>
            </c:numRef>
          </c:yVal>
          <c:smooth val="1"/>
          <c:extLst>
            <c:ext xmlns:c16="http://schemas.microsoft.com/office/drawing/2014/chart" uri="{C3380CC4-5D6E-409C-BE32-E72D297353CC}">
              <c16:uniqueId val="{00000000-E46A-46A3-BC3A-2382810C9CD2}"/>
            </c:ext>
          </c:extLst>
        </c:ser>
        <c:dLbls>
          <c:showLegendKey val="0"/>
          <c:showVal val="0"/>
          <c:showCatName val="0"/>
          <c:showSerName val="0"/>
          <c:showPercent val="0"/>
          <c:showBubbleSize val="0"/>
        </c:dLbls>
        <c:axId val="438449179"/>
        <c:axId val="1703145179"/>
      </c:scatterChart>
      <c:valAx>
        <c:axId val="43844917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mn-lt"/>
                  </a:defRPr>
                </a:pPr>
                <a:r>
                  <a:rPr lang="en-US" sz="1600" b="0">
                    <a:solidFill>
                      <a:srgbClr val="000000"/>
                    </a:solidFill>
                    <a:latin typeface="+mn-lt"/>
                  </a:rPr>
                  <a:t>Happiness 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1703145179"/>
        <c:crosses val="autoZero"/>
        <c:crossBetween val="midCat"/>
      </c:valAx>
      <c:valAx>
        <c:axId val="1703145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200" b="0">
                    <a:solidFill>
                      <a:srgbClr val="000000"/>
                    </a:solidFill>
                    <a:latin typeface="Verdana"/>
                  </a:defRPr>
                </a:pPr>
                <a:r>
                  <a:rPr lang="en-US" sz="1200" b="0">
                    <a:solidFill>
                      <a:srgbClr val="000000"/>
                    </a:solidFill>
                    <a:latin typeface="Verdana"/>
                  </a:rPr>
                  <a:t>GDP per Capita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438449179"/>
        <c:crosses val="autoZero"/>
        <c:crossBetween val="midCat"/>
      </c:valAx>
    </c:plotArea>
    <c:legend>
      <c:legendPos val="r"/>
      <c:overlay val="0"/>
      <c:txPr>
        <a:bodyPr/>
        <a:lstStyle/>
        <a:p>
          <a:pPr lvl="0">
            <a:defRPr b="0">
              <a:solidFill>
                <a:srgbClr val="1A1A1A"/>
              </a:solidFill>
              <a:latin typeface="+mn-lt"/>
            </a:defRPr>
          </a:pPr>
          <a:endParaRPr lang="uk-UA"/>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161925</xdr:rowOff>
    </xdr:from>
    <xdr:ext cx="5572125" cy="3429000"/>
    <xdr:pic>
      <xdr:nvPicPr>
        <xdr:cNvPr id="2114430318" name="Chart1" title="Chart">
          <a:extLst>
            <a:ext uri="{FF2B5EF4-FFF2-40B4-BE49-F238E27FC236}">
              <a16:creationId xmlns:a16="http://schemas.microsoft.com/office/drawing/2014/main" id="{00000000-0008-0000-0400-00006EA5077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904875</xdr:colOff>
      <xdr:row>18</xdr:row>
      <xdr:rowOff>161925</xdr:rowOff>
    </xdr:from>
    <xdr:ext cx="5572125" cy="3429000"/>
    <xdr:pic>
      <xdr:nvPicPr>
        <xdr:cNvPr id="1234038708" name="Chart2" title="Chart">
          <a:extLst>
            <a:ext uri="{FF2B5EF4-FFF2-40B4-BE49-F238E27FC236}">
              <a16:creationId xmlns:a16="http://schemas.microsoft.com/office/drawing/2014/main" id="{00000000-0008-0000-0400-0000B4EF8D4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42</xdr:row>
      <xdr:rowOff>180975</xdr:rowOff>
    </xdr:from>
    <xdr:ext cx="5572125" cy="3429000"/>
    <xdr:graphicFrame macro="">
      <xdr:nvGraphicFramePr>
        <xdr:cNvPr id="1354410270" name="Chart 3" title="Chart">
          <a:extLst>
            <a:ext uri="{FF2B5EF4-FFF2-40B4-BE49-F238E27FC236}">
              <a16:creationId xmlns:a16="http://schemas.microsoft.com/office/drawing/2014/main" id="{00000000-0008-0000-0400-00001EA9B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loom.com/share/d73b5491c7c74f43b1a5d399f7459f1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6"/>
  <sheetViews>
    <sheetView workbookViewId="0">
      <selection sqref="A1:F56"/>
    </sheetView>
  </sheetViews>
  <sheetFormatPr defaultColWidth="11.25" defaultRowHeight="15" customHeight="1" x14ac:dyDescent="0.25"/>
  <sheetData>
    <row r="1" spans="1:6" x14ac:dyDescent="0.25">
      <c r="A1" s="19" t="s">
        <v>0</v>
      </c>
      <c r="B1" s="20"/>
      <c r="C1" s="20"/>
      <c r="D1" s="20"/>
      <c r="E1" s="20"/>
      <c r="F1" s="20"/>
    </row>
    <row r="2" spans="1:6" ht="15" customHeight="1" x14ac:dyDescent="0.25">
      <c r="A2" s="20"/>
      <c r="B2" s="20"/>
      <c r="C2" s="20"/>
      <c r="D2" s="20"/>
      <c r="E2" s="20"/>
      <c r="F2" s="20"/>
    </row>
    <row r="3" spans="1:6" ht="15" customHeight="1" x14ac:dyDescent="0.25">
      <c r="A3" s="20"/>
      <c r="B3" s="20"/>
      <c r="C3" s="20"/>
      <c r="D3" s="20"/>
      <c r="E3" s="20"/>
      <c r="F3" s="20"/>
    </row>
    <row r="4" spans="1:6" ht="15" customHeight="1" x14ac:dyDescent="0.25">
      <c r="A4" s="20"/>
      <c r="B4" s="20"/>
      <c r="C4" s="20"/>
      <c r="D4" s="20"/>
      <c r="E4" s="20"/>
      <c r="F4" s="20"/>
    </row>
    <row r="5" spans="1:6" ht="15" customHeight="1" x14ac:dyDescent="0.25">
      <c r="A5" s="20"/>
      <c r="B5" s="20"/>
      <c r="C5" s="20"/>
      <c r="D5" s="20"/>
      <c r="E5" s="20"/>
      <c r="F5" s="20"/>
    </row>
    <row r="6" spans="1:6" ht="15" customHeight="1" x14ac:dyDescent="0.25">
      <c r="A6" s="20"/>
      <c r="B6" s="20"/>
      <c r="C6" s="20"/>
      <c r="D6" s="20"/>
      <c r="E6" s="20"/>
      <c r="F6" s="20"/>
    </row>
    <row r="7" spans="1:6" ht="15" customHeight="1" x14ac:dyDescent="0.25">
      <c r="A7" s="20"/>
      <c r="B7" s="20"/>
      <c r="C7" s="20"/>
      <c r="D7" s="20"/>
      <c r="E7" s="20"/>
      <c r="F7" s="20"/>
    </row>
    <row r="8" spans="1:6" ht="15" customHeight="1" x14ac:dyDescent="0.25">
      <c r="A8" s="20"/>
      <c r="B8" s="20"/>
      <c r="C8" s="20"/>
      <c r="D8" s="20"/>
      <c r="E8" s="20"/>
      <c r="F8" s="20"/>
    </row>
    <row r="9" spans="1:6" ht="15" customHeight="1" x14ac:dyDescent="0.25">
      <c r="A9" s="20"/>
      <c r="B9" s="20"/>
      <c r="C9" s="20"/>
      <c r="D9" s="20"/>
      <c r="E9" s="20"/>
      <c r="F9" s="20"/>
    </row>
    <row r="10" spans="1:6" ht="15" customHeight="1" x14ac:dyDescent="0.25">
      <c r="A10" s="20"/>
      <c r="B10" s="20"/>
      <c r="C10" s="20"/>
      <c r="D10" s="20"/>
      <c r="E10" s="20"/>
      <c r="F10" s="20"/>
    </row>
    <row r="11" spans="1:6" ht="15" customHeight="1" x14ac:dyDescent="0.25">
      <c r="A11" s="20"/>
      <c r="B11" s="20"/>
      <c r="C11" s="20"/>
      <c r="D11" s="20"/>
      <c r="E11" s="20"/>
      <c r="F11" s="20"/>
    </row>
    <row r="12" spans="1:6" ht="15" customHeight="1" x14ac:dyDescent="0.25">
      <c r="A12" s="20"/>
      <c r="B12" s="20"/>
      <c r="C12" s="20"/>
      <c r="D12" s="20"/>
      <c r="E12" s="20"/>
      <c r="F12" s="20"/>
    </row>
    <row r="13" spans="1:6" ht="15" customHeight="1" x14ac:dyDescent="0.25">
      <c r="A13" s="20"/>
      <c r="B13" s="20"/>
      <c r="C13" s="20"/>
      <c r="D13" s="20"/>
      <c r="E13" s="20"/>
      <c r="F13" s="20"/>
    </row>
    <row r="14" spans="1:6" ht="15" customHeight="1" x14ac:dyDescent="0.25">
      <c r="A14" s="20"/>
      <c r="B14" s="20"/>
      <c r="C14" s="20"/>
      <c r="D14" s="20"/>
      <c r="E14" s="20"/>
      <c r="F14" s="20"/>
    </row>
    <row r="15" spans="1:6" ht="15" customHeight="1" x14ac:dyDescent="0.25">
      <c r="A15" s="20"/>
      <c r="B15" s="20"/>
      <c r="C15" s="20"/>
      <c r="D15" s="20"/>
      <c r="E15" s="20"/>
      <c r="F15" s="20"/>
    </row>
    <row r="16" spans="1:6" ht="15" customHeight="1" x14ac:dyDescent="0.25">
      <c r="A16" s="20"/>
      <c r="B16" s="20"/>
      <c r="C16" s="20"/>
      <c r="D16" s="20"/>
      <c r="E16" s="20"/>
      <c r="F16" s="20"/>
    </row>
    <row r="17" spans="1:6" ht="15" customHeight="1" x14ac:dyDescent="0.25">
      <c r="A17" s="20"/>
      <c r="B17" s="20"/>
      <c r="C17" s="20"/>
      <c r="D17" s="20"/>
      <c r="E17" s="20"/>
      <c r="F17" s="20"/>
    </row>
    <row r="18" spans="1:6" ht="15" customHeight="1" x14ac:dyDescent="0.25">
      <c r="A18" s="20"/>
      <c r="B18" s="20"/>
      <c r="C18" s="20"/>
      <c r="D18" s="20"/>
      <c r="E18" s="20"/>
      <c r="F18" s="20"/>
    </row>
    <row r="19" spans="1:6" ht="15" customHeight="1" x14ac:dyDescent="0.25">
      <c r="A19" s="20"/>
      <c r="B19" s="20"/>
      <c r="C19" s="20"/>
      <c r="D19" s="20"/>
      <c r="E19" s="20"/>
      <c r="F19" s="20"/>
    </row>
    <row r="20" spans="1:6" ht="15" customHeight="1" x14ac:dyDescent="0.25">
      <c r="A20" s="20"/>
      <c r="B20" s="20"/>
      <c r="C20" s="20"/>
      <c r="D20" s="20"/>
      <c r="E20" s="20"/>
      <c r="F20" s="20"/>
    </row>
    <row r="21" spans="1:6" ht="15" customHeight="1" x14ac:dyDescent="0.25">
      <c r="A21" s="20"/>
      <c r="B21" s="20"/>
      <c r="C21" s="20"/>
      <c r="D21" s="20"/>
      <c r="E21" s="20"/>
      <c r="F21" s="20"/>
    </row>
    <row r="22" spans="1:6" ht="15" customHeight="1" x14ac:dyDescent="0.25">
      <c r="A22" s="20"/>
      <c r="B22" s="20"/>
      <c r="C22" s="20"/>
      <c r="D22" s="20"/>
      <c r="E22" s="20"/>
      <c r="F22" s="20"/>
    </row>
    <row r="23" spans="1:6" ht="15" customHeight="1" x14ac:dyDescent="0.25">
      <c r="A23" s="20"/>
      <c r="B23" s="20"/>
      <c r="C23" s="20"/>
      <c r="D23" s="20"/>
      <c r="E23" s="20"/>
      <c r="F23" s="20"/>
    </row>
    <row r="24" spans="1:6" ht="15" customHeight="1" x14ac:dyDescent="0.25">
      <c r="A24" s="20"/>
      <c r="B24" s="20"/>
      <c r="C24" s="20"/>
      <c r="D24" s="20"/>
      <c r="E24" s="20"/>
      <c r="F24" s="20"/>
    </row>
    <row r="25" spans="1:6" ht="15" customHeight="1" x14ac:dyDescent="0.25">
      <c r="A25" s="20"/>
      <c r="B25" s="20"/>
      <c r="C25" s="20"/>
      <c r="D25" s="20"/>
      <c r="E25" s="20"/>
      <c r="F25" s="20"/>
    </row>
    <row r="26" spans="1:6" ht="15" customHeight="1" x14ac:dyDescent="0.25">
      <c r="A26" s="20"/>
      <c r="B26" s="20"/>
      <c r="C26" s="20"/>
      <c r="D26" s="20"/>
      <c r="E26" s="20"/>
      <c r="F26" s="20"/>
    </row>
    <row r="27" spans="1:6" ht="15" customHeight="1" x14ac:dyDescent="0.25">
      <c r="A27" s="20"/>
      <c r="B27" s="20"/>
      <c r="C27" s="20"/>
      <c r="D27" s="20"/>
      <c r="E27" s="20"/>
      <c r="F27" s="20"/>
    </row>
    <row r="28" spans="1:6" ht="15" customHeight="1" x14ac:dyDescent="0.25">
      <c r="A28" s="20"/>
      <c r="B28" s="20"/>
      <c r="C28" s="20"/>
      <c r="D28" s="20"/>
      <c r="E28" s="20"/>
      <c r="F28" s="20"/>
    </row>
    <row r="29" spans="1:6" ht="15" customHeight="1" x14ac:dyDescent="0.25">
      <c r="A29" s="20"/>
      <c r="B29" s="20"/>
      <c r="C29" s="20"/>
      <c r="D29" s="20"/>
      <c r="E29" s="20"/>
      <c r="F29" s="20"/>
    </row>
    <row r="30" spans="1:6" ht="15" customHeight="1" x14ac:dyDescent="0.25">
      <c r="A30" s="20"/>
      <c r="B30" s="20"/>
      <c r="C30" s="20"/>
      <c r="D30" s="20"/>
      <c r="E30" s="20"/>
      <c r="F30" s="20"/>
    </row>
    <row r="31" spans="1:6" ht="15" customHeight="1" x14ac:dyDescent="0.25">
      <c r="A31" s="20"/>
      <c r="B31" s="20"/>
      <c r="C31" s="20"/>
      <c r="D31" s="20"/>
      <c r="E31" s="20"/>
      <c r="F31" s="20"/>
    </row>
    <row r="32" spans="1:6" ht="15" customHeight="1" x14ac:dyDescent="0.25">
      <c r="A32" s="20"/>
      <c r="B32" s="20"/>
      <c r="C32" s="20"/>
      <c r="D32" s="20"/>
      <c r="E32" s="20"/>
      <c r="F32" s="20"/>
    </row>
    <row r="33" spans="1:6" ht="15" customHeight="1" x14ac:dyDescent="0.25">
      <c r="A33" s="20"/>
      <c r="B33" s="20"/>
      <c r="C33" s="20"/>
      <c r="D33" s="20"/>
      <c r="E33" s="20"/>
      <c r="F33" s="20"/>
    </row>
    <row r="34" spans="1:6" ht="15" customHeight="1" x14ac:dyDescent="0.25">
      <c r="A34" s="20"/>
      <c r="B34" s="20"/>
      <c r="C34" s="20"/>
      <c r="D34" s="20"/>
      <c r="E34" s="20"/>
      <c r="F34" s="20"/>
    </row>
    <row r="35" spans="1:6" ht="15" customHeight="1" x14ac:dyDescent="0.25">
      <c r="A35" s="20"/>
      <c r="B35" s="20"/>
      <c r="C35" s="20"/>
      <c r="D35" s="20"/>
      <c r="E35" s="20"/>
      <c r="F35" s="20"/>
    </row>
    <row r="36" spans="1:6" ht="15" customHeight="1" x14ac:dyDescent="0.25">
      <c r="A36" s="20"/>
      <c r="B36" s="20"/>
      <c r="C36" s="20"/>
      <c r="D36" s="20"/>
      <c r="E36" s="20"/>
      <c r="F36" s="20"/>
    </row>
    <row r="37" spans="1:6" ht="15" customHeight="1" x14ac:dyDescent="0.25">
      <c r="A37" s="20"/>
      <c r="B37" s="20"/>
      <c r="C37" s="20"/>
      <c r="D37" s="20"/>
      <c r="E37" s="20"/>
      <c r="F37" s="20"/>
    </row>
    <row r="38" spans="1:6" ht="15" customHeight="1" x14ac:dyDescent="0.25">
      <c r="A38" s="20"/>
      <c r="B38" s="20"/>
      <c r="C38" s="20"/>
      <c r="D38" s="20"/>
      <c r="E38" s="20"/>
      <c r="F38" s="20"/>
    </row>
    <row r="39" spans="1:6" ht="15" customHeight="1" x14ac:dyDescent="0.25">
      <c r="A39" s="20"/>
      <c r="B39" s="20"/>
      <c r="C39" s="20"/>
      <c r="D39" s="20"/>
      <c r="E39" s="20"/>
      <c r="F39" s="20"/>
    </row>
    <row r="40" spans="1:6" ht="15" customHeight="1" x14ac:dyDescent="0.25">
      <c r="A40" s="20"/>
      <c r="B40" s="20"/>
      <c r="C40" s="20"/>
      <c r="D40" s="20"/>
      <c r="E40" s="20"/>
      <c r="F40" s="20"/>
    </row>
    <row r="41" spans="1:6" ht="15" customHeight="1" x14ac:dyDescent="0.25">
      <c r="A41" s="20"/>
      <c r="B41" s="20"/>
      <c r="C41" s="20"/>
      <c r="D41" s="20"/>
      <c r="E41" s="20"/>
      <c r="F41" s="20"/>
    </row>
    <row r="42" spans="1:6" ht="15" customHeight="1" x14ac:dyDescent="0.25">
      <c r="A42" s="20"/>
      <c r="B42" s="20"/>
      <c r="C42" s="20"/>
      <c r="D42" s="20"/>
      <c r="E42" s="20"/>
      <c r="F42" s="20"/>
    </row>
    <row r="43" spans="1:6" ht="15" customHeight="1" x14ac:dyDescent="0.25">
      <c r="A43" s="20"/>
      <c r="B43" s="20"/>
      <c r="C43" s="20"/>
      <c r="D43" s="20"/>
      <c r="E43" s="20"/>
      <c r="F43" s="20"/>
    </row>
    <row r="44" spans="1:6" ht="15" customHeight="1" x14ac:dyDescent="0.25">
      <c r="A44" s="20"/>
      <c r="B44" s="20"/>
      <c r="C44" s="20"/>
      <c r="D44" s="20"/>
      <c r="E44" s="20"/>
      <c r="F44" s="20"/>
    </row>
    <row r="45" spans="1:6" ht="15" customHeight="1" x14ac:dyDescent="0.25">
      <c r="A45" s="20"/>
      <c r="B45" s="20"/>
      <c r="C45" s="20"/>
      <c r="D45" s="20"/>
      <c r="E45" s="20"/>
      <c r="F45" s="20"/>
    </row>
    <row r="46" spans="1:6" ht="15" customHeight="1" x14ac:dyDescent="0.25">
      <c r="A46" s="20"/>
      <c r="B46" s="20"/>
      <c r="C46" s="20"/>
      <c r="D46" s="20"/>
      <c r="E46" s="20"/>
      <c r="F46" s="20"/>
    </row>
    <row r="47" spans="1:6" ht="15" customHeight="1" x14ac:dyDescent="0.25">
      <c r="A47" s="20"/>
      <c r="B47" s="20"/>
      <c r="C47" s="20"/>
      <c r="D47" s="20"/>
      <c r="E47" s="20"/>
      <c r="F47" s="20"/>
    </row>
    <row r="48" spans="1:6" ht="15" customHeight="1" x14ac:dyDescent="0.25">
      <c r="A48" s="20"/>
      <c r="B48" s="20"/>
      <c r="C48" s="20"/>
      <c r="D48" s="20"/>
      <c r="E48" s="20"/>
      <c r="F48" s="20"/>
    </row>
    <row r="49" spans="1:6" ht="15" customHeight="1" x14ac:dyDescent="0.25">
      <c r="A49" s="20"/>
      <c r="B49" s="20"/>
      <c r="C49" s="20"/>
      <c r="D49" s="20"/>
      <c r="E49" s="20"/>
      <c r="F49" s="20"/>
    </row>
    <row r="50" spans="1:6" ht="15" customHeight="1" x14ac:dyDescent="0.25">
      <c r="A50" s="20"/>
      <c r="B50" s="20"/>
      <c r="C50" s="20"/>
      <c r="D50" s="20"/>
      <c r="E50" s="20"/>
      <c r="F50" s="20"/>
    </row>
    <row r="51" spans="1:6" ht="15" customHeight="1" x14ac:dyDescent="0.25">
      <c r="A51" s="20"/>
      <c r="B51" s="20"/>
      <c r="C51" s="20"/>
      <c r="D51" s="20"/>
      <c r="E51" s="20"/>
      <c r="F51" s="20"/>
    </row>
    <row r="52" spans="1:6" ht="15" customHeight="1" x14ac:dyDescent="0.25">
      <c r="A52" s="20"/>
      <c r="B52" s="20"/>
      <c r="C52" s="20"/>
      <c r="D52" s="20"/>
      <c r="E52" s="20"/>
      <c r="F52" s="20"/>
    </row>
    <row r="53" spans="1:6" ht="15" customHeight="1" x14ac:dyDescent="0.25">
      <c r="A53" s="20"/>
      <c r="B53" s="20"/>
      <c r="C53" s="20"/>
      <c r="D53" s="20"/>
      <c r="E53" s="20"/>
      <c r="F53" s="20"/>
    </row>
    <row r="54" spans="1:6" ht="15" customHeight="1" x14ac:dyDescent="0.25">
      <c r="A54" s="20"/>
      <c r="B54" s="20"/>
      <c r="C54" s="20"/>
      <c r="D54" s="20"/>
      <c r="E54" s="20"/>
      <c r="F54" s="20"/>
    </row>
    <row r="55" spans="1:6" ht="15" customHeight="1" x14ac:dyDescent="0.25">
      <c r="A55" s="20"/>
      <c r="B55" s="20"/>
      <c r="C55" s="20"/>
      <c r="D55" s="20"/>
      <c r="E55" s="20"/>
      <c r="F55" s="20"/>
    </row>
    <row r="56" spans="1:6" ht="15" customHeight="1" x14ac:dyDescent="0.25">
      <c r="A56" s="20"/>
      <c r="B56" s="20"/>
      <c r="C56" s="20"/>
      <c r="D56" s="20"/>
      <c r="E56" s="20"/>
      <c r="F56" s="20"/>
    </row>
  </sheetData>
  <mergeCells count="1">
    <mergeCell ref="A1:F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
  <sheetViews>
    <sheetView workbookViewId="0"/>
  </sheetViews>
  <sheetFormatPr defaultColWidth="11.25" defaultRowHeight="15" customHeight="1" x14ac:dyDescent="0.25"/>
  <cols>
    <col min="1" max="1" width="29.125" customWidth="1"/>
    <col min="2" max="2" width="75.5" customWidth="1"/>
  </cols>
  <sheetData>
    <row r="1" spans="1:26" x14ac:dyDescent="0.25">
      <c r="A1" s="1" t="s">
        <v>1</v>
      </c>
      <c r="B1" s="1" t="s">
        <v>2</v>
      </c>
      <c r="C1" s="2"/>
      <c r="D1" s="2"/>
      <c r="E1" s="2"/>
      <c r="F1" s="2"/>
      <c r="G1" s="2"/>
      <c r="H1" s="2"/>
      <c r="I1" s="2"/>
      <c r="J1" s="2"/>
      <c r="K1" s="2"/>
      <c r="L1" s="2"/>
      <c r="M1" s="2"/>
      <c r="N1" s="2"/>
      <c r="O1" s="2"/>
      <c r="P1" s="2"/>
      <c r="Q1" s="2"/>
      <c r="R1" s="2"/>
      <c r="S1" s="2"/>
      <c r="T1" s="2"/>
      <c r="U1" s="2"/>
      <c r="V1" s="2"/>
      <c r="W1" s="2"/>
      <c r="X1" s="2"/>
      <c r="Y1" s="2"/>
      <c r="Z1" s="2"/>
    </row>
    <row r="2" spans="1:26" x14ac:dyDescent="0.25">
      <c r="A2" s="3" t="s">
        <v>3</v>
      </c>
      <c r="B2" s="3" t="s">
        <v>4</v>
      </c>
    </row>
    <row r="3" spans="1:26" x14ac:dyDescent="0.25">
      <c r="A3" s="3" t="s">
        <v>5</v>
      </c>
      <c r="B3" s="3" t="s">
        <v>6</v>
      </c>
    </row>
    <row r="4" spans="1:26" x14ac:dyDescent="0.25">
      <c r="A4" s="3" t="s">
        <v>7</v>
      </c>
      <c r="B4" s="3" t="s">
        <v>8</v>
      </c>
    </row>
    <row r="5" spans="1:26" x14ac:dyDescent="0.25">
      <c r="A5" s="3" t="s">
        <v>9</v>
      </c>
      <c r="B5" s="3" t="s">
        <v>10</v>
      </c>
    </row>
    <row r="6" spans="1:26" x14ac:dyDescent="0.25">
      <c r="A6" s="3" t="s">
        <v>11</v>
      </c>
      <c r="B6" s="3" t="s">
        <v>12</v>
      </c>
    </row>
    <row r="7" spans="1:26" x14ac:dyDescent="0.25">
      <c r="A7" s="3" t="s">
        <v>13</v>
      </c>
      <c r="B7" s="3" t="s">
        <v>14</v>
      </c>
    </row>
    <row r="8" spans="1:26" x14ac:dyDescent="0.25">
      <c r="A8" s="3" t="s">
        <v>15</v>
      </c>
      <c r="B8" s="3" t="s">
        <v>16</v>
      </c>
    </row>
    <row r="9" spans="1:26" x14ac:dyDescent="0.25">
      <c r="A9" s="3" t="s">
        <v>17</v>
      </c>
      <c r="B9" s="3" t="s">
        <v>18</v>
      </c>
    </row>
    <row r="10" spans="1:26" x14ac:dyDescent="0.25">
      <c r="A10" s="3" t="s">
        <v>19</v>
      </c>
      <c r="B10" s="3" t="s">
        <v>20</v>
      </c>
    </row>
    <row r="11" spans="1:26" x14ac:dyDescent="0.25">
      <c r="A11" s="3" t="s">
        <v>21</v>
      </c>
      <c r="B11" s="3" t="s">
        <v>22</v>
      </c>
    </row>
    <row r="12" spans="1:26" x14ac:dyDescent="0.25">
      <c r="A12" s="3" t="s">
        <v>23</v>
      </c>
      <c r="B12" s="3" t="s">
        <v>24</v>
      </c>
    </row>
    <row r="13" spans="1:26" x14ac:dyDescent="0.25">
      <c r="A13" s="3" t="s">
        <v>25</v>
      </c>
      <c r="B13" s="3" t="s">
        <v>26</v>
      </c>
    </row>
    <row r="14" spans="1:26" x14ac:dyDescent="0.25">
      <c r="A14" s="3" t="s">
        <v>27</v>
      </c>
      <c r="B14" s="3" t="s">
        <v>28</v>
      </c>
    </row>
    <row r="15" spans="1:26" x14ac:dyDescent="0.25">
      <c r="A15" s="3" t="s">
        <v>29</v>
      </c>
      <c r="B15" s="3" t="s">
        <v>30</v>
      </c>
    </row>
    <row r="16" spans="1:26" x14ac:dyDescent="0.25">
      <c r="A16" s="3" t="s">
        <v>31</v>
      </c>
      <c r="B16" s="3" t="s">
        <v>32</v>
      </c>
    </row>
    <row r="17" spans="1:2" x14ac:dyDescent="0.25">
      <c r="A17" s="3" t="s">
        <v>33</v>
      </c>
      <c r="B17" s="3"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3"/>
  <sheetViews>
    <sheetView tabSelected="1" topLeftCell="A10" workbookViewId="0">
      <selection sqref="A1:G43"/>
    </sheetView>
  </sheetViews>
  <sheetFormatPr defaultColWidth="11.25" defaultRowHeight="15" customHeight="1" x14ac:dyDescent="0.25"/>
  <sheetData>
    <row r="1" spans="1:7" x14ac:dyDescent="0.25">
      <c r="A1" s="19" t="s">
        <v>35</v>
      </c>
      <c r="B1" s="20"/>
      <c r="C1" s="20"/>
      <c r="D1" s="20"/>
      <c r="E1" s="20"/>
      <c r="F1" s="20"/>
      <c r="G1" s="20"/>
    </row>
    <row r="2" spans="1:7" ht="15" customHeight="1" x14ac:dyDescent="0.25">
      <c r="A2" s="20"/>
      <c r="B2" s="20"/>
      <c r="C2" s="20"/>
      <c r="D2" s="20"/>
      <c r="E2" s="20"/>
      <c r="F2" s="20"/>
      <c r="G2" s="20"/>
    </row>
    <row r="3" spans="1:7" ht="15" customHeight="1" x14ac:dyDescent="0.25">
      <c r="A3" s="20"/>
      <c r="B3" s="20"/>
      <c r="C3" s="20"/>
      <c r="D3" s="20"/>
      <c r="E3" s="20"/>
      <c r="F3" s="20"/>
      <c r="G3" s="20"/>
    </row>
    <row r="4" spans="1:7" ht="15" customHeight="1" x14ac:dyDescent="0.25">
      <c r="A4" s="20"/>
      <c r="B4" s="20"/>
      <c r="C4" s="20"/>
      <c r="D4" s="20"/>
      <c r="E4" s="20"/>
      <c r="F4" s="20"/>
      <c r="G4" s="20"/>
    </row>
    <row r="5" spans="1:7" ht="15" customHeight="1" x14ac:dyDescent="0.25">
      <c r="A5" s="20"/>
      <c r="B5" s="20"/>
      <c r="C5" s="20"/>
      <c r="D5" s="20"/>
      <c r="E5" s="20"/>
      <c r="F5" s="20"/>
      <c r="G5" s="20"/>
    </row>
    <row r="6" spans="1:7" ht="15" customHeight="1" x14ac:dyDescent="0.25">
      <c r="A6" s="20"/>
      <c r="B6" s="20"/>
      <c r="C6" s="20"/>
      <c r="D6" s="20"/>
      <c r="E6" s="20"/>
      <c r="F6" s="20"/>
      <c r="G6" s="20"/>
    </row>
    <row r="7" spans="1:7" ht="15" customHeight="1" x14ac:dyDescent="0.25">
      <c r="A7" s="20"/>
      <c r="B7" s="20"/>
      <c r="C7" s="20"/>
      <c r="D7" s="20"/>
      <c r="E7" s="20"/>
      <c r="F7" s="20"/>
      <c r="G7" s="20"/>
    </row>
    <row r="8" spans="1:7" ht="15" customHeight="1" x14ac:dyDescent="0.25">
      <c r="A8" s="20"/>
      <c r="B8" s="20"/>
      <c r="C8" s="20"/>
      <c r="D8" s="20"/>
      <c r="E8" s="20"/>
      <c r="F8" s="20"/>
      <c r="G8" s="20"/>
    </row>
    <row r="9" spans="1:7" ht="15" customHeight="1" x14ac:dyDescent="0.25">
      <c r="A9" s="20"/>
      <c r="B9" s="20"/>
      <c r="C9" s="20"/>
      <c r="D9" s="20"/>
      <c r="E9" s="20"/>
      <c r="F9" s="20"/>
      <c r="G9" s="20"/>
    </row>
    <row r="10" spans="1:7" ht="15" customHeight="1" x14ac:dyDescent="0.25">
      <c r="A10" s="20"/>
      <c r="B10" s="20"/>
      <c r="C10" s="20"/>
      <c r="D10" s="20"/>
      <c r="E10" s="20"/>
      <c r="F10" s="20"/>
      <c r="G10" s="20"/>
    </row>
    <row r="11" spans="1:7" ht="15" customHeight="1" x14ac:dyDescent="0.25">
      <c r="A11" s="20"/>
      <c r="B11" s="20"/>
      <c r="C11" s="20"/>
      <c r="D11" s="20"/>
      <c r="E11" s="20"/>
      <c r="F11" s="20"/>
      <c r="G11" s="20"/>
    </row>
    <row r="12" spans="1:7" ht="15" customHeight="1" x14ac:dyDescent="0.25">
      <c r="A12" s="20"/>
      <c r="B12" s="20"/>
      <c r="C12" s="20"/>
      <c r="D12" s="20"/>
      <c r="E12" s="20"/>
      <c r="F12" s="20"/>
      <c r="G12" s="20"/>
    </row>
    <row r="13" spans="1:7" ht="15" customHeight="1" x14ac:dyDescent="0.25">
      <c r="A13" s="20"/>
      <c r="B13" s="20"/>
      <c r="C13" s="20"/>
      <c r="D13" s="20"/>
      <c r="E13" s="20"/>
      <c r="F13" s="20"/>
      <c r="G13" s="20"/>
    </row>
    <row r="14" spans="1:7" ht="15" customHeight="1" x14ac:dyDescent="0.25">
      <c r="A14" s="20"/>
      <c r="B14" s="20"/>
      <c r="C14" s="20"/>
      <c r="D14" s="20"/>
      <c r="E14" s="20"/>
      <c r="F14" s="20"/>
      <c r="G14" s="20"/>
    </row>
    <row r="15" spans="1:7" ht="15" customHeight="1" x14ac:dyDescent="0.25">
      <c r="A15" s="20"/>
      <c r="B15" s="20"/>
      <c r="C15" s="20"/>
      <c r="D15" s="20"/>
      <c r="E15" s="20"/>
      <c r="F15" s="20"/>
      <c r="G15" s="20"/>
    </row>
    <row r="16" spans="1:7" ht="15" customHeight="1" x14ac:dyDescent="0.25">
      <c r="A16" s="20"/>
      <c r="B16" s="20"/>
      <c r="C16" s="20"/>
      <c r="D16" s="20"/>
      <c r="E16" s="20"/>
      <c r="F16" s="20"/>
      <c r="G16" s="20"/>
    </row>
    <row r="17" spans="1:7" ht="15" customHeight="1" x14ac:dyDescent="0.25">
      <c r="A17" s="20"/>
      <c r="B17" s="20"/>
      <c r="C17" s="20"/>
      <c r="D17" s="20"/>
      <c r="E17" s="20"/>
      <c r="F17" s="20"/>
      <c r="G17" s="20"/>
    </row>
    <row r="18" spans="1:7" ht="15" customHeight="1" x14ac:dyDescent="0.25">
      <c r="A18" s="20"/>
      <c r="B18" s="20"/>
      <c r="C18" s="20"/>
      <c r="D18" s="20"/>
      <c r="E18" s="20"/>
      <c r="F18" s="20"/>
      <c r="G18" s="20"/>
    </row>
    <row r="19" spans="1:7" ht="15" customHeight="1" x14ac:dyDescent="0.25">
      <c r="A19" s="20"/>
      <c r="B19" s="20"/>
      <c r="C19" s="20"/>
      <c r="D19" s="20"/>
      <c r="E19" s="20"/>
      <c r="F19" s="20"/>
      <c r="G19" s="20"/>
    </row>
    <row r="20" spans="1:7" ht="15" customHeight="1" x14ac:dyDescent="0.25">
      <c r="A20" s="20"/>
      <c r="B20" s="20"/>
      <c r="C20" s="20"/>
      <c r="D20" s="20"/>
      <c r="E20" s="20"/>
      <c r="F20" s="20"/>
      <c r="G20" s="20"/>
    </row>
    <row r="21" spans="1:7" ht="15" customHeight="1" x14ac:dyDescent="0.25">
      <c r="A21" s="20"/>
      <c r="B21" s="20"/>
      <c r="C21" s="20"/>
      <c r="D21" s="20"/>
      <c r="E21" s="20"/>
      <c r="F21" s="20"/>
      <c r="G21" s="20"/>
    </row>
    <row r="22" spans="1:7" ht="15" customHeight="1" x14ac:dyDescent="0.25">
      <c r="A22" s="20"/>
      <c r="B22" s="20"/>
      <c r="C22" s="20"/>
      <c r="D22" s="20"/>
      <c r="E22" s="20"/>
      <c r="F22" s="20"/>
      <c r="G22" s="20"/>
    </row>
    <row r="23" spans="1:7" ht="15" customHeight="1" x14ac:dyDescent="0.25">
      <c r="A23" s="20"/>
      <c r="B23" s="20"/>
      <c r="C23" s="20"/>
      <c r="D23" s="20"/>
      <c r="E23" s="20"/>
      <c r="F23" s="20"/>
      <c r="G23" s="20"/>
    </row>
    <row r="24" spans="1:7" ht="15" customHeight="1" x14ac:dyDescent="0.25">
      <c r="A24" s="20"/>
      <c r="B24" s="20"/>
      <c r="C24" s="20"/>
      <c r="D24" s="20"/>
      <c r="E24" s="20"/>
      <c r="F24" s="20"/>
      <c r="G24" s="20"/>
    </row>
    <row r="25" spans="1:7" ht="15" customHeight="1" x14ac:dyDescent="0.25">
      <c r="A25" s="20"/>
      <c r="B25" s="20"/>
      <c r="C25" s="20"/>
      <c r="D25" s="20"/>
      <c r="E25" s="20"/>
      <c r="F25" s="20"/>
      <c r="G25" s="20"/>
    </row>
    <row r="26" spans="1:7" ht="15" customHeight="1" x14ac:dyDescent="0.25">
      <c r="A26" s="20"/>
      <c r="B26" s="20"/>
      <c r="C26" s="20"/>
      <c r="D26" s="20"/>
      <c r="E26" s="20"/>
      <c r="F26" s="20"/>
      <c r="G26" s="20"/>
    </row>
    <row r="27" spans="1:7" ht="15" customHeight="1" x14ac:dyDescent="0.25">
      <c r="A27" s="20"/>
      <c r="B27" s="20"/>
      <c r="C27" s="20"/>
      <c r="D27" s="20"/>
      <c r="E27" s="20"/>
      <c r="F27" s="20"/>
      <c r="G27" s="20"/>
    </row>
    <row r="28" spans="1:7" ht="15" customHeight="1" x14ac:dyDescent="0.25">
      <c r="A28" s="20"/>
      <c r="B28" s="20"/>
      <c r="C28" s="20"/>
      <c r="D28" s="20"/>
      <c r="E28" s="20"/>
      <c r="F28" s="20"/>
      <c r="G28" s="20"/>
    </row>
    <row r="29" spans="1:7" ht="15" customHeight="1" x14ac:dyDescent="0.25">
      <c r="A29" s="20"/>
      <c r="B29" s="20"/>
      <c r="C29" s="20"/>
      <c r="D29" s="20"/>
      <c r="E29" s="20"/>
      <c r="F29" s="20"/>
      <c r="G29" s="20"/>
    </row>
    <row r="30" spans="1:7" ht="15" customHeight="1" x14ac:dyDescent="0.25">
      <c r="A30" s="20"/>
      <c r="B30" s="20"/>
      <c r="C30" s="20"/>
      <c r="D30" s="20"/>
      <c r="E30" s="20"/>
      <c r="F30" s="20"/>
      <c r="G30" s="20"/>
    </row>
    <row r="31" spans="1:7" ht="15" customHeight="1" x14ac:dyDescent="0.25">
      <c r="A31" s="20"/>
      <c r="B31" s="20"/>
      <c r="C31" s="20"/>
      <c r="D31" s="20"/>
      <c r="E31" s="20"/>
      <c r="F31" s="20"/>
      <c r="G31" s="20"/>
    </row>
    <row r="32" spans="1:7" ht="15" customHeight="1" x14ac:dyDescent="0.25">
      <c r="A32" s="20"/>
      <c r="B32" s="20"/>
      <c r="C32" s="20"/>
      <c r="D32" s="20"/>
      <c r="E32" s="20"/>
      <c r="F32" s="20"/>
      <c r="G32" s="20"/>
    </row>
    <row r="33" spans="1:7" ht="15" customHeight="1" x14ac:dyDescent="0.25">
      <c r="A33" s="20"/>
      <c r="B33" s="20"/>
      <c r="C33" s="20"/>
      <c r="D33" s="20"/>
      <c r="E33" s="20"/>
      <c r="F33" s="20"/>
      <c r="G33" s="20"/>
    </row>
    <row r="34" spans="1:7" ht="15" customHeight="1" x14ac:dyDescent="0.25">
      <c r="A34" s="20"/>
      <c r="B34" s="20"/>
      <c r="C34" s="20"/>
      <c r="D34" s="20"/>
      <c r="E34" s="20"/>
      <c r="F34" s="20"/>
      <c r="G34" s="20"/>
    </row>
    <row r="35" spans="1:7" ht="15" customHeight="1" x14ac:dyDescent="0.25">
      <c r="A35" s="20"/>
      <c r="B35" s="20"/>
      <c r="C35" s="20"/>
      <c r="D35" s="20"/>
      <c r="E35" s="20"/>
      <c r="F35" s="20"/>
      <c r="G35" s="20"/>
    </row>
    <row r="36" spans="1:7" ht="15" customHeight="1" x14ac:dyDescent="0.25">
      <c r="A36" s="20"/>
      <c r="B36" s="20"/>
      <c r="C36" s="20"/>
      <c r="D36" s="20"/>
      <c r="E36" s="20"/>
      <c r="F36" s="20"/>
      <c r="G36" s="20"/>
    </row>
    <row r="37" spans="1:7" ht="15" customHeight="1" x14ac:dyDescent="0.25">
      <c r="A37" s="20"/>
      <c r="B37" s="20"/>
      <c r="C37" s="20"/>
      <c r="D37" s="20"/>
      <c r="E37" s="20"/>
      <c r="F37" s="20"/>
      <c r="G37" s="20"/>
    </row>
    <row r="38" spans="1:7" ht="15" customHeight="1" x14ac:dyDescent="0.25">
      <c r="A38" s="20"/>
      <c r="B38" s="20"/>
      <c r="C38" s="20"/>
      <c r="D38" s="20"/>
      <c r="E38" s="20"/>
      <c r="F38" s="20"/>
      <c r="G38" s="20"/>
    </row>
    <row r="39" spans="1:7" ht="15" customHeight="1" x14ac:dyDescent="0.25">
      <c r="A39" s="20"/>
      <c r="B39" s="20"/>
      <c r="C39" s="20"/>
      <c r="D39" s="20"/>
      <c r="E39" s="20"/>
      <c r="F39" s="20"/>
      <c r="G39" s="20"/>
    </row>
    <row r="40" spans="1:7" ht="15" customHeight="1" x14ac:dyDescent="0.25">
      <c r="A40" s="20"/>
      <c r="B40" s="20"/>
      <c r="C40" s="20"/>
      <c r="D40" s="20"/>
      <c r="E40" s="20"/>
      <c r="F40" s="20"/>
      <c r="G40" s="20"/>
    </row>
    <row r="41" spans="1:7" ht="15" customHeight="1" x14ac:dyDescent="0.25">
      <c r="A41" s="20"/>
      <c r="B41" s="20"/>
      <c r="C41" s="20"/>
      <c r="D41" s="20"/>
      <c r="E41" s="20"/>
      <c r="F41" s="20"/>
      <c r="G41" s="20"/>
    </row>
    <row r="42" spans="1:7" ht="15" customHeight="1" x14ac:dyDescent="0.25">
      <c r="A42" s="20"/>
      <c r="B42" s="20"/>
      <c r="C42" s="20"/>
      <c r="D42" s="20"/>
      <c r="E42" s="20"/>
      <c r="F42" s="20"/>
      <c r="G42" s="20"/>
    </row>
    <row r="43" spans="1:7" ht="15" customHeight="1" x14ac:dyDescent="0.25">
      <c r="A43" s="20"/>
      <c r="B43" s="20"/>
      <c r="C43" s="20"/>
      <c r="D43" s="20"/>
      <c r="E43" s="20"/>
      <c r="F43" s="20"/>
      <c r="G43" s="20"/>
    </row>
  </sheetData>
  <mergeCells count="1">
    <mergeCell ref="A1:G4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233"/>
  <sheetViews>
    <sheetView workbookViewId="0"/>
  </sheetViews>
  <sheetFormatPr defaultColWidth="11.25" defaultRowHeight="15" customHeight="1" x14ac:dyDescent="0.25"/>
  <cols>
    <col min="1" max="1" width="11.5" customWidth="1"/>
    <col min="2" max="2" width="13.375" customWidth="1"/>
    <col min="4" max="5" width="20.625" customWidth="1"/>
    <col min="6" max="6" width="17.625" customWidth="1"/>
    <col min="7" max="7" width="18.375" customWidth="1"/>
    <col min="8" max="8" width="16.875" customWidth="1"/>
    <col min="9" max="9" width="16.375" customWidth="1"/>
    <col min="10" max="10" width="18.25" customWidth="1"/>
    <col min="11" max="11" width="18.75" customWidth="1"/>
    <col min="12" max="12" width="28.875" customWidth="1"/>
    <col min="13" max="13" width="29.125" customWidth="1"/>
    <col min="14" max="14" width="31.75" customWidth="1"/>
    <col min="15" max="15" width="33.5" customWidth="1"/>
    <col min="16" max="16" width="23.5" customWidth="1"/>
    <col min="17" max="17" width="12.5" customWidth="1"/>
  </cols>
  <sheetData>
    <row r="1" spans="1:26" x14ac:dyDescent="0.25">
      <c r="A1" s="4" t="s">
        <v>3</v>
      </c>
      <c r="B1" s="4" t="s">
        <v>5</v>
      </c>
      <c r="C1" s="4" t="s">
        <v>7</v>
      </c>
      <c r="D1" s="4" t="s">
        <v>9</v>
      </c>
      <c r="E1" s="4" t="s">
        <v>11</v>
      </c>
      <c r="F1" s="4" t="s">
        <v>13</v>
      </c>
      <c r="G1" s="4" t="s">
        <v>15</v>
      </c>
      <c r="H1" s="4" t="s">
        <v>17</v>
      </c>
      <c r="I1" s="4" t="s">
        <v>19</v>
      </c>
      <c r="J1" s="4" t="s">
        <v>21</v>
      </c>
      <c r="K1" s="4" t="s">
        <v>23</v>
      </c>
      <c r="L1" s="4" t="s">
        <v>25</v>
      </c>
      <c r="M1" s="4" t="s">
        <v>27</v>
      </c>
      <c r="N1" s="4" t="s">
        <v>29</v>
      </c>
      <c r="O1" s="4" t="s">
        <v>31</v>
      </c>
      <c r="P1" s="4" t="s">
        <v>33</v>
      </c>
      <c r="Q1" s="4"/>
      <c r="R1" s="4"/>
      <c r="S1" s="4"/>
      <c r="T1" s="4"/>
      <c r="U1" s="4"/>
      <c r="V1" s="4"/>
      <c r="W1" s="4"/>
      <c r="X1" s="4"/>
      <c r="Y1" s="4"/>
      <c r="Z1" s="4"/>
    </row>
    <row r="2" spans="1:26" x14ac:dyDescent="0.25">
      <c r="A2" s="3" t="s">
        <v>36</v>
      </c>
      <c r="B2" s="3" t="s">
        <v>37</v>
      </c>
      <c r="C2" s="3">
        <v>2015</v>
      </c>
      <c r="D2" s="3">
        <v>3.5750000000000002</v>
      </c>
      <c r="E2" s="3">
        <v>0.31981999999999999</v>
      </c>
      <c r="F2" s="3">
        <v>-0.66000002622604304</v>
      </c>
      <c r="G2" s="3">
        <v>-4.25</v>
      </c>
      <c r="H2" s="3">
        <v>-0.83999997377395597</v>
      </c>
      <c r="I2" s="3">
        <v>0.21999911999999999</v>
      </c>
      <c r="J2" s="5"/>
      <c r="K2" s="3">
        <v>2.6650903225159999</v>
      </c>
      <c r="L2" s="3">
        <v>0.30285000000000001</v>
      </c>
      <c r="M2" s="3">
        <v>0.30335000000000001</v>
      </c>
      <c r="N2" s="3">
        <v>0.23413999999999999</v>
      </c>
      <c r="O2" s="3">
        <v>0.36509999999999998</v>
      </c>
      <c r="P2" s="3">
        <v>9.7189999999999999E-2</v>
      </c>
      <c r="Q2" s="3"/>
    </row>
    <row r="3" spans="1:26" x14ac:dyDescent="0.25">
      <c r="A3" s="3" t="s">
        <v>36</v>
      </c>
      <c r="B3" s="3" t="s">
        <v>37</v>
      </c>
      <c r="C3" s="3">
        <v>2016</v>
      </c>
      <c r="D3" s="3">
        <v>3.36</v>
      </c>
      <c r="E3" s="3">
        <v>0.38227</v>
      </c>
      <c r="F3" s="3">
        <v>4.38000011444091</v>
      </c>
      <c r="G3" s="3">
        <v>2.0699999332427899</v>
      </c>
      <c r="H3" s="3">
        <v>5.67000007629394</v>
      </c>
      <c r="I3" s="3">
        <v>5.1927602100000003</v>
      </c>
      <c r="J3" s="5"/>
      <c r="K3" s="3">
        <v>-2.40950921742184</v>
      </c>
      <c r="L3" s="3">
        <v>0.11037</v>
      </c>
      <c r="M3" s="3">
        <v>0.17344000000000001</v>
      </c>
      <c r="N3" s="3">
        <v>0.1643</v>
      </c>
      <c r="O3" s="3">
        <v>0.31268000000000001</v>
      </c>
      <c r="P3" s="3">
        <v>7.1120000000000003E-2</v>
      </c>
      <c r="Q3" s="3"/>
    </row>
    <row r="4" spans="1:26" x14ac:dyDescent="0.25">
      <c r="A4" s="3" t="s">
        <v>36</v>
      </c>
      <c r="B4" s="3" t="s">
        <v>37</v>
      </c>
      <c r="C4" s="3">
        <v>2017</v>
      </c>
      <c r="D4" s="3">
        <v>3.7939999100000001</v>
      </c>
      <c r="E4" s="3">
        <v>0.40147721800000002</v>
      </c>
      <c r="F4" s="3">
        <v>4.976</v>
      </c>
      <c r="G4" s="3">
        <v>4.4400000572204501</v>
      </c>
      <c r="H4" s="3">
        <v>6.9400000572204501</v>
      </c>
      <c r="I4" s="3">
        <v>5.4232275400000001</v>
      </c>
      <c r="J4" s="5"/>
      <c r="K4" s="3">
        <v>2.4039999999999901</v>
      </c>
      <c r="L4" s="3">
        <v>0.58154332600000003</v>
      </c>
      <c r="M4" s="3">
        <v>0.180746779</v>
      </c>
      <c r="N4" s="3">
        <v>0.10617952</v>
      </c>
      <c r="O4" s="3">
        <v>0.31187093300000002</v>
      </c>
      <c r="P4" s="3">
        <v>6.1157830000000003E-2</v>
      </c>
      <c r="Q4" s="3"/>
    </row>
    <row r="5" spans="1:26" x14ac:dyDescent="0.25">
      <c r="A5" s="3" t="s">
        <v>36</v>
      </c>
      <c r="B5" s="3" t="s">
        <v>37</v>
      </c>
      <c r="C5" s="3">
        <v>2018</v>
      </c>
      <c r="D5" s="3">
        <v>3.6320000000000001</v>
      </c>
      <c r="E5" s="3">
        <v>0.33200000000000002</v>
      </c>
      <c r="F5" s="3">
        <v>0.63</v>
      </c>
      <c r="G5" s="3">
        <v>1.4741849321753699</v>
      </c>
      <c r="H5" s="3">
        <v>-1.04595239606621</v>
      </c>
      <c r="I5" s="3">
        <v>-0.12603250999999999</v>
      </c>
      <c r="J5" s="5"/>
      <c r="K5" s="3">
        <v>2.0712081559314099</v>
      </c>
      <c r="L5" s="3">
        <v>0.53700000000000003</v>
      </c>
      <c r="M5" s="3">
        <v>0.255</v>
      </c>
      <c r="N5" s="3">
        <v>8.5000000000000006E-2</v>
      </c>
      <c r="O5" s="3">
        <v>0.191</v>
      </c>
      <c r="P5" s="3">
        <v>3.5999999999999997E-2</v>
      </c>
      <c r="Q5" s="3"/>
    </row>
    <row r="6" spans="1:26" x14ac:dyDescent="0.25">
      <c r="A6" s="3" t="s">
        <v>36</v>
      </c>
      <c r="B6" s="3" t="s">
        <v>37</v>
      </c>
      <c r="C6" s="3">
        <v>2019</v>
      </c>
      <c r="D6" s="3">
        <v>3.2029999999999998</v>
      </c>
      <c r="E6" s="3">
        <v>0.35</v>
      </c>
      <c r="F6" s="3">
        <v>2.3020000457763601</v>
      </c>
      <c r="G6" s="3">
        <v>-2.4943588325304802</v>
      </c>
      <c r="H6" s="3">
        <v>3.7947702417284899</v>
      </c>
      <c r="I6" s="5"/>
      <c r="J6" s="5"/>
      <c r="K6" s="3">
        <v>6.5209280076536604</v>
      </c>
      <c r="L6" s="3">
        <v>0.51700000000000002</v>
      </c>
      <c r="M6" s="3">
        <v>0.36099999999999999</v>
      </c>
      <c r="N6" s="3">
        <v>0</v>
      </c>
      <c r="O6" s="3">
        <v>0.158</v>
      </c>
      <c r="P6" s="3">
        <v>2.5000000000000001E-2</v>
      </c>
      <c r="Q6" s="3"/>
    </row>
    <row r="7" spans="1:26" x14ac:dyDescent="0.25">
      <c r="A7" s="3" t="s">
        <v>36</v>
      </c>
      <c r="B7" s="3" t="s">
        <v>37</v>
      </c>
      <c r="C7" s="3">
        <v>2020</v>
      </c>
      <c r="D7" s="3">
        <v>2.5669000149999999</v>
      </c>
      <c r="E7" s="3">
        <v>0.30070585</v>
      </c>
      <c r="F7" s="3">
        <v>5.4429998397827104</v>
      </c>
      <c r="G7" s="5"/>
      <c r="H7" s="3">
        <v>5.8290052420567697</v>
      </c>
      <c r="I7" s="5"/>
      <c r="J7" s="5"/>
      <c r="K7" s="3">
        <v>5.3071195696104798</v>
      </c>
      <c r="L7" s="3">
        <v>0.35643383899999997</v>
      </c>
      <c r="M7" s="3">
        <v>0.26605153100000001</v>
      </c>
      <c r="N7" s="3">
        <v>0</v>
      </c>
      <c r="O7" s="3">
        <v>0.13523471400000001</v>
      </c>
      <c r="P7" s="3">
        <v>1.2257850000000001E-3</v>
      </c>
      <c r="Q7" s="3"/>
    </row>
    <row r="8" spans="1:26" x14ac:dyDescent="0.25">
      <c r="A8" s="3" t="s">
        <v>36</v>
      </c>
      <c r="B8" s="3" t="s">
        <v>37</v>
      </c>
      <c r="C8" s="3">
        <v>2021</v>
      </c>
      <c r="D8" s="3">
        <v>2.5230000000000001</v>
      </c>
      <c r="E8" s="3">
        <v>0.37</v>
      </c>
      <c r="F8" s="3">
        <v>5.0620000000000003</v>
      </c>
      <c r="G8" s="5"/>
      <c r="H8" s="5"/>
      <c r="I8" s="5"/>
      <c r="J8" s="5"/>
      <c r="K8" s="3">
        <v>0.52451652362214296</v>
      </c>
      <c r="L8" s="3">
        <v>0</v>
      </c>
      <c r="M8" s="3">
        <v>0.126</v>
      </c>
      <c r="N8" s="3">
        <v>0</v>
      </c>
      <c r="O8" s="3">
        <v>0.122</v>
      </c>
      <c r="P8" s="3">
        <v>0.01</v>
      </c>
      <c r="Q8" s="3"/>
    </row>
    <row r="9" spans="1:26" x14ac:dyDescent="0.25">
      <c r="A9" s="3" t="s">
        <v>36</v>
      </c>
      <c r="B9" s="3" t="s">
        <v>37</v>
      </c>
      <c r="C9" s="3">
        <v>2022</v>
      </c>
      <c r="D9" s="3">
        <v>2.4039999999999999</v>
      </c>
      <c r="E9" s="3">
        <v>0.75800000000000001</v>
      </c>
      <c r="F9" s="3">
        <v>10.6</v>
      </c>
      <c r="G9" s="5"/>
      <c r="H9" s="5"/>
      <c r="I9" s="5"/>
      <c r="J9" s="5"/>
      <c r="K9" s="3">
        <v>5.47507138150669</v>
      </c>
      <c r="L9" s="3">
        <v>0</v>
      </c>
      <c r="M9" s="3">
        <v>0.28899999999999998</v>
      </c>
      <c r="N9" s="3">
        <v>0</v>
      </c>
      <c r="O9" s="3">
        <v>8.8999999999999996E-2</v>
      </c>
      <c r="P9" s="3">
        <v>5.0000000000000001E-3</v>
      </c>
      <c r="Q9" s="3"/>
    </row>
    <row r="10" spans="1:26" x14ac:dyDescent="0.25">
      <c r="A10" s="3" t="s">
        <v>36</v>
      </c>
      <c r="B10" s="3" t="s">
        <v>37</v>
      </c>
      <c r="C10" s="3">
        <v>2023</v>
      </c>
      <c r="D10" s="3">
        <v>1.859</v>
      </c>
      <c r="E10" s="3">
        <v>0.64500000000000002</v>
      </c>
      <c r="F10" s="5"/>
      <c r="G10" s="5"/>
      <c r="H10" s="5"/>
      <c r="I10" s="5"/>
      <c r="J10" s="5"/>
      <c r="K10" s="5"/>
      <c r="L10" s="3">
        <v>0</v>
      </c>
      <c r="M10" s="3">
        <v>8.6999999999999994E-2</v>
      </c>
      <c r="N10" s="3">
        <v>0</v>
      </c>
      <c r="O10" s="3">
        <v>9.2999999999999999E-2</v>
      </c>
      <c r="P10" s="3">
        <v>5.8999999999999997E-2</v>
      </c>
      <c r="Q10" s="3"/>
    </row>
    <row r="11" spans="1:26" x14ac:dyDescent="0.25">
      <c r="A11" s="3" t="s">
        <v>38</v>
      </c>
      <c r="B11" s="3" t="s">
        <v>39</v>
      </c>
      <c r="C11" s="3">
        <v>2015</v>
      </c>
      <c r="D11" s="3">
        <v>4.9589999999999996</v>
      </c>
      <c r="E11" s="3">
        <v>0.87866999999999995</v>
      </c>
      <c r="F11" s="3">
        <v>1.91017913818359</v>
      </c>
      <c r="G11" s="3">
        <v>-0.51999998092651301</v>
      </c>
      <c r="H11" s="3">
        <v>4.3194894790649396</v>
      </c>
      <c r="I11" s="3">
        <v>-0.15695719420909801</v>
      </c>
      <c r="J11" s="5"/>
      <c r="K11" s="3">
        <v>0.56427819843611005</v>
      </c>
      <c r="L11" s="3">
        <v>0.80434000000000005</v>
      </c>
      <c r="M11" s="3">
        <v>0.81325000000000003</v>
      </c>
      <c r="N11" s="3">
        <v>0.35732999999999998</v>
      </c>
      <c r="O11" s="3">
        <v>0.14272000000000001</v>
      </c>
      <c r="P11" s="3">
        <v>6.4130000000000006E-2</v>
      </c>
      <c r="Q11" s="3"/>
    </row>
    <row r="12" spans="1:26" x14ac:dyDescent="0.25">
      <c r="A12" s="3" t="s">
        <v>38</v>
      </c>
      <c r="B12" s="3" t="s">
        <v>39</v>
      </c>
      <c r="C12" s="3">
        <v>2016</v>
      </c>
      <c r="D12" s="3">
        <v>4.6550000000000002</v>
      </c>
      <c r="E12" s="3">
        <v>0.95530000000000004</v>
      </c>
      <c r="F12" s="3">
        <v>1.2912337779998699</v>
      </c>
      <c r="G12" s="3">
        <v>3.9999999105930301E-2</v>
      </c>
      <c r="H12" s="3">
        <v>3.2491877079010001</v>
      </c>
      <c r="I12" s="3">
        <v>0.15138156712055201</v>
      </c>
      <c r="J12" s="3">
        <v>-1.61330354213714</v>
      </c>
      <c r="K12" s="3">
        <v>-0.632404985382368</v>
      </c>
      <c r="L12" s="3">
        <v>0.50163000000000002</v>
      </c>
      <c r="M12" s="3">
        <v>0.73007</v>
      </c>
      <c r="N12" s="3">
        <v>0.31866</v>
      </c>
      <c r="O12" s="3">
        <v>0.16839999999999999</v>
      </c>
      <c r="P12" s="3">
        <v>5.3010000000000002E-2</v>
      </c>
      <c r="Q12" s="3"/>
    </row>
    <row r="13" spans="1:26" x14ac:dyDescent="0.25">
      <c r="A13" s="3" t="s">
        <v>38</v>
      </c>
      <c r="B13" s="3" t="s">
        <v>39</v>
      </c>
      <c r="C13" s="3">
        <v>2017</v>
      </c>
      <c r="D13" s="3">
        <v>4.6440000530000001</v>
      </c>
      <c r="E13" s="3">
        <v>0.99619275299999999</v>
      </c>
      <c r="F13" s="3">
        <v>1.9870000000000001</v>
      </c>
      <c r="G13" s="3">
        <v>1</v>
      </c>
      <c r="H13" s="3">
        <v>3.9054298400878902</v>
      </c>
      <c r="I13" s="3">
        <v>0.81971299648284901</v>
      </c>
      <c r="J13" s="3">
        <v>2.8422458171844398</v>
      </c>
      <c r="K13" s="3">
        <v>1.45093606280679</v>
      </c>
      <c r="L13" s="3">
        <v>0.80368524799999996</v>
      </c>
      <c r="M13" s="3">
        <v>0.73115974699999997</v>
      </c>
      <c r="N13" s="3">
        <v>0.38149863499999997</v>
      </c>
      <c r="O13" s="3">
        <v>0.20131294399999999</v>
      </c>
      <c r="P13" s="3">
        <v>3.9864216000000001E-2</v>
      </c>
      <c r="Q13" s="3"/>
    </row>
    <row r="14" spans="1:26" x14ac:dyDescent="0.25">
      <c r="A14" s="3" t="s">
        <v>38</v>
      </c>
      <c r="B14" s="3" t="s">
        <v>39</v>
      </c>
      <c r="C14" s="3">
        <v>2018</v>
      </c>
      <c r="D14" s="3">
        <v>4.5860000000000003</v>
      </c>
      <c r="E14" s="3">
        <v>0.91600000000000004</v>
      </c>
      <c r="F14" s="3">
        <v>2.0299999999999998</v>
      </c>
      <c r="G14" s="3">
        <v>2.7999999523162802</v>
      </c>
      <c r="H14" s="3">
        <v>2.6714315414428702</v>
      </c>
      <c r="I14" s="3">
        <v>0.92837429046630804</v>
      </c>
      <c r="J14" s="3">
        <v>1.60262203216552</v>
      </c>
      <c r="K14" s="3">
        <v>1.3594643547632099</v>
      </c>
      <c r="L14" s="3">
        <v>0.81699999999999995</v>
      </c>
      <c r="M14" s="3">
        <v>0.79</v>
      </c>
      <c r="N14" s="3">
        <v>0.41899999999999998</v>
      </c>
      <c r="O14" s="3">
        <v>0.14899999999999999</v>
      </c>
      <c r="P14" s="3">
        <v>3.2000000000000001E-2</v>
      </c>
      <c r="Q14" s="3"/>
    </row>
    <row r="15" spans="1:26" x14ac:dyDescent="0.25">
      <c r="A15" s="3" t="s">
        <v>38</v>
      </c>
      <c r="B15" s="3" t="s">
        <v>39</v>
      </c>
      <c r="C15" s="3">
        <v>2019</v>
      </c>
      <c r="D15" s="3">
        <v>4.7190000000000003</v>
      </c>
      <c r="E15" s="3">
        <v>0.94699999999999995</v>
      </c>
      <c r="F15" s="3">
        <v>1.41100001335144</v>
      </c>
      <c r="G15" s="3">
        <v>0.68900984525680498</v>
      </c>
      <c r="H15" s="3">
        <v>2.9119379520416202</v>
      </c>
      <c r="I15" s="3">
        <v>0.73537814617156905</v>
      </c>
      <c r="J15" s="3">
        <v>-0.79672098159789995</v>
      </c>
      <c r="K15" s="3">
        <v>0.36341732757754702</v>
      </c>
      <c r="L15" s="3">
        <v>0.84799999999999998</v>
      </c>
      <c r="M15" s="3">
        <v>0.874</v>
      </c>
      <c r="N15" s="3">
        <v>0.38300000000000001</v>
      </c>
      <c r="O15" s="3">
        <v>0.17799999999999999</v>
      </c>
      <c r="P15" s="3">
        <v>2.7E-2</v>
      </c>
      <c r="Q15" s="3"/>
    </row>
    <row r="16" spans="1:26" x14ac:dyDescent="0.25">
      <c r="A16" s="3" t="s">
        <v>38</v>
      </c>
      <c r="B16" s="3" t="s">
        <v>39</v>
      </c>
      <c r="C16" s="3">
        <v>2020</v>
      </c>
      <c r="D16" s="3">
        <v>4.8826999659999997</v>
      </c>
      <c r="E16" s="3">
        <v>0.90665304700000005</v>
      </c>
      <c r="F16" s="3">
        <v>1.62088661716951</v>
      </c>
      <c r="G16" s="3">
        <v>1.42008930115135</v>
      </c>
      <c r="H16" s="3">
        <v>3.6074542999267498</v>
      </c>
      <c r="I16" s="3">
        <v>1.4114062786102199</v>
      </c>
      <c r="J16" s="3">
        <v>-3.4326387637598899</v>
      </c>
      <c r="K16" s="3">
        <v>1.4133957508102299</v>
      </c>
      <c r="L16" s="3">
        <v>0.83048391300000002</v>
      </c>
      <c r="M16" s="3">
        <v>0.84632962899999997</v>
      </c>
      <c r="N16" s="3">
        <v>0.461945891</v>
      </c>
      <c r="O16" s="3">
        <v>0.171027765</v>
      </c>
      <c r="P16" s="3">
        <v>2.5361285000000001E-2</v>
      </c>
      <c r="Q16" s="3"/>
    </row>
    <row r="17" spans="1:17" x14ac:dyDescent="0.25">
      <c r="A17" s="3" t="s">
        <v>38</v>
      </c>
      <c r="B17" s="3" t="s">
        <v>39</v>
      </c>
      <c r="C17" s="3">
        <v>2021</v>
      </c>
      <c r="D17" s="3">
        <v>5.117</v>
      </c>
      <c r="E17" s="3">
        <v>1.008</v>
      </c>
      <c r="F17" s="3">
        <v>2.04147163139546</v>
      </c>
      <c r="G17" s="3">
        <v>2.7</v>
      </c>
      <c r="H17" s="3">
        <v>3.9</v>
      </c>
      <c r="I17" s="3">
        <v>1.6793292723743301</v>
      </c>
      <c r="J17" s="3">
        <v>2.69890833333318</v>
      </c>
      <c r="K17" s="3">
        <v>5.9280138143244603</v>
      </c>
      <c r="L17" s="3">
        <v>0.52900000000000003</v>
      </c>
      <c r="M17" s="3">
        <v>0.64600000000000002</v>
      </c>
      <c r="N17" s="3">
        <v>0.49099999999999999</v>
      </c>
      <c r="O17" s="3">
        <v>0.16800000000000001</v>
      </c>
      <c r="P17" s="3">
        <v>2.4E-2</v>
      </c>
      <c r="Q17" s="3"/>
    </row>
    <row r="18" spans="1:17" x14ac:dyDescent="0.25">
      <c r="A18" s="3" t="s">
        <v>38</v>
      </c>
      <c r="B18" s="3" t="s">
        <v>39</v>
      </c>
      <c r="C18" s="3">
        <v>2022</v>
      </c>
      <c r="D18" s="3">
        <v>5.1989999999999998</v>
      </c>
      <c r="E18" s="3">
        <v>1.4390000000000001</v>
      </c>
      <c r="F18" s="3">
        <v>6.72520271530062</v>
      </c>
      <c r="G18" s="3">
        <v>14.2160851123593</v>
      </c>
      <c r="H18" s="3">
        <v>11.2035143814813</v>
      </c>
      <c r="I18" s="3">
        <v>6.5010409894748804</v>
      </c>
      <c r="J18" s="3">
        <v>19.937537473012998</v>
      </c>
      <c r="K18" s="3">
        <v>9.6517632944895393</v>
      </c>
      <c r="L18" s="3">
        <v>0.64600000000000002</v>
      </c>
      <c r="M18" s="3">
        <v>0.71899999999999997</v>
      </c>
      <c r="N18" s="3">
        <v>0.51100000000000001</v>
      </c>
      <c r="O18" s="3">
        <v>0.13800000000000001</v>
      </c>
      <c r="P18" s="3">
        <v>2.8000000000000001E-2</v>
      </c>
      <c r="Q18" s="3"/>
    </row>
    <row r="19" spans="1:17" x14ac:dyDescent="0.25">
      <c r="A19" s="3" t="s">
        <v>38</v>
      </c>
      <c r="B19" s="3" t="s">
        <v>39</v>
      </c>
      <c r="C19" s="3">
        <v>2023</v>
      </c>
      <c r="D19" s="3">
        <v>5.2770000000000001</v>
      </c>
      <c r="E19" s="3">
        <v>1.4490000000000001</v>
      </c>
      <c r="F19" s="3">
        <v>5.5652238840333998</v>
      </c>
      <c r="G19" s="3">
        <v>-5.0686363666852001</v>
      </c>
      <c r="H19" s="5"/>
      <c r="I19" s="3">
        <v>5.2225312934631303</v>
      </c>
      <c r="J19" s="5"/>
      <c r="K19" s="3">
        <v>5.1942692701797997</v>
      </c>
      <c r="L19" s="3">
        <v>0.95099999999999996</v>
      </c>
      <c r="M19" s="3">
        <v>0.48</v>
      </c>
      <c r="N19" s="3">
        <v>0.54900000000000004</v>
      </c>
      <c r="O19" s="3">
        <v>0.13300000000000001</v>
      </c>
      <c r="P19" s="3">
        <v>3.6999999999999998E-2</v>
      </c>
      <c r="Q19" s="3"/>
    </row>
    <row r="20" spans="1:17" x14ac:dyDescent="0.25">
      <c r="A20" s="3" t="s">
        <v>40</v>
      </c>
      <c r="B20" s="3" t="s">
        <v>41</v>
      </c>
      <c r="C20" s="3">
        <v>2015</v>
      </c>
      <c r="D20" s="3">
        <v>5.6050000000000004</v>
      </c>
      <c r="E20" s="3">
        <v>0.93928999999999996</v>
      </c>
      <c r="F20" s="3">
        <v>4.3916664123535103</v>
      </c>
      <c r="G20" s="3">
        <v>1.7503198385238601</v>
      </c>
      <c r="H20" s="3">
        <v>3.6048820018768302</v>
      </c>
      <c r="I20" s="5"/>
      <c r="J20" s="3">
        <v>2.2497055530547998</v>
      </c>
      <c r="K20" s="3">
        <v>-6.45563575659751</v>
      </c>
      <c r="L20" s="3">
        <v>1.07772</v>
      </c>
      <c r="M20" s="3">
        <v>0.61765999999999999</v>
      </c>
      <c r="N20" s="3">
        <v>0.28578999999999999</v>
      </c>
      <c r="O20" s="3">
        <v>7.8219999999999998E-2</v>
      </c>
      <c r="P20" s="3">
        <v>0.17383000000000001</v>
      </c>
      <c r="Q20" s="3"/>
    </row>
    <row r="21" spans="1:17" x14ac:dyDescent="0.25">
      <c r="A21" s="3" t="s">
        <v>40</v>
      </c>
      <c r="B21" s="3" t="s">
        <v>41</v>
      </c>
      <c r="C21" s="3">
        <v>2016</v>
      </c>
      <c r="D21" s="3">
        <v>6.3550000000000004</v>
      </c>
      <c r="E21" s="3">
        <v>1.0526599999999999</v>
      </c>
      <c r="F21" s="3">
        <v>5.8003039360046298</v>
      </c>
      <c r="G21" s="3">
        <v>5.9810543060302699</v>
      </c>
      <c r="H21" s="3">
        <v>2.6168446540832502</v>
      </c>
      <c r="I21" s="5"/>
      <c r="J21" s="3">
        <v>4.11934089660644</v>
      </c>
      <c r="K21" s="3">
        <v>1.5487295017993301</v>
      </c>
      <c r="L21" s="3">
        <v>0.83309</v>
      </c>
      <c r="M21" s="3">
        <v>0.61804000000000003</v>
      </c>
      <c r="N21" s="3">
        <v>0.21006</v>
      </c>
      <c r="O21" s="3">
        <v>7.0440000000000003E-2</v>
      </c>
      <c r="P21" s="3">
        <v>0.16156999999999999</v>
      </c>
      <c r="Q21" s="3"/>
    </row>
    <row r="22" spans="1:17" x14ac:dyDescent="0.25">
      <c r="A22" s="3" t="s">
        <v>40</v>
      </c>
      <c r="B22" s="3" t="s">
        <v>41</v>
      </c>
      <c r="C22" s="3">
        <v>2017</v>
      </c>
      <c r="D22" s="3">
        <v>5.8720002170000001</v>
      </c>
      <c r="E22" s="3">
        <v>1.0918644669999999</v>
      </c>
      <c r="F22" s="3">
        <v>5.5910000000000002</v>
      </c>
      <c r="G22" s="3">
        <v>2.8017797470092698</v>
      </c>
      <c r="H22" s="3">
        <v>5.6054000854492099</v>
      </c>
      <c r="I22" s="5"/>
      <c r="J22" s="3">
        <v>1.8786095380782999</v>
      </c>
      <c r="K22" s="3">
        <v>6.3908368784897496</v>
      </c>
      <c r="L22" s="3">
        <v>1.1462174650000001</v>
      </c>
      <c r="M22" s="3">
        <v>0.61758464599999996</v>
      </c>
      <c r="N22" s="3">
        <v>0.23333580800000001</v>
      </c>
      <c r="O22" s="3">
        <v>6.9436647000000004E-2</v>
      </c>
      <c r="P22" s="3">
        <v>0.14609611</v>
      </c>
      <c r="Q22" s="3"/>
    </row>
    <row r="23" spans="1:17" x14ac:dyDescent="0.25">
      <c r="A23" s="3" t="s">
        <v>40</v>
      </c>
      <c r="B23" s="3" t="s">
        <v>41</v>
      </c>
      <c r="C23" s="3">
        <v>2018</v>
      </c>
      <c r="D23" s="3">
        <v>5.2949999999999999</v>
      </c>
      <c r="E23" s="3">
        <v>0.97899999999999998</v>
      </c>
      <c r="F23" s="3">
        <v>3.51</v>
      </c>
      <c r="G23" s="3">
        <v>1.23882627487182</v>
      </c>
      <c r="H23" s="3">
        <v>1.7412292957305899</v>
      </c>
      <c r="I23" s="5"/>
      <c r="J23" s="3">
        <v>4.0810565948486301</v>
      </c>
      <c r="K23" s="3">
        <v>7.0647865764368998</v>
      </c>
      <c r="L23" s="3">
        <v>1.1539999999999999</v>
      </c>
      <c r="M23" s="3">
        <v>0.68700000000000006</v>
      </c>
      <c r="N23" s="3">
        <v>7.6999999999999999E-2</v>
      </c>
      <c r="O23" s="3">
        <v>5.5E-2</v>
      </c>
      <c r="P23" s="3">
        <v>0.13500000000000001</v>
      </c>
      <c r="Q23" s="3"/>
    </row>
    <row r="24" spans="1:17" x14ac:dyDescent="0.25">
      <c r="A24" s="3" t="s">
        <v>40</v>
      </c>
      <c r="B24" s="3" t="s">
        <v>41</v>
      </c>
      <c r="C24" s="3">
        <v>2019</v>
      </c>
      <c r="D24" s="3">
        <v>5.2110000000000003</v>
      </c>
      <c r="E24" s="3">
        <v>1.002</v>
      </c>
      <c r="F24" s="3">
        <v>1.9520000219345</v>
      </c>
      <c r="G24" s="3">
        <v>1.42514395713806</v>
      </c>
      <c r="H24" s="3">
        <v>0.64319568872451705</v>
      </c>
      <c r="I24" s="5"/>
      <c r="J24" s="3">
        <v>2.6372888088226301</v>
      </c>
      <c r="K24" s="3">
        <v>-0.90998945944071097</v>
      </c>
      <c r="L24" s="3">
        <v>1.1599999999999999</v>
      </c>
      <c r="M24" s="3">
        <v>0.78500000000000003</v>
      </c>
      <c r="N24" s="3">
        <v>8.5999999999999993E-2</v>
      </c>
      <c r="O24" s="3">
        <v>7.2999999999999995E-2</v>
      </c>
      <c r="P24" s="3">
        <v>0.114</v>
      </c>
      <c r="Q24" s="3"/>
    </row>
    <row r="25" spans="1:17" x14ac:dyDescent="0.25">
      <c r="A25" s="3" t="s">
        <v>40</v>
      </c>
      <c r="B25" s="3" t="s">
        <v>41</v>
      </c>
      <c r="C25" s="3">
        <v>2020</v>
      </c>
      <c r="D25" s="3">
        <v>5.0050997730000004</v>
      </c>
      <c r="E25" s="3">
        <v>0.943856001</v>
      </c>
      <c r="F25" s="3">
        <v>2.4151309408338499</v>
      </c>
      <c r="G25" s="3">
        <v>1.38973834475173</v>
      </c>
      <c r="H25" s="3">
        <v>0.22050304710865001</v>
      </c>
      <c r="I25" s="5"/>
      <c r="J25" s="5"/>
      <c r="K25" s="3">
        <v>-4.68669483664846</v>
      </c>
      <c r="L25" s="3">
        <v>1.143003583</v>
      </c>
      <c r="M25" s="3">
        <v>0.74541854900000004</v>
      </c>
      <c r="N25" s="3">
        <v>8.3943798999999999E-2</v>
      </c>
      <c r="O25" s="3">
        <v>0.118915014</v>
      </c>
      <c r="P25" s="3">
        <v>0.12919065399999999</v>
      </c>
      <c r="Q25" s="3"/>
    </row>
    <row r="26" spans="1:17" x14ac:dyDescent="0.25">
      <c r="A26" s="3" t="s">
        <v>40</v>
      </c>
      <c r="B26" s="3" t="s">
        <v>41</v>
      </c>
      <c r="C26" s="3">
        <v>2021</v>
      </c>
      <c r="D26" s="3">
        <v>4.8869999999999996</v>
      </c>
      <c r="E26" s="3">
        <v>0.94599999999999995</v>
      </c>
      <c r="F26" s="3">
        <v>7.2260630741547596</v>
      </c>
      <c r="G26" s="3">
        <v>1.47</v>
      </c>
      <c r="H26" s="3">
        <v>10.130000000000001</v>
      </c>
      <c r="I26" s="5"/>
      <c r="J26" s="3">
        <v>7.4329044900740602</v>
      </c>
      <c r="K26" s="3">
        <v>15.7367442753979</v>
      </c>
      <c r="L26" s="3">
        <v>0.76500000000000001</v>
      </c>
      <c r="M26" s="3">
        <v>0.55200000000000005</v>
      </c>
      <c r="N26" s="3">
        <v>0.11899999999999999</v>
      </c>
      <c r="O26" s="3">
        <v>0.14399999999999999</v>
      </c>
      <c r="P26" s="3">
        <v>0.12</v>
      </c>
      <c r="Q26" s="3"/>
    </row>
    <row r="27" spans="1:17" x14ac:dyDescent="0.25">
      <c r="A27" s="3" t="s">
        <v>40</v>
      </c>
      <c r="B27" s="3" t="s">
        <v>41</v>
      </c>
      <c r="C27" s="3">
        <v>2022</v>
      </c>
      <c r="D27" s="3">
        <v>5.1219999999999999</v>
      </c>
      <c r="E27" s="3">
        <v>1.363</v>
      </c>
      <c r="F27" s="3">
        <v>9.26551551551551</v>
      </c>
      <c r="G27" s="3">
        <v>2.4020967963278399</v>
      </c>
      <c r="H27" s="3">
        <v>12.7018999458344</v>
      </c>
      <c r="I27" s="5"/>
      <c r="J27" s="5"/>
      <c r="K27" s="3">
        <v>15.567649223379901</v>
      </c>
      <c r="L27" s="3">
        <v>0.97</v>
      </c>
      <c r="M27" s="3">
        <v>0.64300000000000002</v>
      </c>
      <c r="N27" s="3">
        <v>0.14599999999999999</v>
      </c>
      <c r="O27" s="3">
        <v>0.106</v>
      </c>
      <c r="P27" s="3">
        <v>0.15</v>
      </c>
      <c r="Q27" s="3"/>
    </row>
    <row r="28" spans="1:17" x14ac:dyDescent="0.25">
      <c r="A28" s="3" t="s">
        <v>40</v>
      </c>
      <c r="B28" s="3" t="s">
        <v>41</v>
      </c>
      <c r="C28" s="3">
        <v>2023</v>
      </c>
      <c r="D28" s="3">
        <v>5.3289999999999997</v>
      </c>
      <c r="E28" s="3">
        <v>1.353</v>
      </c>
      <c r="F28" s="3">
        <v>9.3221737592832206</v>
      </c>
      <c r="G28" s="3">
        <v>1.4879778034169</v>
      </c>
      <c r="H28" s="3">
        <v>13.256372924328</v>
      </c>
      <c r="I28" s="5"/>
      <c r="J28" s="5"/>
      <c r="K28" s="3">
        <v>-0.42962924200005098</v>
      </c>
      <c r="L28" s="3">
        <v>1.298</v>
      </c>
      <c r="M28" s="3">
        <v>0.40899999999999997</v>
      </c>
      <c r="N28" s="3">
        <v>0.252</v>
      </c>
      <c r="O28" s="3">
        <v>7.2999999999999995E-2</v>
      </c>
      <c r="P28" s="3">
        <v>0.152</v>
      </c>
      <c r="Q28" s="3"/>
    </row>
    <row r="29" spans="1:17" x14ac:dyDescent="0.25">
      <c r="A29" s="3" t="s">
        <v>42</v>
      </c>
      <c r="B29" s="3" t="s">
        <v>43</v>
      </c>
      <c r="C29" s="3">
        <v>2015</v>
      </c>
      <c r="D29" s="3">
        <v>4.0330000000000004</v>
      </c>
      <c r="E29" s="3">
        <v>0.75778000000000001</v>
      </c>
      <c r="F29" s="3">
        <v>9.1590003967285103</v>
      </c>
      <c r="G29" s="5"/>
      <c r="H29" s="3">
        <v>9.2964696884155202</v>
      </c>
      <c r="I29" s="5"/>
      <c r="J29" s="3">
        <v>9.1711225509643501</v>
      </c>
      <c r="K29" s="3">
        <v>-3.5183902599192498</v>
      </c>
      <c r="L29" s="3">
        <v>0.86040000000000005</v>
      </c>
      <c r="M29" s="3">
        <v>0.16683000000000001</v>
      </c>
      <c r="N29" s="3">
        <v>0.10384</v>
      </c>
      <c r="O29" s="3">
        <v>0.12343999999999999</v>
      </c>
      <c r="P29" s="3">
        <v>7.1220000000000006E-2</v>
      </c>
      <c r="Q29" s="3"/>
    </row>
    <row r="30" spans="1:17" x14ac:dyDescent="0.25">
      <c r="A30" s="3" t="s">
        <v>42</v>
      </c>
      <c r="B30" s="3" t="s">
        <v>43</v>
      </c>
      <c r="C30" s="3">
        <v>2016</v>
      </c>
      <c r="D30" s="3">
        <v>3.8660000000000001</v>
      </c>
      <c r="E30" s="3">
        <v>0.84731000000000001</v>
      </c>
      <c r="F30" s="3">
        <v>32.377731323242102</v>
      </c>
      <c r="G30" s="5"/>
      <c r="H30" s="3">
        <v>21.235500335693299</v>
      </c>
      <c r="I30" s="5"/>
      <c r="J30" s="3">
        <v>20.392229080200099</v>
      </c>
      <c r="K30" s="3">
        <v>21.7742995159179</v>
      </c>
      <c r="L30" s="3">
        <v>0.66366000000000003</v>
      </c>
      <c r="M30" s="3">
        <v>4.9910000000000003E-2</v>
      </c>
      <c r="N30" s="3">
        <v>5.8900000000000003E-3</v>
      </c>
      <c r="O30" s="3">
        <v>0.12071</v>
      </c>
      <c r="P30" s="3">
        <v>8.4339999999999998E-2</v>
      </c>
      <c r="Q30" s="3"/>
    </row>
    <row r="31" spans="1:17" x14ac:dyDescent="0.25">
      <c r="A31" s="3" t="s">
        <v>42</v>
      </c>
      <c r="B31" s="3" t="s">
        <v>43</v>
      </c>
      <c r="C31" s="3">
        <v>2017</v>
      </c>
      <c r="D31" s="3">
        <v>3.795000076</v>
      </c>
      <c r="E31" s="3">
        <v>0.85842817999999999</v>
      </c>
      <c r="F31" s="3">
        <v>29.844000000000001</v>
      </c>
      <c r="G31" s="5"/>
      <c r="H31" s="3">
        <v>40.986217498779297</v>
      </c>
      <c r="I31" s="5"/>
      <c r="J31" s="3">
        <v>23.023481369018501</v>
      </c>
      <c r="K31" s="3">
        <v>22.6178279879068</v>
      </c>
      <c r="L31" s="3">
        <v>1.10441196</v>
      </c>
      <c r="M31" s="3">
        <v>4.9868665999999999E-2</v>
      </c>
      <c r="N31" s="3">
        <v>0</v>
      </c>
      <c r="O31" s="3">
        <v>9.7926490000000005E-2</v>
      </c>
      <c r="P31" s="3">
        <v>6.9720334999999994E-2</v>
      </c>
      <c r="Q31" s="3"/>
    </row>
    <row r="32" spans="1:17" x14ac:dyDescent="0.25">
      <c r="A32" s="3" t="s">
        <v>42</v>
      </c>
      <c r="B32" s="3" t="s">
        <v>43</v>
      </c>
      <c r="C32" s="3">
        <v>2018</v>
      </c>
      <c r="D32" s="3">
        <v>3.7949999999999999</v>
      </c>
      <c r="E32" s="3">
        <v>0.73</v>
      </c>
      <c r="F32" s="3">
        <v>19.63</v>
      </c>
      <c r="G32" s="5"/>
      <c r="H32" s="3">
        <v>22.350267410278299</v>
      </c>
      <c r="I32" s="5"/>
      <c r="J32" s="3">
        <v>16.090867996215799</v>
      </c>
      <c r="K32" s="3">
        <v>33.762010529827897</v>
      </c>
      <c r="L32" s="3">
        <v>1.125</v>
      </c>
      <c r="M32" s="3">
        <v>0.26900000000000002</v>
      </c>
      <c r="N32" s="3">
        <v>0</v>
      </c>
      <c r="O32" s="3">
        <v>7.9000000000000001E-2</v>
      </c>
      <c r="P32" s="3">
        <v>6.0999999999999999E-2</v>
      </c>
      <c r="Q32" s="3"/>
    </row>
    <row r="33" spans="1:17" x14ac:dyDescent="0.25">
      <c r="A33" s="3" t="s">
        <v>44</v>
      </c>
      <c r="B33" s="3" t="s">
        <v>45</v>
      </c>
      <c r="C33" s="3">
        <v>2015</v>
      </c>
      <c r="D33" s="3">
        <v>6.5739999999999998</v>
      </c>
      <c r="E33" s="3">
        <v>1.0535099999999999</v>
      </c>
      <c r="F33" s="3">
        <v>26.5384006500244</v>
      </c>
      <c r="G33" s="5"/>
      <c r="H33" s="5"/>
      <c r="I33" s="5"/>
      <c r="J33" s="5"/>
      <c r="K33" s="3">
        <v>26.579992280864101</v>
      </c>
      <c r="L33" s="3">
        <v>1.24823</v>
      </c>
      <c r="M33" s="3">
        <v>0.78722999999999999</v>
      </c>
      <c r="N33" s="3">
        <v>0.44973999999999997</v>
      </c>
      <c r="O33" s="3">
        <v>0.11451</v>
      </c>
      <c r="P33" s="3">
        <v>8.4839999999999999E-2</v>
      </c>
      <c r="Q33" s="3"/>
    </row>
    <row r="34" spans="1:17" x14ac:dyDescent="0.25">
      <c r="A34" s="3" t="s">
        <v>44</v>
      </c>
      <c r="B34" s="3" t="s">
        <v>45</v>
      </c>
      <c r="C34" s="3">
        <v>2016</v>
      </c>
      <c r="D34" s="3">
        <v>6.65</v>
      </c>
      <c r="E34" s="3">
        <v>1.15137</v>
      </c>
      <c r="F34" s="3">
        <v>39.400001525878899</v>
      </c>
      <c r="G34" s="5"/>
      <c r="H34" s="3">
        <v>49.432299369638699</v>
      </c>
      <c r="I34" s="5"/>
      <c r="J34" s="5"/>
      <c r="K34" s="3">
        <v>41.119381225524798</v>
      </c>
      <c r="L34" s="3">
        <v>1.06612</v>
      </c>
      <c r="M34" s="3">
        <v>0.69711000000000001</v>
      </c>
      <c r="N34" s="3">
        <v>0.42283999999999999</v>
      </c>
      <c r="O34" s="3">
        <v>0.10989</v>
      </c>
      <c r="P34" s="3">
        <v>7.2959999999999997E-2</v>
      </c>
      <c r="Q34" s="3"/>
    </row>
    <row r="35" spans="1:17" x14ac:dyDescent="0.25">
      <c r="A35" s="3" t="s">
        <v>44</v>
      </c>
      <c r="B35" s="3" t="s">
        <v>45</v>
      </c>
      <c r="C35" s="3">
        <v>2017</v>
      </c>
      <c r="D35" s="3">
        <v>6.5989999770000001</v>
      </c>
      <c r="E35" s="3">
        <v>1.1852954630000001</v>
      </c>
      <c r="F35" s="3">
        <v>25.675000000000001</v>
      </c>
      <c r="G35" s="5"/>
      <c r="H35" s="3">
        <v>20.36</v>
      </c>
      <c r="I35" s="5"/>
      <c r="J35" s="3">
        <v>16.264039993286101</v>
      </c>
      <c r="K35" s="3">
        <v>26.0063783008199</v>
      </c>
      <c r="L35" s="3">
        <v>1.4404511449999999</v>
      </c>
      <c r="M35" s="3">
        <v>0.69513708399999996</v>
      </c>
      <c r="N35" s="3">
        <v>0.49451920399999999</v>
      </c>
      <c r="O35" s="3">
        <v>0.10945706099999999</v>
      </c>
      <c r="P35" s="3">
        <v>5.9739887999999998E-2</v>
      </c>
      <c r="Q35" s="3"/>
    </row>
    <row r="36" spans="1:17" x14ac:dyDescent="0.25">
      <c r="A36" s="3" t="s">
        <v>44</v>
      </c>
      <c r="B36" s="3" t="s">
        <v>45</v>
      </c>
      <c r="C36" s="3">
        <v>2018</v>
      </c>
      <c r="D36" s="3">
        <v>6.3879999999999999</v>
      </c>
      <c r="E36" s="3">
        <v>1.073</v>
      </c>
      <c r="F36" s="3">
        <v>34.28</v>
      </c>
      <c r="G36" s="3">
        <v>52.759998321533203</v>
      </c>
      <c r="H36" s="3">
        <v>32.738937377929602</v>
      </c>
      <c r="I36" s="5"/>
      <c r="J36" s="3">
        <v>52.216434478759702</v>
      </c>
      <c r="K36" s="3">
        <v>40.012154428274798</v>
      </c>
      <c r="L36" s="3">
        <v>1.468</v>
      </c>
      <c r="M36" s="3">
        <v>0.74399999999999999</v>
      </c>
      <c r="N36" s="3">
        <v>0.56999999999999995</v>
      </c>
      <c r="O36" s="3">
        <v>6.2E-2</v>
      </c>
      <c r="P36" s="3">
        <v>5.3999999999999999E-2</v>
      </c>
      <c r="Q36" s="3"/>
    </row>
    <row r="37" spans="1:17" x14ac:dyDescent="0.25">
      <c r="A37" s="3" t="s">
        <v>44</v>
      </c>
      <c r="B37" s="3" t="s">
        <v>45</v>
      </c>
      <c r="C37" s="3">
        <v>2019</v>
      </c>
      <c r="D37" s="3">
        <v>6.0860000000000003</v>
      </c>
      <c r="E37" s="3">
        <v>1.0920000000000001</v>
      </c>
      <c r="F37" s="3">
        <v>53.548000335693303</v>
      </c>
      <c r="G37" s="3">
        <v>49.280769348144503</v>
      </c>
      <c r="H37" s="3">
        <v>58.344104766845703</v>
      </c>
      <c r="I37" s="5"/>
      <c r="J37" s="3">
        <v>58.310783386230398</v>
      </c>
      <c r="K37" s="3">
        <v>50.6225811791886</v>
      </c>
      <c r="L37" s="3">
        <v>1.4319999999999999</v>
      </c>
      <c r="M37" s="3">
        <v>0.88100000000000001</v>
      </c>
      <c r="N37" s="3">
        <v>0.47099999999999997</v>
      </c>
      <c r="O37" s="3">
        <v>6.6000000000000003E-2</v>
      </c>
      <c r="P37" s="3">
        <v>0.05</v>
      </c>
      <c r="Q37" s="3"/>
    </row>
    <row r="38" spans="1:17" x14ac:dyDescent="0.25">
      <c r="A38" s="3" t="s">
        <v>44</v>
      </c>
      <c r="B38" s="3" t="s">
        <v>45</v>
      </c>
      <c r="C38" s="3">
        <v>2020</v>
      </c>
      <c r="D38" s="3">
        <v>5.974699974</v>
      </c>
      <c r="E38" s="3">
        <v>1.028465629</v>
      </c>
      <c r="F38" s="3">
        <v>42.01509475708</v>
      </c>
      <c r="G38" s="3">
        <v>19.946910858154201</v>
      </c>
      <c r="H38" s="3">
        <v>46.970287322997997</v>
      </c>
      <c r="I38" s="5"/>
      <c r="J38" s="3">
        <v>42.506999969482401</v>
      </c>
      <c r="K38" s="3">
        <v>39.8408475683459</v>
      </c>
      <c r="L38" s="3">
        <v>1.3725436929999999</v>
      </c>
      <c r="M38" s="3">
        <v>0.84977370500000005</v>
      </c>
      <c r="N38" s="3">
        <v>0.52084034700000004</v>
      </c>
      <c r="O38" s="3">
        <v>7.0100470999999998E-2</v>
      </c>
      <c r="P38" s="3">
        <v>6.0415059E-2</v>
      </c>
      <c r="Q38" s="3"/>
    </row>
    <row r="39" spans="1:17" x14ac:dyDescent="0.25">
      <c r="A39" s="3" t="s">
        <v>44</v>
      </c>
      <c r="B39" s="3" t="s">
        <v>45</v>
      </c>
      <c r="C39" s="3">
        <v>2021</v>
      </c>
      <c r="D39" s="3">
        <v>5.9290000000000003</v>
      </c>
      <c r="E39" s="3">
        <v>1.1619999999999999</v>
      </c>
      <c r="F39" s="3">
        <v>48.409379999999999</v>
      </c>
      <c r="G39" s="3">
        <v>26.23</v>
      </c>
      <c r="H39" s="3">
        <v>49.845999999999997</v>
      </c>
      <c r="I39" s="5"/>
      <c r="J39" s="3">
        <v>59.085495037117298</v>
      </c>
      <c r="K39" s="3">
        <v>54.152411941934602</v>
      </c>
      <c r="L39" s="3">
        <v>0.98</v>
      </c>
      <c r="M39" s="3">
        <v>0.64600000000000002</v>
      </c>
      <c r="N39" s="3">
        <v>0.54400000000000004</v>
      </c>
      <c r="O39" s="3">
        <v>6.9000000000000006E-2</v>
      </c>
      <c r="P39" s="3">
        <v>6.7000000000000004E-2</v>
      </c>
      <c r="Q39" s="3"/>
    </row>
    <row r="40" spans="1:17" x14ac:dyDescent="0.25">
      <c r="A40" s="3" t="s">
        <v>44</v>
      </c>
      <c r="B40" s="3" t="s">
        <v>45</v>
      </c>
      <c r="C40" s="3">
        <v>2022</v>
      </c>
      <c r="D40" s="3">
        <v>5.9669999999999996</v>
      </c>
      <c r="E40" s="3">
        <v>1.5920000000000001</v>
      </c>
      <c r="F40" s="3">
        <v>72.430760000000006</v>
      </c>
      <c r="G40" s="3">
        <v>51.398287492709599</v>
      </c>
      <c r="H40" s="3">
        <v>74.630560000000003</v>
      </c>
      <c r="I40" s="5"/>
      <c r="J40" s="3">
        <v>60.2733460122991</v>
      </c>
      <c r="K40" s="3">
        <v>41.066530740455299</v>
      </c>
      <c r="L40" s="3">
        <v>1.1020000000000001</v>
      </c>
      <c r="M40" s="3">
        <v>0.66200000000000003</v>
      </c>
      <c r="N40" s="3">
        <v>0.55500000000000005</v>
      </c>
      <c r="O40" s="3">
        <v>8.1000000000000003E-2</v>
      </c>
      <c r="P40" s="3">
        <v>8.5000000000000006E-2</v>
      </c>
      <c r="Q40" s="3"/>
    </row>
    <row r="41" spans="1:17" x14ac:dyDescent="0.25">
      <c r="A41" s="3" t="s">
        <v>44</v>
      </c>
      <c r="B41" s="3" t="s">
        <v>45</v>
      </c>
      <c r="C41" s="3">
        <v>2023</v>
      </c>
      <c r="D41" s="3">
        <v>6.024</v>
      </c>
      <c r="E41" s="3">
        <v>1.59</v>
      </c>
      <c r="F41" s="3">
        <v>128.41470771147701</v>
      </c>
      <c r="G41" s="3">
        <v>110.88389164872601</v>
      </c>
      <c r="H41" s="3">
        <v>144.440148777639</v>
      </c>
      <c r="I41" s="5"/>
      <c r="J41" s="3">
        <v>128.47663756170601</v>
      </c>
      <c r="K41" s="3">
        <v>112.264943954953</v>
      </c>
      <c r="L41" s="3">
        <v>1.3879999999999999</v>
      </c>
      <c r="M41" s="3">
        <v>0.42699999999999999</v>
      </c>
      <c r="N41" s="3">
        <v>0.58699999999999997</v>
      </c>
      <c r="O41" s="3">
        <v>8.7999999999999995E-2</v>
      </c>
      <c r="P41" s="3">
        <v>8.2000000000000003E-2</v>
      </c>
      <c r="Q41" s="3"/>
    </row>
    <row r="42" spans="1:17" x14ac:dyDescent="0.25">
      <c r="A42" s="3" t="s">
        <v>46</v>
      </c>
      <c r="B42" s="3" t="s">
        <v>39</v>
      </c>
      <c r="C42" s="3">
        <v>2015</v>
      </c>
      <c r="D42" s="3">
        <v>4.3499999999999996</v>
      </c>
      <c r="E42" s="3">
        <v>0.76820999999999995</v>
      </c>
      <c r="F42" s="3">
        <v>3.7309999465942298</v>
      </c>
      <c r="G42" s="3">
        <v>38.9799995422363</v>
      </c>
      <c r="H42" s="3">
        <v>27.850000381469702</v>
      </c>
      <c r="I42" s="3">
        <v>5.14251082</v>
      </c>
      <c r="J42" s="3">
        <v>-0.76964908838272095</v>
      </c>
      <c r="K42" s="3">
        <v>1.1607672799870501</v>
      </c>
      <c r="L42" s="3">
        <v>0.77710999999999997</v>
      </c>
      <c r="M42" s="3">
        <v>0.72989999999999999</v>
      </c>
      <c r="N42" s="3">
        <v>0.19847000000000001</v>
      </c>
      <c r="O42" s="3">
        <v>7.8549999999999995E-2</v>
      </c>
      <c r="P42" s="3">
        <v>3.9E-2</v>
      </c>
      <c r="Q42" s="3"/>
    </row>
    <row r="43" spans="1:17" x14ac:dyDescent="0.25">
      <c r="A43" s="3" t="s">
        <v>46</v>
      </c>
      <c r="B43" s="3" t="s">
        <v>39</v>
      </c>
      <c r="C43" s="3">
        <v>2016</v>
      </c>
      <c r="D43" s="3">
        <v>4.3600000000000003</v>
      </c>
      <c r="E43" s="3">
        <v>0.86085999999999996</v>
      </c>
      <c r="F43" s="3">
        <v>-1.40600001811981</v>
      </c>
      <c r="G43" s="3">
        <v>-23.879999160766602</v>
      </c>
      <c r="H43" s="3">
        <v>-22.030000686645501</v>
      </c>
      <c r="I43" s="3">
        <v>-2.0220336799999998</v>
      </c>
      <c r="J43" s="3">
        <v>1.5113158226013099</v>
      </c>
      <c r="K43" s="3">
        <v>0.274027402740256</v>
      </c>
      <c r="L43" s="3">
        <v>0.62477000000000005</v>
      </c>
      <c r="M43" s="3">
        <v>0.64083000000000001</v>
      </c>
      <c r="N43" s="3">
        <v>0.14036999999999999</v>
      </c>
      <c r="O43" s="3">
        <v>7.7929999999999999E-2</v>
      </c>
      <c r="P43" s="3">
        <v>3.6159999999999998E-2</v>
      </c>
      <c r="Q43" s="3"/>
    </row>
    <row r="44" spans="1:17" x14ac:dyDescent="0.25">
      <c r="A44" s="3" t="s">
        <v>46</v>
      </c>
      <c r="B44" s="3" t="s">
        <v>39</v>
      </c>
      <c r="C44" s="3">
        <v>2017</v>
      </c>
      <c r="D44" s="3">
        <v>4.3759999279999997</v>
      </c>
      <c r="E44" s="3">
        <v>0.90059673799999995</v>
      </c>
      <c r="F44" s="3">
        <v>1.0309999999999999</v>
      </c>
      <c r="G44" s="3">
        <v>-4.6366821698904097</v>
      </c>
      <c r="H44" s="3">
        <v>3.9871132373809801</v>
      </c>
      <c r="I44" s="3">
        <v>0.69570027000000001</v>
      </c>
      <c r="J44" s="3">
        <v>2.15844249725341</v>
      </c>
      <c r="K44" s="3">
        <v>2.1337003643713901</v>
      </c>
      <c r="L44" s="3">
        <v>1.0074837210000001</v>
      </c>
      <c r="M44" s="3">
        <v>0.63752442600000003</v>
      </c>
      <c r="N44" s="3">
        <v>0.19830326700000001</v>
      </c>
      <c r="O44" s="3">
        <v>8.3488092E-2</v>
      </c>
      <c r="P44" s="3">
        <v>2.6674422E-2</v>
      </c>
      <c r="Q44" s="3"/>
    </row>
    <row r="45" spans="1:17" x14ac:dyDescent="0.25">
      <c r="A45" s="3" t="s">
        <v>46</v>
      </c>
      <c r="B45" s="3" t="s">
        <v>39</v>
      </c>
      <c r="C45" s="3">
        <v>2018</v>
      </c>
      <c r="D45" s="3">
        <v>4.3209999999999997</v>
      </c>
      <c r="E45" s="3">
        <v>0.81599999999999995</v>
      </c>
      <c r="F45" s="3">
        <v>2.52</v>
      </c>
      <c r="G45" s="3">
        <v>0.179646258026501</v>
      </c>
      <c r="H45" s="3">
        <v>2.3362267017364502</v>
      </c>
      <c r="I45" s="3">
        <v>3.7044858700000001</v>
      </c>
      <c r="J45" s="3">
        <v>8.2490898668765994E-2</v>
      </c>
      <c r="K45" s="3">
        <v>2.7629308941766202</v>
      </c>
      <c r="L45" s="3">
        <v>0.99</v>
      </c>
      <c r="M45" s="3">
        <v>0.66600000000000004</v>
      </c>
      <c r="N45" s="3">
        <v>0.26</v>
      </c>
      <c r="O45" s="3">
        <v>7.6999999999999999E-2</v>
      </c>
      <c r="P45" s="3">
        <v>2.8000000000000001E-2</v>
      </c>
      <c r="Q45" s="3"/>
    </row>
    <row r="46" spans="1:17" x14ac:dyDescent="0.25">
      <c r="A46" s="3" t="s">
        <v>46</v>
      </c>
      <c r="B46" s="3" t="s">
        <v>39</v>
      </c>
      <c r="C46" s="3">
        <v>2019</v>
      </c>
      <c r="D46" s="3">
        <v>4.5590000000000002</v>
      </c>
      <c r="E46" s="3">
        <v>0.85</v>
      </c>
      <c r="F46" s="3">
        <v>1.442999958992</v>
      </c>
      <c r="G46" s="3">
        <v>0.48494130373001099</v>
      </c>
      <c r="H46" s="3">
        <v>1.86862969398498</v>
      </c>
      <c r="I46" s="3">
        <v>1.1661734699999999</v>
      </c>
      <c r="J46" s="3">
        <v>0.63066476583480802</v>
      </c>
      <c r="K46" s="3">
        <v>1.4798953430177</v>
      </c>
      <c r="L46" s="3">
        <v>1.0549999999999999</v>
      </c>
      <c r="M46" s="3">
        <v>0.81499999999999995</v>
      </c>
      <c r="N46" s="3">
        <v>0.28299999999999997</v>
      </c>
      <c r="O46" s="3">
        <v>9.5000000000000001E-2</v>
      </c>
      <c r="P46" s="3">
        <v>6.4000000000000001E-2</v>
      </c>
      <c r="Q46" s="3"/>
    </row>
    <row r="47" spans="1:17" x14ac:dyDescent="0.25">
      <c r="A47" s="3" t="s">
        <v>46</v>
      </c>
      <c r="B47" s="3" t="s">
        <v>39</v>
      </c>
      <c r="C47" s="3">
        <v>2020</v>
      </c>
      <c r="D47" s="3">
        <v>4.676799774</v>
      </c>
      <c r="E47" s="3">
        <v>0.80826240800000004</v>
      </c>
      <c r="F47" s="3">
        <v>1.2114357783846501</v>
      </c>
      <c r="G47" s="3">
        <v>0.89319621793330894</v>
      </c>
      <c r="H47" s="3">
        <v>0.26999127864837602</v>
      </c>
      <c r="I47" s="3">
        <v>1.2960609599999999</v>
      </c>
      <c r="J47" s="3">
        <v>2.9759600162506099</v>
      </c>
      <c r="K47" s="3">
        <v>1.84536629522114</v>
      </c>
      <c r="L47" s="3">
        <v>1.0345768930000001</v>
      </c>
      <c r="M47" s="3">
        <v>0.77585727000000004</v>
      </c>
      <c r="N47" s="3">
        <v>0.37807580800000001</v>
      </c>
      <c r="O47" s="3">
        <v>0.107225738</v>
      </c>
      <c r="P47" s="3">
        <v>0.104618184</v>
      </c>
      <c r="Q47" s="3"/>
    </row>
    <row r="48" spans="1:17" x14ac:dyDescent="0.25">
      <c r="A48" s="3" t="s">
        <v>46</v>
      </c>
      <c r="B48" s="3" t="s">
        <v>39</v>
      </c>
      <c r="C48" s="3">
        <v>2021</v>
      </c>
      <c r="D48" s="3">
        <v>5.2830000000000004</v>
      </c>
      <c r="E48" s="3">
        <v>0.996</v>
      </c>
      <c r="F48" s="3">
        <v>7.1848362944337296</v>
      </c>
      <c r="G48" s="3">
        <v>1.28</v>
      </c>
      <c r="H48" s="3">
        <v>11.21</v>
      </c>
      <c r="I48" s="3">
        <v>7.2321676300000002</v>
      </c>
      <c r="J48" s="3">
        <v>9.8664392543815502</v>
      </c>
      <c r="K48" s="3">
        <v>6.8667407349684897</v>
      </c>
      <c r="L48" s="3">
        <v>0.75800000000000001</v>
      </c>
      <c r="M48" s="3">
        <v>0.58499999999999996</v>
      </c>
      <c r="N48" s="3">
        <v>0.54</v>
      </c>
      <c r="O48" s="3">
        <v>7.9000000000000001E-2</v>
      </c>
      <c r="P48" s="3">
        <v>0.19800000000000001</v>
      </c>
      <c r="Q48" s="3"/>
    </row>
    <row r="49" spans="1:17" x14ac:dyDescent="0.25">
      <c r="A49" s="3" t="s">
        <v>46</v>
      </c>
      <c r="B49" s="3" t="s">
        <v>39</v>
      </c>
      <c r="C49" s="3">
        <v>2022</v>
      </c>
      <c r="D49" s="3">
        <v>5.399</v>
      </c>
      <c r="E49" s="3">
        <v>1.4339999999999999</v>
      </c>
      <c r="F49" s="3">
        <v>8.6409110897384505</v>
      </c>
      <c r="G49" s="3">
        <v>6.2510133583135197</v>
      </c>
      <c r="H49" s="3">
        <v>12.1134906709789</v>
      </c>
      <c r="I49" s="3">
        <v>8.2781985799999998</v>
      </c>
      <c r="J49" s="3">
        <v>2.68107717836368</v>
      </c>
      <c r="K49" s="3">
        <v>6.8831649001725301</v>
      </c>
      <c r="L49" s="3">
        <v>0.82</v>
      </c>
      <c r="M49" s="3">
        <v>0.66800000000000004</v>
      </c>
      <c r="N49" s="3">
        <v>0.55800000000000005</v>
      </c>
      <c r="O49" s="3">
        <v>5.3999999999999999E-2</v>
      </c>
      <c r="P49" s="3">
        <v>0.21</v>
      </c>
      <c r="Q49" s="3"/>
    </row>
    <row r="50" spans="1:17" x14ac:dyDescent="0.25">
      <c r="A50" s="3" t="s">
        <v>46</v>
      </c>
      <c r="B50" s="3" t="s">
        <v>39</v>
      </c>
      <c r="C50" s="3">
        <v>2023</v>
      </c>
      <c r="D50" s="3">
        <v>5.3419999999999996</v>
      </c>
      <c r="E50" s="3">
        <v>1.466</v>
      </c>
      <c r="F50" s="3">
        <v>1.9804187761555401</v>
      </c>
      <c r="G50" s="5"/>
      <c r="H50" s="3">
        <v>-0.49481988445116298</v>
      </c>
      <c r="I50" s="3">
        <v>2.5</v>
      </c>
      <c r="J50" s="3">
        <v>1.5881226474116901</v>
      </c>
      <c r="K50" s="3">
        <v>2.8187339693170701</v>
      </c>
      <c r="L50" s="3">
        <v>1.1339999999999999</v>
      </c>
      <c r="M50" s="3">
        <v>0.443</v>
      </c>
      <c r="N50" s="3">
        <v>0.55100000000000005</v>
      </c>
      <c r="O50" s="3">
        <v>5.2999999999999999E-2</v>
      </c>
      <c r="P50" s="3">
        <v>0.16</v>
      </c>
      <c r="Q50" s="3"/>
    </row>
    <row r="51" spans="1:17" x14ac:dyDescent="0.25">
      <c r="A51" s="3" t="s">
        <v>47</v>
      </c>
      <c r="B51" s="3" t="s">
        <v>48</v>
      </c>
      <c r="C51" s="3">
        <v>2015</v>
      </c>
      <c r="D51" s="3">
        <v>7.2839999999999998</v>
      </c>
      <c r="E51" s="3">
        <v>1.33358</v>
      </c>
      <c r="F51" s="3">
        <v>1.50836789608001</v>
      </c>
      <c r="G51" s="3">
        <v>2.5399999618530198</v>
      </c>
      <c r="H51" s="3">
        <v>0.921209156513214</v>
      </c>
      <c r="I51" s="3">
        <v>2.4624250000000001</v>
      </c>
      <c r="J51" s="3">
        <v>-4.9417913993821596</v>
      </c>
      <c r="K51" s="3">
        <v>-0.67991858299770402</v>
      </c>
      <c r="L51" s="3">
        <v>1.3092299999999999</v>
      </c>
      <c r="M51" s="3">
        <v>0.93156000000000005</v>
      </c>
      <c r="N51" s="3">
        <v>0.65124000000000004</v>
      </c>
      <c r="O51" s="3">
        <v>0.43562000000000001</v>
      </c>
      <c r="P51" s="3">
        <v>0.35637000000000002</v>
      </c>
      <c r="Q51" s="3"/>
    </row>
    <row r="52" spans="1:17" x14ac:dyDescent="0.25">
      <c r="A52" s="3" t="s">
        <v>47</v>
      </c>
      <c r="B52" s="3" t="s">
        <v>48</v>
      </c>
      <c r="C52" s="3">
        <v>2016</v>
      </c>
      <c r="D52" s="3">
        <v>7.3129999999999997</v>
      </c>
      <c r="E52" s="3">
        <v>1.4444300000000001</v>
      </c>
      <c r="F52" s="3">
        <v>1.2769927978515601</v>
      </c>
      <c r="G52" s="3">
        <v>1.6799999475479099</v>
      </c>
      <c r="H52" s="3">
        <v>0.81672459840774503</v>
      </c>
      <c r="I52" s="3">
        <v>1.812424</v>
      </c>
      <c r="J52" s="3">
        <v>-1.4329750895606801</v>
      </c>
      <c r="K52" s="3">
        <v>0.99306706200401296</v>
      </c>
      <c r="L52" s="3">
        <v>1.10476</v>
      </c>
      <c r="M52" s="3">
        <v>0.85119999999999996</v>
      </c>
      <c r="N52" s="3">
        <v>0.56837000000000004</v>
      </c>
      <c r="O52" s="3">
        <v>0.47406999999999999</v>
      </c>
      <c r="P52" s="3">
        <v>0.32330999999999999</v>
      </c>
    </row>
    <row r="53" spans="1:17" x14ac:dyDescent="0.25">
      <c r="A53" s="3" t="s">
        <v>47</v>
      </c>
      <c r="B53" s="3" t="s">
        <v>48</v>
      </c>
      <c r="C53" s="3">
        <v>2017</v>
      </c>
      <c r="D53" s="3">
        <v>7.2839999200000003</v>
      </c>
      <c r="E53" s="3">
        <v>1.484414935</v>
      </c>
      <c r="F53" s="3">
        <v>1.972</v>
      </c>
      <c r="G53" s="3">
        <v>2.8900001049041699</v>
      </c>
      <c r="H53" s="3">
        <v>0.71479624509811401</v>
      </c>
      <c r="I53" s="3">
        <v>1.6044830000000001</v>
      </c>
      <c r="J53" s="3">
        <v>8.4946327444845497</v>
      </c>
      <c r="K53" s="3">
        <v>3.62774833507829</v>
      </c>
      <c r="L53" s="3">
        <v>1.5100419519999999</v>
      </c>
      <c r="M53" s="3">
        <v>0.84388679300000002</v>
      </c>
      <c r="N53" s="3">
        <v>0.60160738199999997</v>
      </c>
      <c r="O53" s="3">
        <v>0.47769925000000002</v>
      </c>
      <c r="P53" s="3">
        <v>0.30118372999999998</v>
      </c>
      <c r="Q53" s="3"/>
    </row>
    <row r="54" spans="1:17" x14ac:dyDescent="0.25">
      <c r="A54" s="3" t="s">
        <v>47</v>
      </c>
      <c r="B54" s="3" t="s">
        <v>48</v>
      </c>
      <c r="C54" s="3">
        <v>2018</v>
      </c>
      <c r="D54" s="3">
        <v>7.2720000000000002</v>
      </c>
      <c r="E54" s="3">
        <v>1.34</v>
      </c>
      <c r="F54" s="3">
        <v>1.91</v>
      </c>
      <c r="G54" s="3">
        <v>2.3457322120666499</v>
      </c>
      <c r="H54" s="3">
        <v>0.96994924545287997</v>
      </c>
      <c r="I54" s="3">
        <v>1.2690410000000001</v>
      </c>
      <c r="J54" s="3">
        <v>5.2119040199435904</v>
      </c>
      <c r="K54" s="3">
        <v>2.2539788350970702</v>
      </c>
      <c r="L54" s="3">
        <v>1.573</v>
      </c>
      <c r="M54" s="3">
        <v>0.91</v>
      </c>
      <c r="N54" s="3">
        <v>0.64700000000000002</v>
      </c>
      <c r="O54" s="3">
        <v>0.36099999999999999</v>
      </c>
      <c r="P54" s="3">
        <v>0.30199999999999999</v>
      </c>
      <c r="Q54" s="3"/>
    </row>
    <row r="55" spans="1:17" x14ac:dyDescent="0.25">
      <c r="A55" s="3" t="s">
        <v>47</v>
      </c>
      <c r="B55" s="3" t="s">
        <v>48</v>
      </c>
      <c r="C55" s="3">
        <v>2019</v>
      </c>
      <c r="D55" s="3">
        <v>7.2279999999999998</v>
      </c>
      <c r="E55" s="3">
        <v>1.3720000000000001</v>
      </c>
      <c r="F55" s="3">
        <v>1.6100000143051101</v>
      </c>
      <c r="G55" s="3">
        <v>-1.21214294433593</v>
      </c>
      <c r="H55" s="3">
        <v>4.4828939437866202</v>
      </c>
      <c r="I55" s="3">
        <v>0.67987869999999995</v>
      </c>
      <c r="J55" s="3">
        <v>1.01443909663145</v>
      </c>
      <c r="K55" s="3">
        <v>3.3166279590921999</v>
      </c>
      <c r="L55" s="3">
        <v>1.548</v>
      </c>
      <c r="M55" s="3">
        <v>1.036</v>
      </c>
      <c r="N55" s="3">
        <v>0.55700000000000005</v>
      </c>
      <c r="O55" s="3">
        <v>0.33200000000000002</v>
      </c>
      <c r="P55" s="3">
        <v>0.28999999999999998</v>
      </c>
      <c r="Q55" s="3"/>
    </row>
    <row r="56" spans="1:17" x14ac:dyDescent="0.25">
      <c r="A56" s="3" t="s">
        <v>47</v>
      </c>
      <c r="B56" s="3" t="s">
        <v>48</v>
      </c>
      <c r="C56" s="3">
        <v>2020</v>
      </c>
      <c r="D56" s="3">
        <v>7.2227997779999997</v>
      </c>
      <c r="E56" s="3">
        <v>1.310396433</v>
      </c>
      <c r="F56" s="3">
        <v>0.84690553745963904</v>
      </c>
      <c r="G56" s="3">
        <v>-0.123279227450179</v>
      </c>
      <c r="H56" s="3">
        <v>9.2792131306551298</v>
      </c>
      <c r="I56" s="3">
        <v>-4.0772259999999998E-3</v>
      </c>
      <c r="J56" s="3">
        <v>-3.7091335581296998</v>
      </c>
      <c r="K56" s="3">
        <v>0.85183578499034196</v>
      </c>
      <c r="L56" s="3">
        <v>1.477146268</v>
      </c>
      <c r="M56" s="3">
        <v>1.022607684</v>
      </c>
      <c r="N56" s="3">
        <v>0.62187719299999999</v>
      </c>
      <c r="O56" s="3">
        <v>0.32497361299999999</v>
      </c>
      <c r="P56" s="3">
        <v>0.33599641899999999</v>
      </c>
      <c r="Q56" s="3"/>
    </row>
    <row r="57" spans="1:17" x14ac:dyDescent="0.25">
      <c r="A57" s="3" t="s">
        <v>47</v>
      </c>
      <c r="B57" s="3" t="s">
        <v>48</v>
      </c>
      <c r="C57" s="3">
        <v>2021</v>
      </c>
      <c r="D57" s="3">
        <v>7.1829999999999998</v>
      </c>
      <c r="E57" s="3">
        <v>1.4530000000000001</v>
      </c>
      <c r="F57" s="3">
        <v>2.82</v>
      </c>
      <c r="G57" s="3">
        <v>10.931950000000001</v>
      </c>
      <c r="H57" s="3">
        <v>7.91</v>
      </c>
      <c r="I57" s="3">
        <v>1.4060680000000001</v>
      </c>
      <c r="J57" s="3">
        <v>5.74</v>
      </c>
      <c r="K57" s="3">
        <v>2.8008998363704198</v>
      </c>
      <c r="L57" s="3">
        <v>1.0760000000000001</v>
      </c>
      <c r="M57" s="3">
        <v>0.80100000000000005</v>
      </c>
      <c r="N57" s="3">
        <v>0.64700000000000002</v>
      </c>
      <c r="O57" s="3">
        <v>0.29099999999999998</v>
      </c>
      <c r="P57" s="3">
        <v>0.317</v>
      </c>
      <c r="Q57" s="3"/>
    </row>
    <row r="58" spans="1:17" x14ac:dyDescent="0.25">
      <c r="A58" s="3" t="s">
        <v>47</v>
      </c>
      <c r="B58" s="3" t="s">
        <v>48</v>
      </c>
      <c r="C58" s="3">
        <v>2022</v>
      </c>
      <c r="D58" s="3">
        <v>7.1619999999999999</v>
      </c>
      <c r="E58" s="3">
        <v>1.9</v>
      </c>
      <c r="F58" s="3">
        <v>6.5940969999999997</v>
      </c>
      <c r="G58" s="3">
        <v>15.4573249190897</v>
      </c>
      <c r="H58" s="3">
        <v>8.1667000000000005</v>
      </c>
      <c r="I58" s="3">
        <v>5.5455709999999998</v>
      </c>
      <c r="J58" s="3">
        <v>9.88278414769775</v>
      </c>
      <c r="K58" s="3">
        <v>7.3648045797675996</v>
      </c>
      <c r="L58" s="3">
        <v>1.2030000000000001</v>
      </c>
      <c r="M58" s="3">
        <v>0.77200000000000002</v>
      </c>
      <c r="N58" s="3">
        <v>0.67600000000000005</v>
      </c>
      <c r="O58" s="3">
        <v>0.25800000000000001</v>
      </c>
      <c r="P58" s="3">
        <v>0.34100000000000003</v>
      </c>
      <c r="Q58" s="3"/>
    </row>
    <row r="59" spans="1:17" x14ac:dyDescent="0.25">
      <c r="A59" s="3" t="s">
        <v>47</v>
      </c>
      <c r="B59" s="3" t="s">
        <v>48</v>
      </c>
      <c r="C59" s="3">
        <v>2023</v>
      </c>
      <c r="D59" s="3">
        <v>7.0949999999999998</v>
      </c>
      <c r="E59" s="3">
        <v>1.899</v>
      </c>
      <c r="F59" s="3">
        <v>5.5970149253730996</v>
      </c>
      <c r="G59" s="3">
        <v>7.1534463250875797</v>
      </c>
      <c r="H59" s="3">
        <v>6.5810368570150901</v>
      </c>
      <c r="I59" s="3">
        <v>5.3096860000000001</v>
      </c>
      <c r="J59" s="5"/>
      <c r="K59" s="3">
        <v>3.71231747066776</v>
      </c>
      <c r="L59" s="3">
        <v>1.4970000000000001</v>
      </c>
      <c r="M59" s="3">
        <v>0.53200000000000003</v>
      </c>
      <c r="N59" s="3">
        <v>0.67700000000000005</v>
      </c>
      <c r="O59" s="3">
        <v>0.24199999999999999</v>
      </c>
      <c r="P59" s="3">
        <v>0.31</v>
      </c>
      <c r="Q59" s="3"/>
    </row>
    <row r="60" spans="1:17" x14ac:dyDescent="0.25">
      <c r="A60" s="3" t="s">
        <v>49</v>
      </c>
      <c r="B60" s="3" t="s">
        <v>50</v>
      </c>
      <c r="C60" s="3">
        <v>2015</v>
      </c>
      <c r="D60" s="3">
        <v>7.2</v>
      </c>
      <c r="E60" s="3">
        <v>1.3372299999999999</v>
      </c>
      <c r="F60" s="3">
        <v>0.896564722061157</v>
      </c>
      <c r="G60" s="3">
        <v>1.1900000572204501</v>
      </c>
      <c r="H60" s="3">
        <v>0.83185976743698098</v>
      </c>
      <c r="I60" s="3">
        <v>1.8456180095672601</v>
      </c>
      <c r="J60" s="3">
        <v>-1.47798204421997</v>
      </c>
      <c r="K60" s="3">
        <v>2.3007437264068802</v>
      </c>
      <c r="L60" s="3">
        <v>1.29704</v>
      </c>
      <c r="M60" s="3">
        <v>0.89041999999999999</v>
      </c>
      <c r="N60" s="3">
        <v>0.62433000000000005</v>
      </c>
      <c r="O60" s="3">
        <v>0.33088000000000001</v>
      </c>
      <c r="P60" s="3">
        <v>0.18676000000000001</v>
      </c>
    </row>
    <row r="61" spans="1:17" x14ac:dyDescent="0.25">
      <c r="A61" s="3" t="s">
        <v>49</v>
      </c>
      <c r="B61" s="3" t="s">
        <v>50</v>
      </c>
      <c r="C61" s="3">
        <v>2016</v>
      </c>
      <c r="D61" s="3">
        <v>7.1189999999999998</v>
      </c>
      <c r="E61" s="3">
        <v>1.45038</v>
      </c>
      <c r="F61" s="3">
        <v>0.891595959663391</v>
      </c>
      <c r="G61" s="3">
        <v>0.82999998331069902</v>
      </c>
      <c r="H61" s="3">
        <v>0.73332977294921797</v>
      </c>
      <c r="I61" s="3">
        <v>1.4667890071868801</v>
      </c>
      <c r="J61" s="3">
        <v>-1.82513415813446</v>
      </c>
      <c r="K61" s="3">
        <v>1.8479999999999901</v>
      </c>
      <c r="L61" s="3">
        <v>1.0838300000000001</v>
      </c>
      <c r="M61" s="3">
        <v>0.80564999999999998</v>
      </c>
      <c r="N61" s="3">
        <v>0.54354999999999998</v>
      </c>
      <c r="O61" s="3">
        <v>0.32865</v>
      </c>
      <c r="P61" s="3">
        <v>0.21348</v>
      </c>
      <c r="Q61" s="3"/>
    </row>
    <row r="62" spans="1:17" x14ac:dyDescent="0.25">
      <c r="A62" s="3" t="s">
        <v>49</v>
      </c>
      <c r="B62" s="3" t="s">
        <v>50</v>
      </c>
      <c r="C62" s="3">
        <v>2017</v>
      </c>
      <c r="D62" s="3">
        <v>7.0060000420000001</v>
      </c>
      <c r="E62" s="3">
        <v>1.4870972629999999</v>
      </c>
      <c r="F62" s="3">
        <v>2.23</v>
      </c>
      <c r="G62" s="3">
        <v>1.7300000190734801</v>
      </c>
      <c r="H62" s="3">
        <v>2.3659884929656898</v>
      </c>
      <c r="I62" s="3">
        <v>1.97125303745269</v>
      </c>
      <c r="J62" s="3">
        <v>1.9609631299972501</v>
      </c>
      <c r="K62" s="3">
        <v>0.86108711020343498</v>
      </c>
      <c r="L62" s="3">
        <v>1.4599449630000001</v>
      </c>
      <c r="M62" s="3">
        <v>0.81532841899999997</v>
      </c>
      <c r="N62" s="3">
        <v>0.56776618999999995</v>
      </c>
      <c r="O62" s="3">
        <v>0.31647232199999997</v>
      </c>
      <c r="P62" s="3">
        <v>0.22106036500000001</v>
      </c>
      <c r="Q62" s="3"/>
    </row>
    <row r="63" spans="1:17" x14ac:dyDescent="0.25">
      <c r="A63" s="3" t="s">
        <v>49</v>
      </c>
      <c r="B63" s="3" t="s">
        <v>50</v>
      </c>
      <c r="C63" s="3">
        <v>2018</v>
      </c>
      <c r="D63" s="3">
        <v>7.1390000000000002</v>
      </c>
      <c r="E63" s="3">
        <v>1.341</v>
      </c>
      <c r="F63" s="3">
        <v>2</v>
      </c>
      <c r="G63" s="3">
        <v>2.2799999713897701</v>
      </c>
      <c r="H63" s="3">
        <v>1.5193136930465601</v>
      </c>
      <c r="I63" s="3">
        <v>1.8123240470886199</v>
      </c>
      <c r="J63" s="3">
        <v>2.3811395168304399</v>
      </c>
      <c r="K63" s="3">
        <v>1.71331224142127</v>
      </c>
      <c r="L63" s="3">
        <v>1.504</v>
      </c>
      <c r="M63" s="3">
        <v>0.89100000000000001</v>
      </c>
      <c r="N63" s="3">
        <v>0.61699999999999999</v>
      </c>
      <c r="O63" s="3">
        <v>0.24199999999999999</v>
      </c>
      <c r="P63" s="3">
        <v>0.224</v>
      </c>
      <c r="Q63" s="3"/>
    </row>
    <row r="64" spans="1:17" x14ac:dyDescent="0.25">
      <c r="A64" s="3" t="s">
        <v>49</v>
      </c>
      <c r="B64" s="3" t="s">
        <v>50</v>
      </c>
      <c r="C64" s="3">
        <v>2019</v>
      </c>
      <c r="D64" s="3">
        <v>7.2460000000000004</v>
      </c>
      <c r="E64" s="3">
        <v>1.3759999999999999</v>
      </c>
      <c r="F64" s="3">
        <v>1.4900000095367401</v>
      </c>
      <c r="G64" s="3">
        <v>0.89682477712631203</v>
      </c>
      <c r="H64" s="3">
        <v>1.0189460515975901</v>
      </c>
      <c r="I64" s="3">
        <v>1.65348100662231</v>
      </c>
      <c r="J64" s="3">
        <v>0.10569886118173499</v>
      </c>
      <c r="K64" s="3">
        <v>1.72656362157247</v>
      </c>
      <c r="L64" s="3">
        <v>1.4750000000000001</v>
      </c>
      <c r="M64" s="3">
        <v>1.016</v>
      </c>
      <c r="N64" s="3">
        <v>0.53200000000000003</v>
      </c>
      <c r="O64" s="3">
        <v>0.24399999999999999</v>
      </c>
      <c r="P64" s="3">
        <v>0.22600000000000001</v>
      </c>
      <c r="Q64" s="3"/>
    </row>
    <row r="65" spans="1:17" x14ac:dyDescent="0.25">
      <c r="A65" s="3" t="s">
        <v>49</v>
      </c>
      <c r="B65" s="3" t="s">
        <v>50</v>
      </c>
      <c r="C65" s="3">
        <v>2020</v>
      </c>
      <c r="D65" s="3">
        <v>7.2941999439999998</v>
      </c>
      <c r="E65" s="3">
        <v>1.3172855379999999</v>
      </c>
      <c r="F65" s="3">
        <v>1.3819106335189599</v>
      </c>
      <c r="G65" s="3">
        <v>2.4005304074407001</v>
      </c>
      <c r="H65" s="3">
        <v>2.3324123720216599</v>
      </c>
      <c r="I65" s="3">
        <v>1.899783</v>
      </c>
      <c r="J65" s="3">
        <v>-1.5923257754942399</v>
      </c>
      <c r="K65" s="3">
        <v>1.1271156940040701</v>
      </c>
      <c r="L65" s="3">
        <v>1.4374449250000001</v>
      </c>
      <c r="M65" s="3">
        <v>1.000933528</v>
      </c>
      <c r="N65" s="3">
        <v>0.60336887800000005</v>
      </c>
      <c r="O65" s="3">
        <v>0.25550976399999997</v>
      </c>
      <c r="P65" s="3">
        <v>0.28125613900000002</v>
      </c>
      <c r="Q65" s="3"/>
    </row>
    <row r="66" spans="1:17" x14ac:dyDescent="0.25">
      <c r="A66" s="3" t="s">
        <v>49</v>
      </c>
      <c r="B66" s="3" t="s">
        <v>50</v>
      </c>
      <c r="C66" s="3">
        <v>2021</v>
      </c>
      <c r="D66" s="3">
        <v>7.2679999999999998</v>
      </c>
      <c r="E66" s="3">
        <v>1.492</v>
      </c>
      <c r="F66" s="3">
        <v>2.766667</v>
      </c>
      <c r="G66" s="3">
        <v>12.25</v>
      </c>
      <c r="H66" s="3">
        <v>0.78300000000000003</v>
      </c>
      <c r="I66" s="3">
        <v>2.15</v>
      </c>
      <c r="J66" s="3">
        <v>7.9494799405650598</v>
      </c>
      <c r="K66" s="3">
        <v>1.9434074603079801</v>
      </c>
      <c r="L66" s="3">
        <v>1.0620000000000001</v>
      </c>
      <c r="M66" s="3">
        <v>0.78200000000000003</v>
      </c>
      <c r="N66" s="3">
        <v>0.64</v>
      </c>
      <c r="O66" s="3">
        <v>0.215</v>
      </c>
      <c r="P66" s="3">
        <v>0.29199999999999998</v>
      </c>
      <c r="Q66" s="3"/>
    </row>
    <row r="67" spans="1:17" x14ac:dyDescent="0.25">
      <c r="A67" s="3" t="s">
        <v>49</v>
      </c>
      <c r="B67" s="3" t="s">
        <v>50</v>
      </c>
      <c r="C67" s="3">
        <v>2022</v>
      </c>
      <c r="D67" s="3">
        <v>7.1630000000000003</v>
      </c>
      <c r="E67" s="3">
        <v>1.931</v>
      </c>
      <c r="F67" s="3">
        <v>8.5468700000000002</v>
      </c>
      <c r="G67" s="3">
        <v>39.0574838499425</v>
      </c>
      <c r="H67" s="3">
        <v>10.748239999999999</v>
      </c>
      <c r="I67" s="3">
        <v>5.4794797039694902</v>
      </c>
      <c r="J67" s="3">
        <v>9.5281792460043793</v>
      </c>
      <c r="K67" s="3">
        <v>4.7378279799878902</v>
      </c>
      <c r="L67" s="3">
        <v>1.165</v>
      </c>
      <c r="M67" s="3">
        <v>0.77400000000000002</v>
      </c>
      <c r="N67" s="3">
        <v>0.623</v>
      </c>
      <c r="O67" s="3">
        <v>0.193</v>
      </c>
      <c r="P67" s="3">
        <v>0.32900000000000001</v>
      </c>
      <c r="Q67" s="3"/>
    </row>
    <row r="68" spans="1:17" x14ac:dyDescent="0.25">
      <c r="A68" s="3" t="s">
        <v>49</v>
      </c>
      <c r="B68" s="3" t="s">
        <v>50</v>
      </c>
      <c r="C68" s="3">
        <v>2023</v>
      </c>
      <c r="D68" s="3">
        <v>7.0970000000000004</v>
      </c>
      <c r="E68" s="3">
        <v>1.927</v>
      </c>
      <c r="F68" s="3">
        <v>7.8141341700283196</v>
      </c>
      <c r="G68" s="3">
        <v>6.1952729422944399</v>
      </c>
      <c r="H68" s="3">
        <v>10.974229565254801</v>
      </c>
      <c r="I68" s="3">
        <v>7.74055499377888</v>
      </c>
      <c r="J68" s="3">
        <v>1.82224394330803</v>
      </c>
      <c r="K68" s="3">
        <v>7.6152116957713796</v>
      </c>
      <c r="L68" s="3">
        <v>1.3819999999999999</v>
      </c>
      <c r="M68" s="3">
        <v>0.53500000000000003</v>
      </c>
      <c r="N68" s="3">
        <v>0.63</v>
      </c>
      <c r="O68" s="3">
        <v>0.191</v>
      </c>
      <c r="P68" s="3">
        <v>0.31</v>
      </c>
      <c r="Q68" s="3"/>
    </row>
    <row r="69" spans="1:17" x14ac:dyDescent="0.25">
      <c r="A69" s="3" t="s">
        <v>51</v>
      </c>
      <c r="B69" s="3" t="s">
        <v>39</v>
      </c>
      <c r="C69" s="3">
        <v>2015</v>
      </c>
      <c r="D69" s="3">
        <v>5.2119999999999997</v>
      </c>
      <c r="E69" s="3">
        <v>1.02389</v>
      </c>
      <c r="F69" s="3">
        <v>4.03293752670288</v>
      </c>
      <c r="G69" s="3">
        <v>-1.6230324506759599</v>
      </c>
      <c r="H69" s="3">
        <v>6.07079982757568</v>
      </c>
      <c r="I69" s="3">
        <v>3.9831816099999999</v>
      </c>
      <c r="J69" s="3">
        <v>-30.579645156860298</v>
      </c>
      <c r="K69" s="3">
        <v>-8.8096385063493496</v>
      </c>
      <c r="L69" s="3">
        <v>0.93793000000000004</v>
      </c>
      <c r="M69" s="3">
        <v>0.64044999999999996</v>
      </c>
      <c r="N69" s="3">
        <v>0.37030000000000002</v>
      </c>
      <c r="O69" s="3">
        <v>7.7990000000000004E-2</v>
      </c>
      <c r="P69" s="3">
        <v>0.16064999999999999</v>
      </c>
      <c r="Q69" s="3"/>
    </row>
    <row r="70" spans="1:17" x14ac:dyDescent="0.25">
      <c r="A70" s="3" t="s">
        <v>51</v>
      </c>
      <c r="B70" s="3" t="s">
        <v>39</v>
      </c>
      <c r="C70" s="3">
        <v>2016</v>
      </c>
      <c r="D70" s="3">
        <v>5.2910000000000004</v>
      </c>
      <c r="E70" s="3">
        <v>1.1237299999999999</v>
      </c>
      <c r="F70" s="3">
        <v>12.440554618835399</v>
      </c>
      <c r="G70" s="3">
        <v>7.2600002288818297</v>
      </c>
      <c r="H70" s="3">
        <v>14.7491998672485</v>
      </c>
      <c r="I70" s="3">
        <v>4.1396768599999998</v>
      </c>
      <c r="J70" s="3">
        <v>27.5422267913818</v>
      </c>
      <c r="K70" s="3">
        <v>14.6285807646225</v>
      </c>
      <c r="L70" s="3">
        <v>0.76041999999999998</v>
      </c>
      <c r="M70" s="3">
        <v>0.54503999999999997</v>
      </c>
      <c r="N70" s="3">
        <v>0.35326999999999997</v>
      </c>
      <c r="O70" s="3">
        <v>5.6399999999999999E-2</v>
      </c>
      <c r="P70" s="3">
        <v>0.17913999999999999</v>
      </c>
      <c r="Q70" s="3"/>
    </row>
    <row r="71" spans="1:17" x14ac:dyDescent="0.25">
      <c r="A71" s="3" t="s">
        <v>51</v>
      </c>
      <c r="B71" s="3" t="s">
        <v>39</v>
      </c>
      <c r="C71" s="3">
        <v>2017</v>
      </c>
      <c r="D71" s="3">
        <v>5.2340002060000002</v>
      </c>
      <c r="E71" s="3">
        <v>1.153601766</v>
      </c>
      <c r="F71" s="3">
        <v>12.843999999999999</v>
      </c>
      <c r="G71" s="3">
        <v>19.562085324648301</v>
      </c>
      <c r="H71" s="3">
        <v>16.520917892456001</v>
      </c>
      <c r="I71" s="3">
        <v>-9.1964160000000003E-2</v>
      </c>
      <c r="J71" s="3">
        <v>36.801841735839801</v>
      </c>
      <c r="K71" s="3">
        <v>16.226167682593601</v>
      </c>
      <c r="L71" s="3">
        <v>1.1524002550000001</v>
      </c>
      <c r="M71" s="3">
        <v>0.54077577600000004</v>
      </c>
      <c r="N71" s="3">
        <v>0.39815583799999998</v>
      </c>
      <c r="O71" s="3">
        <v>4.5269339999999998E-2</v>
      </c>
      <c r="P71" s="3">
        <v>0.18098750699999999</v>
      </c>
      <c r="Q71" s="3"/>
    </row>
    <row r="72" spans="1:17" x14ac:dyDescent="0.25">
      <c r="A72" s="3" t="s">
        <v>51</v>
      </c>
      <c r="B72" s="3" t="s">
        <v>39</v>
      </c>
      <c r="C72" s="3">
        <v>2018</v>
      </c>
      <c r="D72" s="3">
        <v>5.2009999999999996</v>
      </c>
      <c r="E72" s="3">
        <v>1.024</v>
      </c>
      <c r="F72" s="3">
        <v>2.33</v>
      </c>
      <c r="G72" s="3">
        <v>4.41208298058518</v>
      </c>
      <c r="H72" s="3">
        <v>1.78152251243591</v>
      </c>
      <c r="I72" s="3">
        <v>-9.2048809999999995E-2</v>
      </c>
      <c r="J72" s="3">
        <v>26.031148910522401</v>
      </c>
      <c r="K72" s="3">
        <v>12.184324337581799</v>
      </c>
      <c r="L72" s="3">
        <v>1.161</v>
      </c>
      <c r="M72" s="3">
        <v>0.60299999999999998</v>
      </c>
      <c r="N72" s="3">
        <v>0.43</v>
      </c>
      <c r="O72" s="3">
        <v>3.1E-2</v>
      </c>
      <c r="P72" s="3">
        <v>0.17599999999999999</v>
      </c>
      <c r="Q72" s="3"/>
    </row>
    <row r="73" spans="1:17" x14ac:dyDescent="0.25">
      <c r="A73" s="3" t="s">
        <v>51</v>
      </c>
      <c r="B73" s="3" t="s">
        <v>39</v>
      </c>
      <c r="C73" s="3">
        <v>2019</v>
      </c>
      <c r="D73" s="3">
        <v>5.2080000000000002</v>
      </c>
      <c r="E73" s="3">
        <v>1.0429999999999999</v>
      </c>
      <c r="F73" s="3">
        <v>2.7119998931884699</v>
      </c>
      <c r="G73" s="3">
        <v>-0.14627324815544401</v>
      </c>
      <c r="H73" s="3">
        <v>3.6921436786651598</v>
      </c>
      <c r="I73" s="3">
        <v>-1.8426723199999999</v>
      </c>
      <c r="J73" s="3">
        <v>3.22801184654235</v>
      </c>
      <c r="K73" s="3">
        <v>-0.22955753695693901</v>
      </c>
      <c r="L73" s="3">
        <v>1.147</v>
      </c>
      <c r="M73" s="3">
        <v>0.76900000000000002</v>
      </c>
      <c r="N73" s="3">
        <v>0.35099999999999998</v>
      </c>
      <c r="O73" s="3">
        <v>3.5000000000000003E-2</v>
      </c>
      <c r="P73" s="3">
        <v>0.182</v>
      </c>
      <c r="Q73" s="3"/>
    </row>
    <row r="74" spans="1:17" x14ac:dyDescent="0.25">
      <c r="A74" s="3" t="s">
        <v>51</v>
      </c>
      <c r="B74" s="3" t="s">
        <v>39</v>
      </c>
      <c r="C74" s="3">
        <v>2020</v>
      </c>
      <c r="D74" s="3">
        <v>5.1648001670000001</v>
      </c>
      <c r="E74" s="3">
        <v>0.99027270099999998</v>
      </c>
      <c r="F74" s="3">
        <v>2.7598094700812799</v>
      </c>
      <c r="G74" s="3">
        <v>1.51732887891399</v>
      </c>
      <c r="H74" s="3">
        <v>4.8147206306457502</v>
      </c>
      <c r="I74" s="5"/>
      <c r="J74" s="3">
        <v>-24.7999954223632</v>
      </c>
      <c r="K74" s="3">
        <v>-7.34813429701508</v>
      </c>
      <c r="L74" s="3">
        <v>1.180613041</v>
      </c>
      <c r="M74" s="3">
        <v>0.731134057</v>
      </c>
      <c r="N74" s="3">
        <v>0.46773472399999999</v>
      </c>
      <c r="O74" s="3">
        <v>4.0113214000000001E-2</v>
      </c>
      <c r="P74" s="3">
        <v>0.24730718099999999</v>
      </c>
    </row>
    <row r="75" spans="1:17" x14ac:dyDescent="0.25">
      <c r="A75" s="3" t="s">
        <v>51</v>
      </c>
      <c r="B75" s="3" t="s">
        <v>39</v>
      </c>
      <c r="C75" s="3">
        <v>2021</v>
      </c>
      <c r="D75" s="3">
        <v>5.1710000000000003</v>
      </c>
      <c r="E75" s="3">
        <v>1.0249999999999999</v>
      </c>
      <c r="F75" s="3">
        <v>6.6502991270877896</v>
      </c>
      <c r="G75" s="3">
        <v>15.68</v>
      </c>
      <c r="H75" s="3">
        <v>8.16</v>
      </c>
      <c r="I75" s="5"/>
      <c r="J75" s="3">
        <v>69.5989703334361</v>
      </c>
      <c r="K75" s="3">
        <v>21.156928871301201</v>
      </c>
      <c r="L75" s="3">
        <v>0.84099999999999997</v>
      </c>
      <c r="M75" s="3">
        <v>0.54100000000000004</v>
      </c>
      <c r="N75" s="3">
        <v>0.52600000000000002</v>
      </c>
      <c r="O75" s="3">
        <v>4.2999999999999997E-2</v>
      </c>
      <c r="P75" s="3">
        <v>0.27600000000000002</v>
      </c>
      <c r="Q75" s="3"/>
    </row>
    <row r="76" spans="1:17" x14ac:dyDescent="0.25">
      <c r="A76" s="3" t="s">
        <v>51</v>
      </c>
      <c r="B76" s="3" t="s">
        <v>39</v>
      </c>
      <c r="C76" s="3">
        <v>2022</v>
      </c>
      <c r="D76" s="3">
        <v>5.173</v>
      </c>
      <c r="E76" s="3">
        <v>1.458</v>
      </c>
      <c r="F76" s="3">
        <v>13.8522590144267</v>
      </c>
      <c r="G76" s="3">
        <v>14.0170746834398</v>
      </c>
      <c r="H76" s="3">
        <v>-8.4019589075858807</v>
      </c>
      <c r="I76" s="5"/>
      <c r="J76" s="3">
        <v>84.305851862682104</v>
      </c>
      <c r="K76" s="3">
        <v>38.483152796209403</v>
      </c>
      <c r="L76" s="3">
        <v>1.093</v>
      </c>
      <c r="M76" s="3">
        <v>0.56000000000000005</v>
      </c>
      <c r="N76" s="3">
        <v>0.60099999999999998</v>
      </c>
      <c r="O76" s="3">
        <v>2.3E-2</v>
      </c>
      <c r="P76" s="3">
        <v>0.34100000000000003</v>
      </c>
      <c r="Q76" s="3"/>
    </row>
    <row r="77" spans="1:17" x14ac:dyDescent="0.25">
      <c r="A77" s="3" t="s">
        <v>52</v>
      </c>
      <c r="B77" s="3" t="s">
        <v>41</v>
      </c>
      <c r="C77" s="3">
        <v>2015</v>
      </c>
      <c r="D77" s="3">
        <v>5.96</v>
      </c>
      <c r="E77" s="3">
        <v>1.32376</v>
      </c>
      <c r="F77" s="3">
        <v>1.8358964920043901</v>
      </c>
      <c r="G77" s="3">
        <v>4.6100001335143999</v>
      </c>
      <c r="H77" s="3">
        <v>2.4198155403137198</v>
      </c>
      <c r="I77" s="5"/>
      <c r="J77" s="5"/>
      <c r="K77" s="3">
        <v>-9.2549940403107893</v>
      </c>
      <c r="L77" s="3">
        <v>1.21624</v>
      </c>
      <c r="M77" s="3">
        <v>0.74716000000000005</v>
      </c>
      <c r="N77" s="3">
        <v>0.45491999999999999</v>
      </c>
      <c r="O77" s="3">
        <v>0.17362</v>
      </c>
      <c r="P77" s="3">
        <v>0.30599999999999999</v>
      </c>
      <c r="Q77" s="3"/>
    </row>
    <row r="78" spans="1:17" x14ac:dyDescent="0.25">
      <c r="A78" s="3" t="s">
        <v>52</v>
      </c>
      <c r="B78" s="3" t="s">
        <v>41</v>
      </c>
      <c r="C78" s="3">
        <v>2016</v>
      </c>
      <c r="D78" s="3">
        <v>6.218</v>
      </c>
      <c r="E78" s="3">
        <v>1.44024</v>
      </c>
      <c r="F78" s="3">
        <v>2.7997124195098801</v>
      </c>
      <c r="G78" s="3">
        <v>3.0299999713897701</v>
      </c>
      <c r="H78" s="3">
        <v>1.29120540618896</v>
      </c>
      <c r="I78" s="5"/>
      <c r="J78" s="5"/>
      <c r="K78" s="3">
        <v>0.24689894919807201</v>
      </c>
      <c r="L78" s="3">
        <v>0.94396999999999998</v>
      </c>
      <c r="M78" s="3">
        <v>0.65695999999999999</v>
      </c>
      <c r="N78" s="3">
        <v>0.47375</v>
      </c>
      <c r="O78" s="3">
        <v>0.17147000000000001</v>
      </c>
      <c r="P78" s="3">
        <v>0.25772</v>
      </c>
      <c r="Q78" s="3"/>
    </row>
    <row r="79" spans="1:17" x14ac:dyDescent="0.25">
      <c r="A79" s="3" t="s">
        <v>52</v>
      </c>
      <c r="B79" s="3" t="s">
        <v>41</v>
      </c>
      <c r="C79" s="3">
        <v>2017</v>
      </c>
      <c r="D79" s="3">
        <v>6.0869998929999998</v>
      </c>
      <c r="E79" s="3">
        <v>1.4884122609999999</v>
      </c>
      <c r="F79" s="3">
        <v>1.387</v>
      </c>
      <c r="G79" s="3">
        <v>3.4800000190734801</v>
      </c>
      <c r="H79" s="3">
        <v>1.0089523792266799</v>
      </c>
      <c r="I79" s="5"/>
      <c r="J79" s="5"/>
      <c r="K79" s="3">
        <v>5.51888558311824</v>
      </c>
      <c r="L79" s="3">
        <v>1.323110461</v>
      </c>
      <c r="M79" s="3">
        <v>0.65313303499999997</v>
      </c>
      <c r="N79" s="3">
        <v>0.53674691900000004</v>
      </c>
      <c r="O79" s="3">
        <v>0.17266848700000001</v>
      </c>
      <c r="P79" s="3">
        <v>0.25704217000000001</v>
      </c>
      <c r="Q79" s="3"/>
    </row>
    <row r="80" spans="1:17" x14ac:dyDescent="0.25">
      <c r="A80" s="3" t="s">
        <v>52</v>
      </c>
      <c r="B80" s="3" t="s">
        <v>41</v>
      </c>
      <c r="C80" s="3">
        <v>2018</v>
      </c>
      <c r="D80" s="3">
        <v>6.1050000000000004</v>
      </c>
      <c r="E80" s="3">
        <v>1.3380000000000001</v>
      </c>
      <c r="F80" s="3">
        <v>2.08</v>
      </c>
      <c r="G80" s="3">
        <v>1.2400000095367401</v>
      </c>
      <c r="H80" s="3">
        <v>2.12125444412231</v>
      </c>
      <c r="I80" s="5"/>
      <c r="J80" s="5"/>
      <c r="K80" s="3">
        <v>4.3507487769354203</v>
      </c>
      <c r="L80" s="3">
        <v>1.3660000000000001</v>
      </c>
      <c r="M80" s="3">
        <v>0.69799999999999995</v>
      </c>
      <c r="N80" s="3">
        <v>0.59399999999999997</v>
      </c>
      <c r="O80" s="3">
        <v>0.24299999999999999</v>
      </c>
      <c r="P80" s="3">
        <v>0.123</v>
      </c>
      <c r="Q80" s="3"/>
    </row>
    <row r="81" spans="1:17" x14ac:dyDescent="0.25">
      <c r="A81" s="3" t="s">
        <v>52</v>
      </c>
      <c r="B81" s="3" t="s">
        <v>41</v>
      </c>
      <c r="C81" s="3">
        <v>2019</v>
      </c>
      <c r="D81" s="3">
        <v>6.1989999999999998</v>
      </c>
      <c r="E81" s="3">
        <v>1.3620000000000001</v>
      </c>
      <c r="F81" s="3">
        <v>1</v>
      </c>
      <c r="G81" s="3">
        <v>2.8731575012207</v>
      </c>
      <c r="H81" s="3">
        <v>2.3787579536437899</v>
      </c>
      <c r="I81" s="5"/>
      <c r="J81" s="5"/>
      <c r="K81" s="3">
        <v>0.18431035716842301</v>
      </c>
      <c r="L81" s="3">
        <v>1.3680000000000001</v>
      </c>
      <c r="M81" s="3">
        <v>0.871</v>
      </c>
      <c r="N81" s="3">
        <v>0.53600000000000003</v>
      </c>
      <c r="O81" s="3">
        <v>0.255</v>
      </c>
      <c r="P81" s="3">
        <v>0.11</v>
      </c>
    </row>
    <row r="82" spans="1:17" x14ac:dyDescent="0.25">
      <c r="A82" s="3" t="s">
        <v>52</v>
      </c>
      <c r="B82" s="3" t="s">
        <v>41</v>
      </c>
      <c r="C82" s="3">
        <v>2020</v>
      </c>
      <c r="D82" s="3">
        <v>6.2273001670000001</v>
      </c>
      <c r="E82" s="3">
        <v>1.2966922519999999</v>
      </c>
      <c r="F82" s="3">
        <v>-2.3177062933135399</v>
      </c>
      <c r="G82" s="3">
        <v>-2.6125876938939299</v>
      </c>
      <c r="H82" s="3">
        <v>3.5462038516998202</v>
      </c>
      <c r="I82" s="5"/>
      <c r="J82" s="5"/>
      <c r="K82" s="3">
        <v>-6.8524836122671298</v>
      </c>
      <c r="L82" s="3">
        <v>1.3153237099999999</v>
      </c>
      <c r="M82" s="3">
        <v>0.83883637200000005</v>
      </c>
      <c r="N82" s="3">
        <v>0.61039990200000005</v>
      </c>
      <c r="O82" s="3">
        <v>0.287453711</v>
      </c>
      <c r="P82" s="3">
        <v>0.12669725700000001</v>
      </c>
      <c r="Q82" s="3"/>
    </row>
    <row r="83" spans="1:17" x14ac:dyDescent="0.25">
      <c r="A83" s="3" t="s">
        <v>52</v>
      </c>
      <c r="B83" s="3" t="s">
        <v>41</v>
      </c>
      <c r="C83" s="3">
        <v>2021</v>
      </c>
      <c r="D83" s="3">
        <v>6.6470000000000002</v>
      </c>
      <c r="E83" s="3">
        <v>1.409</v>
      </c>
      <c r="F83" s="3">
        <v>-0.60631938514089601</v>
      </c>
      <c r="G83" s="3">
        <v>-1.26</v>
      </c>
      <c r="H83" s="3">
        <v>-0.08</v>
      </c>
      <c r="I83" s="5"/>
      <c r="J83" s="5"/>
      <c r="K83" s="3">
        <v>9.5013012088352706</v>
      </c>
      <c r="L83" s="3">
        <v>0.89900000000000002</v>
      </c>
      <c r="M83" s="3">
        <v>0.66200000000000003</v>
      </c>
      <c r="N83" s="3">
        <v>0.66100000000000003</v>
      </c>
      <c r="O83" s="3">
        <v>0.246</v>
      </c>
      <c r="P83" s="3">
        <v>0.13900000000000001</v>
      </c>
      <c r="Q83" s="3"/>
    </row>
    <row r="84" spans="1:17" x14ac:dyDescent="0.25">
      <c r="A84" s="3" t="s">
        <v>52</v>
      </c>
      <c r="B84" s="3" t="s">
        <v>41</v>
      </c>
      <c r="C84" s="3">
        <v>2022</v>
      </c>
      <c r="D84" s="3">
        <v>6.6470000000000002</v>
      </c>
      <c r="E84" s="3">
        <v>1.8540000000000001</v>
      </c>
      <c r="F84" s="3">
        <v>3.6257410430449202</v>
      </c>
      <c r="G84" s="3">
        <v>-0.94220492651800203</v>
      </c>
      <c r="H84" s="3">
        <v>9.9856525215971104</v>
      </c>
      <c r="I84" s="5"/>
      <c r="J84" s="5"/>
      <c r="K84" s="3">
        <v>7.7958656330749498</v>
      </c>
      <c r="L84" s="3">
        <v>1.0289999999999999</v>
      </c>
      <c r="M84" s="3">
        <v>0.625</v>
      </c>
      <c r="N84" s="3">
        <v>0.69299999999999995</v>
      </c>
      <c r="O84" s="3">
        <v>0.19900000000000001</v>
      </c>
      <c r="P84" s="3">
        <v>0.155</v>
      </c>
      <c r="Q84" s="3"/>
    </row>
    <row r="85" spans="1:17" x14ac:dyDescent="0.25">
      <c r="A85" s="3" t="s">
        <v>52</v>
      </c>
      <c r="B85" s="3" t="s">
        <v>41</v>
      </c>
      <c r="C85" s="3">
        <v>2023</v>
      </c>
      <c r="D85" s="3">
        <v>6.173</v>
      </c>
      <c r="E85" s="3">
        <v>1.883</v>
      </c>
      <c r="F85" s="3">
        <v>0.17829382999201199</v>
      </c>
      <c r="G85" s="3">
        <v>0.25815327254422699</v>
      </c>
      <c r="H85" s="3">
        <v>6.0484448903546104</v>
      </c>
      <c r="I85" s="5"/>
      <c r="J85" s="5"/>
      <c r="K85" s="3">
        <v>-6.3234394510934999</v>
      </c>
      <c r="L85" s="3">
        <v>1.2689999999999999</v>
      </c>
      <c r="M85" s="3">
        <v>0.38900000000000001</v>
      </c>
      <c r="N85" s="3">
        <v>0.748</v>
      </c>
      <c r="O85" s="3">
        <v>0.19900000000000001</v>
      </c>
      <c r="P85" s="3">
        <v>0.13800000000000001</v>
      </c>
    </row>
    <row r="86" spans="1:17" x14ac:dyDescent="0.25">
      <c r="A86" s="3" t="s">
        <v>53</v>
      </c>
      <c r="B86" s="3" t="s">
        <v>37</v>
      </c>
      <c r="C86" s="3">
        <v>2015</v>
      </c>
      <c r="D86" s="3">
        <v>4.694</v>
      </c>
      <c r="E86" s="3">
        <v>0.39752999999999999</v>
      </c>
      <c r="F86" s="3">
        <v>6.1859426498412997</v>
      </c>
      <c r="G86" s="3">
        <v>3.3078222274780198</v>
      </c>
      <c r="H86" s="3">
        <v>6.0500001907348597</v>
      </c>
      <c r="I86" s="5"/>
      <c r="J86" s="5"/>
      <c r="K86" s="3">
        <v>5.8725247881270501</v>
      </c>
      <c r="L86" s="3">
        <v>0.43106</v>
      </c>
      <c r="M86" s="3">
        <v>0.60163999999999995</v>
      </c>
      <c r="N86" s="3">
        <v>0.40820000000000001</v>
      </c>
      <c r="O86" s="3">
        <v>0.21221999999999999</v>
      </c>
      <c r="P86" s="3">
        <v>0.12569</v>
      </c>
      <c r="Q86" s="3"/>
    </row>
    <row r="87" spans="1:17" x14ac:dyDescent="0.25">
      <c r="A87" s="3" t="s">
        <v>53</v>
      </c>
      <c r="B87" s="3" t="s">
        <v>37</v>
      </c>
      <c r="C87" s="3">
        <v>2016</v>
      </c>
      <c r="D87" s="3">
        <v>4.6429999999999998</v>
      </c>
      <c r="E87" s="3">
        <v>0.54176999999999997</v>
      </c>
      <c r="F87" s="3">
        <v>5.5057530403137198</v>
      </c>
      <c r="G87" s="3">
        <v>9.1909236907958896</v>
      </c>
      <c r="H87" s="3">
        <v>4.5100002288818297</v>
      </c>
      <c r="I87" s="5"/>
      <c r="J87" s="5"/>
      <c r="K87" s="3">
        <v>6.7281948586229996</v>
      </c>
      <c r="L87" s="3">
        <v>0.24748999999999999</v>
      </c>
      <c r="M87" s="3">
        <v>0.52988999999999997</v>
      </c>
      <c r="N87" s="3">
        <v>0.39778000000000002</v>
      </c>
      <c r="O87" s="3">
        <v>0.19131999999999999</v>
      </c>
      <c r="P87" s="3">
        <v>0.12583</v>
      </c>
      <c r="Q87" s="3"/>
    </row>
    <row r="88" spans="1:17" x14ac:dyDescent="0.25">
      <c r="A88" s="3" t="s">
        <v>53</v>
      </c>
      <c r="B88" s="3" t="s">
        <v>37</v>
      </c>
      <c r="C88" s="3">
        <v>2017</v>
      </c>
      <c r="D88" s="3">
        <v>4.6079998020000001</v>
      </c>
      <c r="E88" s="3">
        <v>0.586682975</v>
      </c>
      <c r="F88" s="3">
        <v>5.6109999999999998</v>
      </c>
      <c r="G88" s="3">
        <v>4.2419061660766602</v>
      </c>
      <c r="H88" s="3">
        <v>7.17000007629394</v>
      </c>
      <c r="I88" s="5"/>
      <c r="J88" s="3">
        <v>3.5681903362274099</v>
      </c>
      <c r="K88" s="3">
        <v>6.2785527818567504</v>
      </c>
      <c r="L88" s="3">
        <v>0.73513174100000001</v>
      </c>
      <c r="M88" s="3">
        <v>0.533241034</v>
      </c>
      <c r="N88" s="3">
        <v>0.47835665900000002</v>
      </c>
      <c r="O88" s="3">
        <v>0.172255352</v>
      </c>
      <c r="P88" s="3">
        <v>0.123717859</v>
      </c>
      <c r="Q88" s="3"/>
    </row>
    <row r="89" spans="1:17" x14ac:dyDescent="0.25">
      <c r="A89" s="3" t="s">
        <v>53</v>
      </c>
      <c r="B89" s="3" t="s">
        <v>37</v>
      </c>
      <c r="C89" s="3">
        <v>2018</v>
      </c>
      <c r="D89" s="3">
        <v>4.5</v>
      </c>
      <c r="E89" s="3">
        <v>0.53200000000000003</v>
      </c>
      <c r="F89" s="3">
        <v>5.55</v>
      </c>
      <c r="G89" s="3">
        <v>2.02079176902771</v>
      </c>
      <c r="H89" s="3">
        <v>6.21000003814697</v>
      </c>
      <c r="I89" s="5"/>
      <c r="J89" s="3">
        <v>4.4466581344604403</v>
      </c>
      <c r="K89" s="3">
        <v>5.5972404793659596</v>
      </c>
      <c r="L89" s="3">
        <v>0.85</v>
      </c>
      <c r="M89" s="3">
        <v>0.57899999999999996</v>
      </c>
      <c r="N89" s="3">
        <v>0.57999999999999996</v>
      </c>
      <c r="O89" s="3">
        <v>0.153</v>
      </c>
      <c r="P89" s="3">
        <v>0.14399999999999999</v>
      </c>
      <c r="Q89" s="3"/>
    </row>
    <row r="90" spans="1:17" x14ac:dyDescent="0.25">
      <c r="A90" s="3" t="s">
        <v>53</v>
      </c>
      <c r="B90" s="3" t="s">
        <v>37</v>
      </c>
      <c r="C90" s="3">
        <v>2019</v>
      </c>
      <c r="D90" s="3">
        <v>4.4560000000000004</v>
      </c>
      <c r="E90" s="3">
        <v>0.56200000000000006</v>
      </c>
      <c r="F90" s="3">
        <v>5.4749999046325604</v>
      </c>
      <c r="G90" s="3">
        <v>5.1271920204162598</v>
      </c>
      <c r="H90" s="3">
        <v>5.5598821640014604</v>
      </c>
      <c r="I90" s="5"/>
      <c r="J90" s="3">
        <v>0.98538661003112704</v>
      </c>
      <c r="K90" s="3">
        <v>4.4591543280829002</v>
      </c>
      <c r="L90" s="3">
        <v>0.92800000000000005</v>
      </c>
      <c r="M90" s="3">
        <v>0.72299999999999998</v>
      </c>
      <c r="N90" s="3">
        <v>0.52700000000000002</v>
      </c>
      <c r="O90" s="3">
        <v>0.16600000000000001</v>
      </c>
      <c r="P90" s="3">
        <v>0.14299999999999999</v>
      </c>
    </row>
    <row r="91" spans="1:17" x14ac:dyDescent="0.25">
      <c r="A91" s="3" t="s">
        <v>53</v>
      </c>
      <c r="B91" s="3" t="s">
        <v>37</v>
      </c>
      <c r="C91" s="3">
        <v>2020</v>
      </c>
      <c r="D91" s="3">
        <v>4.8327999110000004</v>
      </c>
      <c r="E91" s="3">
        <v>0.556156278</v>
      </c>
      <c r="F91" s="3">
        <v>5.6910747474619896</v>
      </c>
      <c r="G91" s="3">
        <v>6.6618114614167796</v>
      </c>
      <c r="H91" s="3">
        <v>5.7730822563171298</v>
      </c>
      <c r="I91" s="5"/>
      <c r="J91" s="3">
        <v>1.1053472028506099</v>
      </c>
      <c r="K91" s="3">
        <v>5.1495276700127004</v>
      </c>
      <c r="L91" s="3">
        <v>0.86880058100000002</v>
      </c>
      <c r="M91" s="3">
        <v>0.69494050699999999</v>
      </c>
      <c r="N91" s="3">
        <v>0.60413056600000004</v>
      </c>
      <c r="O91" s="3">
        <v>0.17674511700000001</v>
      </c>
      <c r="P91" s="3">
        <v>0.176735908</v>
      </c>
      <c r="Q91" s="3"/>
    </row>
    <row r="92" spans="1:17" x14ac:dyDescent="0.25">
      <c r="A92" s="3" t="s">
        <v>53</v>
      </c>
      <c r="B92" s="3" t="s">
        <v>37</v>
      </c>
      <c r="C92" s="3">
        <v>2021</v>
      </c>
      <c r="D92" s="3">
        <v>5.0250000000000004</v>
      </c>
      <c r="E92" s="3">
        <v>0.63500000000000001</v>
      </c>
      <c r="F92" s="3">
        <v>5.3066764050210704</v>
      </c>
      <c r="G92" s="3">
        <v>1.08</v>
      </c>
      <c r="H92" s="3">
        <v>5.3</v>
      </c>
      <c r="I92" s="5"/>
      <c r="J92" s="3">
        <v>5.5035280929738599</v>
      </c>
      <c r="K92" s="3">
        <v>4.1211753517070298</v>
      </c>
      <c r="L92" s="3">
        <v>0.52</v>
      </c>
      <c r="M92" s="3">
        <v>0.51400000000000001</v>
      </c>
      <c r="N92" s="3">
        <v>0.60299999999999998</v>
      </c>
      <c r="O92" s="3">
        <v>0.161</v>
      </c>
      <c r="P92" s="3">
        <v>0.16400000000000001</v>
      </c>
      <c r="Q92" s="3"/>
    </row>
    <row r="93" spans="1:17" x14ac:dyDescent="0.25">
      <c r="A93" s="3" t="s">
        <v>53</v>
      </c>
      <c r="B93" s="3" t="s">
        <v>37</v>
      </c>
      <c r="C93" s="3">
        <v>2022</v>
      </c>
      <c r="D93" s="3">
        <v>5.1550000000000002</v>
      </c>
      <c r="E93" s="3">
        <v>1.06</v>
      </c>
      <c r="F93" s="3">
        <v>7.6969543717689204</v>
      </c>
      <c r="G93" s="3">
        <v>4.7540394866630997</v>
      </c>
      <c r="H93" s="3">
        <v>7.3678709010658698</v>
      </c>
      <c r="I93" s="5"/>
      <c r="J93" s="3">
        <v>5.0008080367632104</v>
      </c>
      <c r="K93" s="3">
        <v>4.1216346113660398</v>
      </c>
      <c r="L93" s="3">
        <v>0.61399999999999999</v>
      </c>
      <c r="M93" s="3">
        <v>0.58099999999999996</v>
      </c>
      <c r="N93" s="3">
        <v>0.622</v>
      </c>
      <c r="O93" s="3">
        <v>0.125</v>
      </c>
      <c r="P93" s="3">
        <v>0.187</v>
      </c>
      <c r="Q93" s="3"/>
    </row>
    <row r="94" spans="1:17" x14ac:dyDescent="0.25">
      <c r="A94" s="3" t="s">
        <v>53</v>
      </c>
      <c r="B94" s="3" t="s">
        <v>37</v>
      </c>
      <c r="C94" s="3">
        <v>2023</v>
      </c>
      <c r="D94" s="3">
        <v>4.282</v>
      </c>
      <c r="E94" s="3">
        <v>1.133</v>
      </c>
      <c r="F94" s="3">
        <v>9.7833340721827806</v>
      </c>
      <c r="G94" s="3">
        <v>8.4366891722456394</v>
      </c>
      <c r="H94" s="3">
        <v>10.507980889577899</v>
      </c>
      <c r="I94" s="5"/>
      <c r="J94" s="3">
        <v>5.99049014532521</v>
      </c>
      <c r="K94" s="3">
        <v>5.4204207646514799</v>
      </c>
      <c r="L94" s="3">
        <v>0.51300000000000001</v>
      </c>
      <c r="M94" s="3">
        <v>0.35499999999999998</v>
      </c>
      <c r="N94" s="3">
        <v>0.61699999999999999</v>
      </c>
      <c r="O94" s="3">
        <v>0.13900000000000001</v>
      </c>
      <c r="P94" s="3">
        <v>0.16500000000000001</v>
      </c>
      <c r="Q94" s="3"/>
    </row>
    <row r="95" spans="1:17" x14ac:dyDescent="0.25">
      <c r="A95" s="3" t="s">
        <v>54</v>
      </c>
      <c r="B95" s="3" t="s">
        <v>39</v>
      </c>
      <c r="C95" s="3">
        <v>2015</v>
      </c>
      <c r="D95" s="3">
        <v>5.8129999999999997</v>
      </c>
      <c r="E95" s="3">
        <v>1.0319199999999999</v>
      </c>
      <c r="F95" s="3">
        <v>13.476086616516101</v>
      </c>
      <c r="G95" s="3">
        <v>-1.6000000238418499</v>
      </c>
      <c r="H95" s="3">
        <v>12.2070999145507</v>
      </c>
      <c r="I95" s="3">
        <v>12.1765546798706</v>
      </c>
      <c r="J95" s="3">
        <v>-0.53874844591823601</v>
      </c>
      <c r="K95" s="3">
        <v>16.0224801690606</v>
      </c>
      <c r="L95" s="3">
        <v>1.23289</v>
      </c>
      <c r="M95" s="3">
        <v>0.73607999999999996</v>
      </c>
      <c r="N95" s="3">
        <v>0.37938</v>
      </c>
      <c r="O95" s="3">
        <v>0.11046</v>
      </c>
      <c r="P95" s="3">
        <v>0.19089999999999999</v>
      </c>
      <c r="Q95" s="3"/>
    </row>
    <row r="96" spans="1:17" x14ac:dyDescent="0.25">
      <c r="A96" s="3" t="s">
        <v>54</v>
      </c>
      <c r="B96" s="3" t="s">
        <v>39</v>
      </c>
      <c r="C96" s="3">
        <v>2016</v>
      </c>
      <c r="D96" s="3">
        <v>5.8019999999999996</v>
      </c>
      <c r="E96" s="3">
        <v>1.13062</v>
      </c>
      <c r="F96" s="3">
        <v>11.802736282348601</v>
      </c>
      <c r="G96" s="3">
        <v>4.5500001907348597</v>
      </c>
      <c r="H96" s="3">
        <v>10.5908002853393</v>
      </c>
      <c r="I96" s="3">
        <v>10.923607826232899</v>
      </c>
      <c r="J96" s="3">
        <v>-1.2416666666662299</v>
      </c>
      <c r="K96" s="3">
        <v>8.3521414901339703</v>
      </c>
      <c r="L96" s="3">
        <v>1.04993</v>
      </c>
      <c r="M96" s="3">
        <v>0.63104000000000005</v>
      </c>
      <c r="N96" s="3">
        <v>0.29091</v>
      </c>
      <c r="O96" s="3">
        <v>0.13941999999999999</v>
      </c>
      <c r="P96" s="3">
        <v>0.17457</v>
      </c>
      <c r="Q96" s="3"/>
    </row>
    <row r="97" spans="1:17" x14ac:dyDescent="0.25">
      <c r="A97" s="3" t="s">
        <v>54</v>
      </c>
      <c r="B97" s="3" t="s">
        <v>39</v>
      </c>
      <c r="C97" s="3">
        <v>2017</v>
      </c>
      <c r="D97" s="3">
        <v>5.5689997670000002</v>
      </c>
      <c r="E97" s="3">
        <v>1.15655756</v>
      </c>
      <c r="F97" s="3">
        <v>6.032</v>
      </c>
      <c r="G97" s="3">
        <v>8.5130141657738392</v>
      </c>
      <c r="H97" s="3">
        <v>7.0156965255737296</v>
      </c>
      <c r="I97" s="3">
        <v>5.3690614700317303</v>
      </c>
      <c r="J97" s="3">
        <v>1.9407644924477401</v>
      </c>
      <c r="K97" s="3">
        <v>8.6146200041416403</v>
      </c>
      <c r="L97" s="3">
        <v>1.444945216</v>
      </c>
      <c r="M97" s="3">
        <v>0.637714267</v>
      </c>
      <c r="N97" s="3">
        <v>0.29540026200000002</v>
      </c>
      <c r="O97" s="3">
        <v>0.15513750900000001</v>
      </c>
      <c r="P97" s="3">
        <v>0.15631382199999999</v>
      </c>
      <c r="Q97" s="3"/>
    </row>
    <row r="98" spans="1:17" x14ac:dyDescent="0.25">
      <c r="A98" s="3" t="s">
        <v>54</v>
      </c>
      <c r="B98" s="3" t="s">
        <v>39</v>
      </c>
      <c r="C98" s="3">
        <v>2018</v>
      </c>
      <c r="D98" s="3">
        <v>5.4829999999999997</v>
      </c>
      <c r="E98" s="3">
        <v>1.0389999999999999</v>
      </c>
      <c r="F98" s="3">
        <v>4.87</v>
      </c>
      <c r="G98" s="3">
        <v>12.453530704508401</v>
      </c>
      <c r="H98" s="3">
        <v>4.0569305419921804</v>
      </c>
      <c r="I98" s="3">
        <v>3.5838325023651101</v>
      </c>
      <c r="J98" s="3">
        <v>1.8624286069027201</v>
      </c>
      <c r="K98" s="3">
        <v>12.1516290024112</v>
      </c>
      <c r="L98" s="3">
        <v>1.498</v>
      </c>
      <c r="M98" s="3">
        <v>0.7</v>
      </c>
      <c r="N98" s="3">
        <v>0.307</v>
      </c>
      <c r="O98" s="3">
        <v>0.10100000000000001</v>
      </c>
      <c r="P98" s="3">
        <v>0.154</v>
      </c>
    </row>
    <row r="99" spans="1:17" x14ac:dyDescent="0.25">
      <c r="A99" s="3" t="s">
        <v>54</v>
      </c>
      <c r="B99" s="3" t="s">
        <v>39</v>
      </c>
      <c r="C99" s="3">
        <v>2019</v>
      </c>
      <c r="D99" s="3">
        <v>5.3230000000000004</v>
      </c>
      <c r="E99" s="3">
        <v>1.0669999999999999</v>
      </c>
      <c r="F99" s="3">
        <v>5.5999999046325604</v>
      </c>
      <c r="G99" s="3">
        <v>10.1594901385948</v>
      </c>
      <c r="H99" s="3">
        <v>6.3625001348762202</v>
      </c>
      <c r="I99" s="3">
        <v>4.6294240951537997</v>
      </c>
      <c r="J99" s="3">
        <v>0.94262961157181502</v>
      </c>
      <c r="K99" s="3">
        <v>8.5769999999999893</v>
      </c>
      <c r="L99" s="3">
        <v>1.4650000000000001</v>
      </c>
      <c r="M99" s="3">
        <v>0.78900000000000003</v>
      </c>
      <c r="N99" s="3">
        <v>0.23499999999999999</v>
      </c>
      <c r="O99" s="3">
        <v>9.4E-2</v>
      </c>
      <c r="P99" s="3">
        <v>0.14199999999999999</v>
      </c>
      <c r="Q99" s="3"/>
    </row>
    <row r="100" spans="1:17" x14ac:dyDescent="0.25">
      <c r="A100" s="3" t="s">
        <v>54</v>
      </c>
      <c r="B100" s="3" t="s">
        <v>39</v>
      </c>
      <c r="C100" s="3">
        <v>2020</v>
      </c>
      <c r="D100" s="3">
        <v>5.5398998260000001</v>
      </c>
      <c r="E100" s="3">
        <v>1.0188544989999999</v>
      </c>
      <c r="F100" s="3">
        <v>5.5481435745650698</v>
      </c>
      <c r="G100" s="3">
        <v>7.9899687831582904</v>
      </c>
      <c r="H100" s="3">
        <v>4.2719341216651099</v>
      </c>
      <c r="I100" s="3">
        <v>4.6197090148925701</v>
      </c>
      <c r="J100" s="3">
        <v>-0.75672194493581202</v>
      </c>
      <c r="K100" s="3">
        <v>10.1006658868821</v>
      </c>
      <c r="L100" s="3">
        <v>1.38713932</v>
      </c>
      <c r="M100" s="3">
        <v>0.75258857000000001</v>
      </c>
      <c r="N100" s="3">
        <v>0.29075586799999997</v>
      </c>
      <c r="O100" s="3">
        <v>8.9933059999999995E-2</v>
      </c>
      <c r="P100" s="3">
        <v>0.19360743499999999</v>
      </c>
      <c r="Q100" s="3"/>
    </row>
    <row r="101" spans="1:17" x14ac:dyDescent="0.25">
      <c r="A101" s="3" t="s">
        <v>54</v>
      </c>
      <c r="B101" s="3" t="s">
        <v>39</v>
      </c>
      <c r="C101" s="3">
        <v>2021</v>
      </c>
      <c r="D101" s="3">
        <v>5.5339999999999998</v>
      </c>
      <c r="E101" s="3">
        <v>1.1240000000000001</v>
      </c>
      <c r="F101" s="3">
        <v>9.4602838962310507</v>
      </c>
      <c r="G101" s="3">
        <v>10.24</v>
      </c>
      <c r="H101" s="3">
        <v>9.6199999999999992</v>
      </c>
      <c r="I101" s="3">
        <v>9.3424641993389308</v>
      </c>
      <c r="J101" s="3">
        <v>12.2422522938945</v>
      </c>
      <c r="K101" s="3">
        <v>13.05041982713</v>
      </c>
      <c r="L101" s="3">
        <v>1.0069999999999999</v>
      </c>
      <c r="M101" s="3">
        <v>0.56000000000000005</v>
      </c>
      <c r="N101" s="3">
        <v>0.32600000000000001</v>
      </c>
      <c r="O101" s="3">
        <v>7.0000000000000007E-2</v>
      </c>
      <c r="P101" s="3">
        <v>0.19900000000000001</v>
      </c>
      <c r="Q101" s="3"/>
    </row>
    <row r="102" spans="1:17" x14ac:dyDescent="0.25">
      <c r="A102" s="3" t="s">
        <v>54</v>
      </c>
      <c r="B102" s="3" t="s">
        <v>39</v>
      </c>
      <c r="C102" s="3">
        <v>2022</v>
      </c>
      <c r="D102" s="3">
        <v>5.8209999999999997</v>
      </c>
      <c r="E102" s="3">
        <v>1.5620000000000001</v>
      </c>
      <c r="F102" s="3">
        <v>15.209675274080899</v>
      </c>
      <c r="G102" s="3">
        <v>12.6818894360824</v>
      </c>
      <c r="H102" s="3">
        <v>16.655967762281598</v>
      </c>
      <c r="I102" s="3">
        <v>16.4627187121724</v>
      </c>
      <c r="J102" s="3">
        <v>15.203139274539801</v>
      </c>
      <c r="K102" s="3">
        <v>13.448602989650301</v>
      </c>
      <c r="L102" s="3">
        <v>1.157</v>
      </c>
      <c r="M102" s="3">
        <v>0.629</v>
      </c>
      <c r="N102" s="3">
        <v>0.34200000000000003</v>
      </c>
      <c r="O102" s="3">
        <v>0.04</v>
      </c>
      <c r="P102" s="3">
        <v>0.28199999999999997</v>
      </c>
      <c r="Q102" s="3"/>
    </row>
    <row r="103" spans="1:17" x14ac:dyDescent="0.25">
      <c r="A103" s="3" t="s">
        <v>55</v>
      </c>
      <c r="B103" s="3" t="s">
        <v>50</v>
      </c>
      <c r="C103" s="3">
        <v>2015</v>
      </c>
      <c r="D103" s="3">
        <v>6.9370000000000003</v>
      </c>
      <c r="E103" s="3">
        <v>1.30782</v>
      </c>
      <c r="F103" s="3">
        <v>0.56143063306808405</v>
      </c>
      <c r="G103" s="3">
        <v>0.39985731244087203</v>
      </c>
      <c r="H103" s="3">
        <v>1.2028567790985101</v>
      </c>
      <c r="I103" s="3">
        <v>1.36930096149444</v>
      </c>
      <c r="J103" s="3">
        <v>-1.99968321849972</v>
      </c>
      <c r="K103" s="3">
        <v>1.33046905874127</v>
      </c>
      <c r="L103" s="3">
        <v>1.28566</v>
      </c>
      <c r="M103" s="3">
        <v>0.89666999999999997</v>
      </c>
      <c r="N103" s="3">
        <v>0.58450000000000002</v>
      </c>
      <c r="O103" s="3">
        <v>0.2225</v>
      </c>
      <c r="P103" s="3">
        <v>0.22539999999999999</v>
      </c>
      <c r="Q103" s="3"/>
    </row>
    <row r="104" spans="1:17" x14ac:dyDescent="0.25">
      <c r="A104" s="3" t="s">
        <v>55</v>
      </c>
      <c r="B104" s="3" t="s">
        <v>50</v>
      </c>
      <c r="C104" s="3">
        <v>2016</v>
      </c>
      <c r="D104" s="3">
        <v>6.9290000000000003</v>
      </c>
      <c r="E104" s="3">
        <v>1.4253899999999999</v>
      </c>
      <c r="F104" s="3">
        <v>1.9738540649414</v>
      </c>
      <c r="G104" s="3">
        <v>2.1420040130615199</v>
      </c>
      <c r="H104" s="3">
        <v>2.2407591342925999</v>
      </c>
      <c r="I104" s="3">
        <v>1.9594349861145</v>
      </c>
      <c r="J104" s="3">
        <v>-1.4206634611501101</v>
      </c>
      <c r="K104" s="3">
        <v>1.921</v>
      </c>
      <c r="L104" s="3">
        <v>1.0524899999999999</v>
      </c>
      <c r="M104" s="3">
        <v>0.81959000000000004</v>
      </c>
      <c r="N104" s="3">
        <v>0.51354</v>
      </c>
      <c r="O104" s="3">
        <v>0.2424</v>
      </c>
      <c r="P104" s="3">
        <v>0.26247999999999999</v>
      </c>
      <c r="Q104" s="3"/>
    </row>
    <row r="105" spans="1:17" x14ac:dyDescent="0.25">
      <c r="A105" s="3" t="s">
        <v>55</v>
      </c>
      <c r="B105" s="3" t="s">
        <v>50</v>
      </c>
      <c r="C105" s="3">
        <v>2017</v>
      </c>
      <c r="D105" s="3">
        <v>6.8909997939999998</v>
      </c>
      <c r="E105" s="3">
        <v>1.463780761</v>
      </c>
      <c r="F105" s="3">
        <v>2.2240000000000002</v>
      </c>
      <c r="G105" s="3">
        <v>3.7416241168975799</v>
      </c>
      <c r="H105" s="3">
        <v>1.2603349685668901</v>
      </c>
      <c r="I105" s="3">
        <v>1.5153559446334799</v>
      </c>
      <c r="J105" s="3">
        <v>8.4918884799194796</v>
      </c>
      <c r="K105" s="3">
        <v>1.82788630409827</v>
      </c>
      <c r="L105" s="3">
        <v>1.4623126980000001</v>
      </c>
      <c r="M105" s="3">
        <v>0.81809186899999997</v>
      </c>
      <c r="N105" s="3">
        <v>0.53977072199999998</v>
      </c>
      <c r="O105" s="3">
        <v>0.231503338</v>
      </c>
      <c r="P105" s="3">
        <v>0.251343131</v>
      </c>
    </row>
    <row r="106" spans="1:17" x14ac:dyDescent="0.25">
      <c r="A106" s="3" t="s">
        <v>55</v>
      </c>
      <c r="B106" s="3" t="s">
        <v>50</v>
      </c>
      <c r="C106" s="3">
        <v>2018</v>
      </c>
      <c r="D106" s="3">
        <v>6.9269999999999996</v>
      </c>
      <c r="E106" s="3">
        <v>1.3240000000000001</v>
      </c>
      <c r="F106" s="3">
        <v>2.0499999999999998</v>
      </c>
      <c r="G106" s="3">
        <v>3.0440974235534601</v>
      </c>
      <c r="H106" s="3">
        <v>2.1595761775970401</v>
      </c>
      <c r="I106" s="3">
        <v>1.31288802623748</v>
      </c>
      <c r="J106" s="3">
        <v>5.2136067580435803</v>
      </c>
      <c r="K106" s="3">
        <v>1.6254914052262299</v>
      </c>
      <c r="L106" s="3">
        <v>1.4830000000000001</v>
      </c>
      <c r="M106" s="3">
        <v>0.89400000000000002</v>
      </c>
      <c r="N106" s="3">
        <v>0.58299999999999996</v>
      </c>
      <c r="O106" s="3">
        <v>0.188</v>
      </c>
      <c r="P106" s="3">
        <v>0.24</v>
      </c>
      <c r="Q106" s="3"/>
    </row>
    <row r="107" spans="1:17" x14ac:dyDescent="0.25">
      <c r="A107" s="3" t="s">
        <v>55</v>
      </c>
      <c r="B107" s="3" t="s">
        <v>50</v>
      </c>
      <c r="C107" s="3">
        <v>2019</v>
      </c>
      <c r="D107" s="3">
        <v>6.923</v>
      </c>
      <c r="E107" s="3">
        <v>1.3560000000000001</v>
      </c>
      <c r="F107" s="3">
        <v>1.2489999532699501</v>
      </c>
      <c r="G107" s="3">
        <v>0.86734408140182495</v>
      </c>
      <c r="H107" s="3">
        <v>4.4645600318908603</v>
      </c>
      <c r="I107" s="3">
        <v>3.7687675952911301</v>
      </c>
      <c r="J107" s="3">
        <v>1.02193240739444</v>
      </c>
      <c r="K107" s="3">
        <v>1.65543135079784</v>
      </c>
      <c r="L107" s="3">
        <v>1.504</v>
      </c>
      <c r="M107" s="3">
        <v>0.98599999999999999</v>
      </c>
      <c r="N107" s="3">
        <v>0.47299999999999998</v>
      </c>
      <c r="O107" s="3">
        <v>0.16</v>
      </c>
      <c r="P107" s="3">
        <v>0.21</v>
      </c>
      <c r="Q107" s="3"/>
    </row>
    <row r="108" spans="1:17" x14ac:dyDescent="0.25">
      <c r="A108" s="3" t="s">
        <v>55</v>
      </c>
      <c r="B108" s="3" t="s">
        <v>50</v>
      </c>
      <c r="C108" s="3">
        <v>2020</v>
      </c>
      <c r="D108" s="3">
        <v>6.8635001180000001</v>
      </c>
      <c r="E108" s="3">
        <v>1.2958427669999999</v>
      </c>
      <c r="F108" s="3">
        <v>0.74079181222009305</v>
      </c>
      <c r="G108" s="3">
        <v>-1.81643777216113</v>
      </c>
      <c r="H108" s="3">
        <v>2.88057458397705</v>
      </c>
      <c r="I108" s="3">
        <v>1.479317</v>
      </c>
      <c r="J108" s="3">
        <v>-3.7122606970978298</v>
      </c>
      <c r="K108" s="3">
        <v>0.88885158137235898</v>
      </c>
      <c r="L108" s="3">
        <v>1.398677588</v>
      </c>
      <c r="M108" s="3">
        <v>0.96490114900000001</v>
      </c>
      <c r="N108" s="3">
        <v>0.49980542100000003</v>
      </c>
      <c r="O108" s="3">
        <v>0.14696615900000001</v>
      </c>
      <c r="P108" s="3">
        <v>0.20872405199999999</v>
      </c>
      <c r="Q108" s="3"/>
    </row>
    <row r="109" spans="1:17" x14ac:dyDescent="0.25">
      <c r="A109" s="3" t="s">
        <v>55</v>
      </c>
      <c r="B109" s="3" t="s">
        <v>50</v>
      </c>
      <c r="C109" s="3">
        <v>2021</v>
      </c>
      <c r="D109" s="3">
        <v>6.8339999999999996</v>
      </c>
      <c r="E109" s="3">
        <v>1.4630000000000001</v>
      </c>
      <c r="F109" s="3">
        <v>2.440248</v>
      </c>
      <c r="G109" s="3">
        <v>12.331149999999999</v>
      </c>
      <c r="H109" s="3">
        <v>-0.39400000000000002</v>
      </c>
      <c r="I109" s="3">
        <v>1.613</v>
      </c>
      <c r="J109" s="3">
        <v>17.341656516443201</v>
      </c>
      <c r="K109" s="3">
        <v>2.9260761186544602</v>
      </c>
      <c r="L109" s="3">
        <v>0.998</v>
      </c>
      <c r="M109" s="3">
        <v>0.747</v>
      </c>
      <c r="N109" s="3">
        <v>0.48899999999999999</v>
      </c>
      <c r="O109" s="3">
        <v>8.7999999999999995E-2</v>
      </c>
      <c r="P109" s="3">
        <v>0.187</v>
      </c>
      <c r="Q109" s="3"/>
    </row>
    <row r="110" spans="1:17" x14ac:dyDescent="0.25">
      <c r="A110" s="3" t="s">
        <v>55</v>
      </c>
      <c r="B110" s="3" t="s">
        <v>50</v>
      </c>
      <c r="C110" s="3">
        <v>2022</v>
      </c>
      <c r="D110" s="3">
        <v>6.8049999999999997</v>
      </c>
      <c r="E110" s="3">
        <v>1.907</v>
      </c>
      <c r="F110" s="3">
        <v>9.5975110000000008</v>
      </c>
      <c r="G110" s="3">
        <v>52.9877875794879</v>
      </c>
      <c r="H110" s="3">
        <v>8.7949509999999993</v>
      </c>
      <c r="I110" s="3">
        <v>4.5643474306503</v>
      </c>
      <c r="J110" s="3">
        <v>34.2286233294409</v>
      </c>
      <c r="K110" s="3">
        <v>6.2644867361420502</v>
      </c>
      <c r="L110" s="3">
        <v>1.1060000000000001</v>
      </c>
      <c r="M110" s="3">
        <v>0.76400000000000001</v>
      </c>
      <c r="N110" s="3">
        <v>0.49199999999999999</v>
      </c>
      <c r="O110" s="3">
        <v>4.9000000000000002E-2</v>
      </c>
      <c r="P110" s="3">
        <v>0.20399999999999999</v>
      </c>
      <c r="Q110" s="3"/>
    </row>
    <row r="111" spans="1:17" x14ac:dyDescent="0.25">
      <c r="A111" s="3" t="s">
        <v>55</v>
      </c>
      <c r="B111" s="3" t="s">
        <v>50</v>
      </c>
      <c r="C111" s="3">
        <v>2023</v>
      </c>
      <c r="D111" s="3">
        <v>6.859</v>
      </c>
      <c r="E111" s="3">
        <v>1.907</v>
      </c>
      <c r="F111" s="3">
        <v>4.0490107761394096</v>
      </c>
      <c r="G111" s="3">
        <v>-20.823510468233501</v>
      </c>
      <c r="H111" s="3">
        <v>13.5456447353583</v>
      </c>
      <c r="I111" s="3">
        <v>6.62592865107072</v>
      </c>
      <c r="J111" s="3">
        <v>-5.4857419043017197</v>
      </c>
      <c r="K111" s="3">
        <v>3.7562373032118801</v>
      </c>
      <c r="L111" s="3">
        <v>1.4490000000000001</v>
      </c>
      <c r="M111" s="3">
        <v>0.52800000000000002</v>
      </c>
      <c r="N111" s="3">
        <v>0.59</v>
      </c>
      <c r="O111" s="3">
        <v>0.13700000000000001</v>
      </c>
      <c r="P111" s="3">
        <v>0.27300000000000002</v>
      </c>
      <c r="Q111" s="3"/>
    </row>
    <row r="112" spans="1:17" x14ac:dyDescent="0.25">
      <c r="A112" s="3" t="s">
        <v>56</v>
      </c>
      <c r="B112" s="3" t="s">
        <v>45</v>
      </c>
      <c r="C112" s="3">
        <v>2016</v>
      </c>
      <c r="D112" s="3">
        <v>5.9560000000000004</v>
      </c>
      <c r="E112" s="3">
        <v>0.87616000000000005</v>
      </c>
      <c r="F112" s="3">
        <v>0.66450667381286599</v>
      </c>
      <c r="G112" s="3">
        <v>0.561756491661071</v>
      </c>
      <c r="H112" s="3">
        <v>7.0441715419292394E-2</v>
      </c>
      <c r="I112" s="5"/>
      <c r="J112" s="5"/>
      <c r="K112" s="3">
        <v>2.88949353490524</v>
      </c>
      <c r="L112" s="3">
        <v>0.68654999999999999</v>
      </c>
      <c r="M112" s="3">
        <v>0.45568999999999998</v>
      </c>
      <c r="N112" s="3">
        <v>0.51231000000000004</v>
      </c>
      <c r="O112" s="3">
        <v>0.23683999999999999</v>
      </c>
      <c r="P112" s="3">
        <v>0.10771</v>
      </c>
      <c r="Q112" s="3"/>
    </row>
    <row r="113" spans="1:17" x14ac:dyDescent="0.25">
      <c r="A113" s="3" t="s">
        <v>56</v>
      </c>
      <c r="B113" s="3" t="s">
        <v>45</v>
      </c>
      <c r="C113" s="3">
        <v>2017</v>
      </c>
      <c r="D113" s="3">
        <v>5.9559998509999996</v>
      </c>
      <c r="E113" s="3">
        <v>0.90797531600000003</v>
      </c>
      <c r="F113" s="3">
        <v>1.1479999999999999</v>
      </c>
      <c r="G113" s="3">
        <v>0.76100987195968595</v>
      </c>
      <c r="H113" s="3">
        <v>-1.11849725246429</v>
      </c>
      <c r="I113" s="5"/>
      <c r="J113" s="5"/>
      <c r="K113" s="3">
        <v>1.5653578831849699</v>
      </c>
      <c r="L113" s="3">
        <v>1.081417799</v>
      </c>
      <c r="M113" s="3">
        <v>0.45019176599999999</v>
      </c>
      <c r="N113" s="3">
        <v>0.54750937200000005</v>
      </c>
      <c r="O113" s="3">
        <v>0.240015641</v>
      </c>
      <c r="P113" s="3">
        <v>9.6581072000000004E-2</v>
      </c>
      <c r="Q113" s="3"/>
    </row>
    <row r="114" spans="1:17" x14ac:dyDescent="0.25">
      <c r="A114" s="3" t="s">
        <v>56</v>
      </c>
      <c r="B114" s="3" t="s">
        <v>45</v>
      </c>
      <c r="C114" s="3">
        <v>2018</v>
      </c>
      <c r="D114" s="3">
        <v>5.9560000000000004</v>
      </c>
      <c r="E114" s="3">
        <v>0.80700000000000005</v>
      </c>
      <c r="F114" s="3">
        <v>0.24</v>
      </c>
      <c r="G114" s="3">
        <v>0.81150621175765902</v>
      </c>
      <c r="H114" s="3">
        <v>-0.52998042106628396</v>
      </c>
      <c r="I114" s="5"/>
      <c r="J114" s="5"/>
      <c r="K114" s="3">
        <v>-0.19134088692130499</v>
      </c>
      <c r="L114" s="3">
        <v>1.101</v>
      </c>
      <c r="M114" s="3">
        <v>0.47399999999999998</v>
      </c>
      <c r="N114" s="3">
        <v>0.59299999999999997</v>
      </c>
      <c r="O114" s="3">
        <v>0.183</v>
      </c>
      <c r="P114" s="3">
        <v>8.8999999999999996E-2</v>
      </c>
      <c r="Q114" s="3"/>
    </row>
    <row r="115" spans="1:17" x14ac:dyDescent="0.25">
      <c r="A115" s="3" t="s">
        <v>57</v>
      </c>
      <c r="B115" s="3" t="s">
        <v>43</v>
      </c>
      <c r="C115" s="3">
        <v>2015</v>
      </c>
      <c r="D115" s="3">
        <v>3.34</v>
      </c>
      <c r="E115" s="3">
        <v>0.28665000000000002</v>
      </c>
      <c r="F115" s="3">
        <v>0.270000010728836</v>
      </c>
      <c r="G115" s="3">
        <v>-0.109999999403953</v>
      </c>
      <c r="H115" s="3">
        <v>0.40999999642372098</v>
      </c>
      <c r="I115" s="5"/>
      <c r="J115" s="5"/>
      <c r="K115" s="3">
        <v>0.85118399290006996</v>
      </c>
      <c r="L115" s="3">
        <v>0.35386000000000001</v>
      </c>
      <c r="M115" s="3">
        <v>0.31909999999999999</v>
      </c>
      <c r="N115" s="3">
        <v>0.48449999999999999</v>
      </c>
      <c r="O115" s="3">
        <v>0.18260000000000001</v>
      </c>
      <c r="P115" s="3">
        <v>8.0100000000000005E-2</v>
      </c>
      <c r="Q115" s="3"/>
    </row>
    <row r="116" spans="1:17" x14ac:dyDescent="0.25">
      <c r="A116" s="3" t="s">
        <v>57</v>
      </c>
      <c r="B116" s="3" t="s">
        <v>43</v>
      </c>
      <c r="C116" s="3">
        <v>2016</v>
      </c>
      <c r="D116" s="3">
        <v>3.484</v>
      </c>
      <c r="E116" s="3">
        <v>0.39499000000000001</v>
      </c>
      <c r="F116" s="3">
        <v>-0.85000002384185702</v>
      </c>
      <c r="G116" s="3">
        <v>-0.76999998092651301</v>
      </c>
      <c r="H116" s="3">
        <v>-0.46000000834464999</v>
      </c>
      <c r="I116" s="5"/>
      <c r="J116" s="5"/>
      <c r="K116" s="3">
        <v>0.68399999999999705</v>
      </c>
      <c r="L116" s="3">
        <v>0.10419</v>
      </c>
      <c r="M116" s="3">
        <v>0.21027999999999999</v>
      </c>
      <c r="N116" s="3">
        <v>0.39746999999999999</v>
      </c>
      <c r="O116" s="3">
        <v>0.20180000000000001</v>
      </c>
      <c r="P116" s="3">
        <v>6.6809999999999994E-2</v>
      </c>
      <c r="Q116" s="3"/>
    </row>
    <row r="117" spans="1:17" x14ac:dyDescent="0.25">
      <c r="A117" s="3" t="s">
        <v>57</v>
      </c>
      <c r="B117" s="3" t="s">
        <v>43</v>
      </c>
      <c r="C117" s="3">
        <v>2017</v>
      </c>
      <c r="D117" s="3">
        <v>3.6570000650000001</v>
      </c>
      <c r="E117" s="3">
        <v>0.431085408</v>
      </c>
      <c r="F117" s="3">
        <v>1.7689999999999999</v>
      </c>
      <c r="G117" s="3">
        <v>1.0599999427795399</v>
      </c>
      <c r="H117" s="3">
        <v>-5.0000000745057997E-2</v>
      </c>
      <c r="I117" s="5"/>
      <c r="J117" s="5"/>
      <c r="K117" s="3">
        <v>-0.368479599539147</v>
      </c>
      <c r="L117" s="3">
        <v>0.43529984399999999</v>
      </c>
      <c r="M117" s="3">
        <v>0.20993021100000001</v>
      </c>
      <c r="N117" s="3">
        <v>0.42596277599999999</v>
      </c>
      <c r="O117" s="3">
        <v>0.207948461</v>
      </c>
      <c r="P117" s="3">
        <v>6.0929015000000003E-2</v>
      </c>
    </row>
    <row r="118" spans="1:17" x14ac:dyDescent="0.25">
      <c r="A118" s="3" t="s">
        <v>57</v>
      </c>
      <c r="B118" s="3" t="s">
        <v>43</v>
      </c>
      <c r="C118" s="3">
        <v>2018</v>
      </c>
      <c r="D118" s="3">
        <v>4.141</v>
      </c>
      <c r="E118" s="3">
        <v>0.378</v>
      </c>
      <c r="F118" s="3">
        <v>0.83</v>
      </c>
      <c r="G118" s="3">
        <v>3.0456110000000001</v>
      </c>
      <c r="H118" s="3">
        <v>2.0531621308638699</v>
      </c>
      <c r="I118" s="5"/>
      <c r="J118" s="5"/>
      <c r="K118" s="3">
        <v>0.59015282166817695</v>
      </c>
      <c r="L118" s="3">
        <v>0.372</v>
      </c>
      <c r="M118" s="3">
        <v>0.24</v>
      </c>
      <c r="N118" s="3">
        <v>0.44</v>
      </c>
      <c r="O118" s="3">
        <v>0.16300000000000001</v>
      </c>
      <c r="P118" s="3">
        <v>6.7000000000000004E-2</v>
      </c>
      <c r="Q118" s="3"/>
    </row>
    <row r="119" spans="1:17" x14ac:dyDescent="0.25">
      <c r="A119" s="3" t="s">
        <v>57</v>
      </c>
      <c r="B119" s="3" t="s">
        <v>43</v>
      </c>
      <c r="C119" s="3">
        <v>2019</v>
      </c>
      <c r="D119" s="3">
        <v>4.883</v>
      </c>
      <c r="E119" s="3">
        <v>0.39300000000000002</v>
      </c>
      <c r="F119" s="3">
        <v>-0.933000028133392</v>
      </c>
      <c r="G119" s="3">
        <v>-1.43080341815948</v>
      </c>
      <c r="H119" s="3">
        <v>-2.7921240329742401</v>
      </c>
      <c r="I119" s="5"/>
      <c r="J119" s="5"/>
      <c r="K119" s="3">
        <v>-0.31812100490560202</v>
      </c>
      <c r="L119" s="3">
        <v>0.437</v>
      </c>
      <c r="M119" s="3">
        <v>0.39700000000000002</v>
      </c>
      <c r="N119" s="3">
        <v>0.34899999999999998</v>
      </c>
      <c r="O119" s="3">
        <v>0.17499999999999999</v>
      </c>
      <c r="P119" s="3">
        <v>8.2000000000000003E-2</v>
      </c>
      <c r="Q119" s="3"/>
    </row>
    <row r="120" spans="1:17" x14ac:dyDescent="0.25">
      <c r="A120" s="3" t="s">
        <v>57</v>
      </c>
      <c r="B120" s="3" t="s">
        <v>43</v>
      </c>
      <c r="C120" s="3">
        <v>2020</v>
      </c>
      <c r="D120" s="3">
        <v>5.2160000799999997</v>
      </c>
      <c r="E120" s="3">
        <v>0.36624470399999998</v>
      </c>
      <c r="F120" s="3">
        <v>3.0227211966375198</v>
      </c>
      <c r="G120" s="3">
        <v>2.88395762075583</v>
      </c>
      <c r="H120" s="3">
        <v>0.48961712029598098</v>
      </c>
      <c r="I120" s="5"/>
      <c r="J120" s="5"/>
      <c r="K120" s="3">
        <v>1.5300644237652099</v>
      </c>
      <c r="L120" s="3">
        <v>0.35242843600000001</v>
      </c>
      <c r="M120" s="3">
        <v>0.32806295200000002</v>
      </c>
      <c r="N120" s="3">
        <v>0.40583988999999998</v>
      </c>
      <c r="O120" s="3">
        <v>0.19667042800000001</v>
      </c>
      <c r="P120" s="3">
        <v>0.125931874</v>
      </c>
      <c r="Q120" s="3"/>
    </row>
    <row r="121" spans="1:17" x14ac:dyDescent="0.25">
      <c r="A121" s="3" t="s">
        <v>57</v>
      </c>
      <c r="B121" s="3" t="s">
        <v>43</v>
      </c>
      <c r="C121" s="3">
        <v>2021</v>
      </c>
      <c r="D121" s="3">
        <v>5.0449999999999999</v>
      </c>
      <c r="E121" s="3">
        <v>0.50700000000000001</v>
      </c>
      <c r="F121" s="3">
        <v>5.9174459851660597</v>
      </c>
      <c r="G121" s="3">
        <v>-1.93</v>
      </c>
      <c r="H121" s="3">
        <v>5.92</v>
      </c>
      <c r="I121" s="5"/>
      <c r="J121" s="5"/>
      <c r="K121" s="3">
        <v>-1.51316780114093</v>
      </c>
      <c r="L121" s="3">
        <v>5.8000000000000003E-2</v>
      </c>
      <c r="M121" s="3">
        <v>0.19600000000000001</v>
      </c>
      <c r="N121" s="3">
        <v>0.45700000000000002</v>
      </c>
      <c r="O121" s="3">
        <v>0.16600000000000001</v>
      </c>
      <c r="P121" s="3">
        <v>0.17799999999999999</v>
      </c>
      <c r="Q121" s="3"/>
    </row>
    <row r="122" spans="1:17" x14ac:dyDescent="0.25">
      <c r="A122" s="3" t="s">
        <v>57</v>
      </c>
      <c r="B122" s="3" t="s">
        <v>43</v>
      </c>
      <c r="C122" s="3">
        <v>2022</v>
      </c>
      <c r="D122" s="3">
        <v>4.6230000000000002</v>
      </c>
      <c r="E122" s="3">
        <v>0.93200000000000005</v>
      </c>
      <c r="F122" s="3">
        <v>1.35077863583532</v>
      </c>
      <c r="G122" s="3">
        <v>2.3341639584787202</v>
      </c>
      <c r="H122" s="3">
        <v>-1.72343062702911</v>
      </c>
      <c r="I122" s="5"/>
      <c r="J122" s="5"/>
      <c r="K122" s="3">
        <v>1.61868591694933</v>
      </c>
      <c r="L122" s="3">
        <v>6.4000000000000001E-2</v>
      </c>
      <c r="M122" s="3">
        <v>0.33500000000000002</v>
      </c>
      <c r="N122" s="3">
        <v>0.47899999999999998</v>
      </c>
      <c r="O122" s="3">
        <v>0.127</v>
      </c>
      <c r="P122" s="3">
        <v>0.23</v>
      </c>
      <c r="Q122" s="3"/>
    </row>
    <row r="123" spans="1:17" x14ac:dyDescent="0.25">
      <c r="A123" s="3" t="s">
        <v>57</v>
      </c>
      <c r="B123" s="3" t="s">
        <v>43</v>
      </c>
      <c r="C123" s="3">
        <v>2023</v>
      </c>
      <c r="D123" s="3">
        <v>4.3739999999999997</v>
      </c>
      <c r="E123" s="3">
        <v>0.92400000000000004</v>
      </c>
      <c r="F123" s="3">
        <v>4.4109117407710503</v>
      </c>
      <c r="G123" s="3">
        <v>8.4903736347026406</v>
      </c>
      <c r="H123" s="3">
        <v>0.29141104294478898</v>
      </c>
      <c r="I123" s="5"/>
      <c r="J123" s="5"/>
      <c r="K123" s="3">
        <v>2.48388216170803</v>
      </c>
      <c r="L123" s="3">
        <v>0.24199999999999999</v>
      </c>
      <c r="M123" s="3">
        <v>0.124</v>
      </c>
      <c r="N123" s="3">
        <v>0.48099999999999998</v>
      </c>
      <c r="O123" s="3">
        <v>0.114</v>
      </c>
      <c r="P123" s="3">
        <v>0.253</v>
      </c>
      <c r="Q123" s="3"/>
    </row>
    <row r="124" spans="1:17" x14ac:dyDescent="0.25">
      <c r="A124" s="3" t="s">
        <v>58</v>
      </c>
      <c r="B124" s="3" t="s">
        <v>37</v>
      </c>
      <c r="C124" s="3">
        <v>2015</v>
      </c>
      <c r="D124" s="3">
        <v>5.2530000000000001</v>
      </c>
      <c r="E124" s="3">
        <v>0.77041999999999999</v>
      </c>
      <c r="F124" s="3">
        <v>4.5500001907348597</v>
      </c>
      <c r="G124" s="3">
        <v>6.4499998092651296</v>
      </c>
      <c r="H124" s="3">
        <v>3.2699999809265101</v>
      </c>
      <c r="I124" s="5"/>
      <c r="J124" s="5"/>
      <c r="K124" s="3">
        <v>5.1772836246809097</v>
      </c>
      <c r="L124" s="3">
        <v>1.10395</v>
      </c>
      <c r="M124" s="3">
        <v>0.57406999999999997</v>
      </c>
      <c r="N124" s="3">
        <v>0.53205999999999998</v>
      </c>
      <c r="O124" s="3">
        <v>0.47998000000000002</v>
      </c>
      <c r="P124" s="3">
        <v>0.15445</v>
      </c>
      <c r="Q124" s="3"/>
    </row>
    <row r="125" spans="1:17" x14ac:dyDescent="0.25">
      <c r="A125" s="3" t="s">
        <v>58</v>
      </c>
      <c r="B125" s="3" t="s">
        <v>37</v>
      </c>
      <c r="C125" s="3">
        <v>2016</v>
      </c>
      <c r="D125" s="3">
        <v>5.1959999999999997</v>
      </c>
      <c r="E125" s="3">
        <v>0.85270000000000001</v>
      </c>
      <c r="F125" s="3">
        <v>4.3099999427795401</v>
      </c>
      <c r="G125" s="3">
        <v>4.4499998092651296</v>
      </c>
      <c r="H125" s="3">
        <v>14.1099996566772</v>
      </c>
      <c r="I125" s="5"/>
      <c r="J125" s="3">
        <v>1.11165022850036</v>
      </c>
      <c r="K125" s="3">
        <v>4.0545030038482297</v>
      </c>
      <c r="L125" s="3">
        <v>0.90835999999999995</v>
      </c>
      <c r="M125" s="3">
        <v>0.49758999999999998</v>
      </c>
      <c r="N125" s="3">
        <v>0.46073999999999998</v>
      </c>
      <c r="O125" s="3">
        <v>0.48546</v>
      </c>
      <c r="P125" s="3">
        <v>0.16159999999999999</v>
      </c>
      <c r="Q125" s="3"/>
    </row>
    <row r="126" spans="1:17" x14ac:dyDescent="0.25">
      <c r="A126" s="3" t="s">
        <v>58</v>
      </c>
      <c r="B126" s="3" t="s">
        <v>37</v>
      </c>
      <c r="C126" s="3">
        <v>2017</v>
      </c>
      <c r="D126" s="3">
        <v>5.0110001559999997</v>
      </c>
      <c r="E126" s="3">
        <v>0.88541638899999997</v>
      </c>
      <c r="F126" s="3">
        <v>5.5289999999999999</v>
      </c>
      <c r="G126" s="3">
        <v>4.96000003814697</v>
      </c>
      <c r="H126" s="3">
        <v>-2.0399999618530198</v>
      </c>
      <c r="I126" s="5"/>
      <c r="J126" s="3">
        <v>5.1573190689086896</v>
      </c>
      <c r="K126" s="3">
        <v>4.6885046716538996</v>
      </c>
      <c r="L126" s="3">
        <v>1.340126514</v>
      </c>
      <c r="M126" s="3">
        <v>0.49587929200000003</v>
      </c>
      <c r="N126" s="3">
        <v>0.50153768099999996</v>
      </c>
      <c r="O126" s="3">
        <v>0.47405454499999999</v>
      </c>
      <c r="P126" s="3">
        <v>0.17338039</v>
      </c>
      <c r="Q126" s="3"/>
    </row>
    <row r="127" spans="1:17" x14ac:dyDescent="0.25">
      <c r="A127" s="3" t="s">
        <v>58</v>
      </c>
      <c r="B127" s="3" t="s">
        <v>37</v>
      </c>
      <c r="C127" s="3">
        <v>2018</v>
      </c>
      <c r="D127" s="3">
        <v>5.0819999999999999</v>
      </c>
      <c r="E127" s="3">
        <v>0.79600000000000004</v>
      </c>
      <c r="F127" s="3">
        <v>2.72</v>
      </c>
      <c r="G127" s="3">
        <v>1.4121167050034</v>
      </c>
      <c r="H127" s="3">
        <v>4.96417690058039</v>
      </c>
      <c r="I127" s="5"/>
      <c r="J127" s="3">
        <v>5.0383844375610298</v>
      </c>
      <c r="K127" s="3">
        <v>3.3001245330012399</v>
      </c>
      <c r="L127" s="3">
        <v>1.335</v>
      </c>
      <c r="M127" s="3">
        <v>0.52700000000000002</v>
      </c>
      <c r="N127" s="3">
        <v>0.54100000000000004</v>
      </c>
      <c r="O127" s="3">
        <v>0.36399999999999999</v>
      </c>
      <c r="P127" s="3">
        <v>0.17100000000000001</v>
      </c>
      <c r="Q127" s="3"/>
    </row>
    <row r="128" spans="1:17" x14ac:dyDescent="0.25">
      <c r="A128" s="3" t="s">
        <v>58</v>
      </c>
      <c r="B128" s="3" t="s">
        <v>37</v>
      </c>
      <c r="C128" s="3">
        <v>2019</v>
      </c>
      <c r="D128" s="3">
        <v>5.0819999999999999</v>
      </c>
      <c r="E128" s="3">
        <v>0.81299999999999994</v>
      </c>
      <c r="F128" s="3">
        <v>2.5999999046325599</v>
      </c>
      <c r="G128" s="3">
        <v>2.5282456874847399</v>
      </c>
      <c r="H128" s="3">
        <v>3.6438014507293701</v>
      </c>
      <c r="I128" s="5"/>
      <c r="J128" s="3">
        <v>-3.51431012153625</v>
      </c>
      <c r="K128" s="3">
        <v>1.35439347529246</v>
      </c>
      <c r="L128" s="3">
        <v>1.321</v>
      </c>
      <c r="M128" s="3">
        <v>0.60399999999999998</v>
      </c>
      <c r="N128" s="3">
        <v>0.45700000000000002</v>
      </c>
      <c r="O128" s="3">
        <v>0.37</v>
      </c>
      <c r="P128" s="3">
        <v>0.16700000000000001</v>
      </c>
      <c r="Q128" s="3"/>
    </row>
    <row r="129" spans="1:17" x14ac:dyDescent="0.25">
      <c r="A129" s="3" t="s">
        <v>59</v>
      </c>
      <c r="B129" s="3" t="s">
        <v>45</v>
      </c>
      <c r="C129" s="3">
        <v>2015</v>
      </c>
      <c r="D129" s="3">
        <v>5.89</v>
      </c>
      <c r="E129" s="3">
        <v>0.68132999999999999</v>
      </c>
      <c r="F129" s="3">
        <v>4.0644998550415004</v>
      </c>
      <c r="G129" s="3">
        <v>5.0086569786071697</v>
      </c>
      <c r="H129" s="3">
        <v>4.6114826202392498</v>
      </c>
      <c r="I129" s="5"/>
      <c r="J129" s="5"/>
      <c r="K129" s="3">
        <v>-4.6205689729754704</v>
      </c>
      <c r="L129" s="3">
        <v>0.97841</v>
      </c>
      <c r="M129" s="3">
        <v>0.53920000000000001</v>
      </c>
      <c r="N129" s="3">
        <v>0.57413999999999998</v>
      </c>
      <c r="O129" s="3">
        <v>0.20535999999999999</v>
      </c>
      <c r="P129" s="3">
        <v>8.7999999999999995E-2</v>
      </c>
      <c r="Q129" s="3"/>
    </row>
    <row r="130" spans="1:17" x14ac:dyDescent="0.25">
      <c r="A130" s="3" t="s">
        <v>59</v>
      </c>
      <c r="B130" s="3" t="s">
        <v>45</v>
      </c>
      <c r="C130" s="3">
        <v>2016</v>
      </c>
      <c r="D130" s="3">
        <v>5.8220000000000001</v>
      </c>
      <c r="E130" s="3">
        <v>0.79422000000000004</v>
      </c>
      <c r="F130" s="3">
        <v>3.62701392173767</v>
      </c>
      <c r="G130" s="3">
        <v>3.6588163375854399</v>
      </c>
      <c r="H130" s="3">
        <v>5.5120906829833904</v>
      </c>
      <c r="I130" s="5"/>
      <c r="J130" s="5"/>
      <c r="K130" s="3">
        <v>-1.35481426595719</v>
      </c>
      <c r="L130" s="3">
        <v>0.83779000000000003</v>
      </c>
      <c r="M130" s="3">
        <v>0.46970000000000001</v>
      </c>
      <c r="N130" s="3">
        <v>0.50961000000000001</v>
      </c>
      <c r="O130" s="3">
        <v>0.21698000000000001</v>
      </c>
      <c r="P130" s="3">
        <v>7.7460000000000001E-2</v>
      </c>
      <c r="Q130" s="3"/>
    </row>
    <row r="131" spans="1:17" x14ac:dyDescent="0.25">
      <c r="A131" s="3" t="s">
        <v>59</v>
      </c>
      <c r="B131" s="3" t="s">
        <v>45</v>
      </c>
      <c r="C131" s="3">
        <v>2017</v>
      </c>
      <c r="D131" s="3">
        <v>5.8229999540000001</v>
      </c>
      <c r="E131" s="3">
        <v>0.83375656600000003</v>
      </c>
      <c r="F131" s="3">
        <v>2.82</v>
      </c>
      <c r="G131" s="3">
        <v>4.7988190650939897</v>
      </c>
      <c r="H131" s="3">
        <v>3.34667515754699</v>
      </c>
      <c r="I131" s="5"/>
      <c r="J131" s="5"/>
      <c r="K131" s="3">
        <v>6.0612940700125302</v>
      </c>
      <c r="L131" s="3">
        <v>1.2276190520000001</v>
      </c>
      <c r="M131" s="3">
        <v>0.47363024999999997</v>
      </c>
      <c r="N131" s="3">
        <v>0.55873292699999999</v>
      </c>
      <c r="O131" s="3">
        <v>0.22556072499999999</v>
      </c>
      <c r="P131" s="3">
        <v>6.0477726000000002E-2</v>
      </c>
      <c r="Q131" s="3"/>
    </row>
    <row r="132" spans="1:17" x14ac:dyDescent="0.25">
      <c r="A132" s="3" t="s">
        <v>59</v>
      </c>
      <c r="B132" s="3" t="s">
        <v>45</v>
      </c>
      <c r="C132" s="3">
        <v>2018</v>
      </c>
      <c r="D132" s="3">
        <v>5.7519999999999998</v>
      </c>
      <c r="E132" s="3">
        <v>0.751</v>
      </c>
      <c r="F132" s="3">
        <v>2.27</v>
      </c>
      <c r="G132" s="3">
        <v>2.5933084487914999</v>
      </c>
      <c r="H132" s="3">
        <v>2.54264235496521</v>
      </c>
      <c r="I132" s="5"/>
      <c r="J132" s="5"/>
      <c r="K132" s="3">
        <v>3.0563533546211699</v>
      </c>
      <c r="L132" s="3">
        <v>1.2230000000000001</v>
      </c>
      <c r="M132" s="3">
        <v>0.50800000000000001</v>
      </c>
      <c r="N132" s="3">
        <v>0.60599999999999998</v>
      </c>
      <c r="O132" s="3">
        <v>0.14099999999999999</v>
      </c>
      <c r="P132" s="3">
        <v>5.3999999999999999E-2</v>
      </c>
      <c r="Q132" s="3"/>
    </row>
    <row r="133" spans="1:17" x14ac:dyDescent="0.25">
      <c r="A133" s="3" t="s">
        <v>59</v>
      </c>
      <c r="B133" s="3" t="s">
        <v>45</v>
      </c>
      <c r="C133" s="3">
        <v>2019</v>
      </c>
      <c r="D133" s="3">
        <v>5.7789999999999999</v>
      </c>
      <c r="E133" s="3">
        <v>0.77600000000000002</v>
      </c>
      <c r="F133" s="3">
        <v>1.83899998664855</v>
      </c>
      <c r="G133" s="3">
        <v>0.48248890042304898</v>
      </c>
      <c r="H133" s="3">
        <v>3.3649818897247301</v>
      </c>
      <c r="I133" s="5"/>
      <c r="J133" s="5"/>
      <c r="K133" s="3">
        <v>-0.69308970180179397</v>
      </c>
      <c r="L133" s="3">
        <v>1.2090000000000001</v>
      </c>
      <c r="M133" s="3">
        <v>0.70599999999999996</v>
      </c>
      <c r="N133" s="3">
        <v>0.51100000000000001</v>
      </c>
      <c r="O133" s="3">
        <v>0.13700000000000001</v>
      </c>
      <c r="P133" s="3">
        <v>6.4000000000000001E-2</v>
      </c>
      <c r="Q133" s="3"/>
    </row>
    <row r="134" spans="1:17" x14ac:dyDescent="0.25">
      <c r="A134" s="3" t="s">
        <v>59</v>
      </c>
      <c r="B134" s="3" t="s">
        <v>45</v>
      </c>
      <c r="C134" s="3">
        <v>2020</v>
      </c>
      <c r="D134" s="3">
        <v>5.7474999430000002</v>
      </c>
      <c r="E134" s="3">
        <v>0.73097634300000003</v>
      </c>
      <c r="F134" s="3">
        <v>0.94074215338143696</v>
      </c>
      <c r="G134" s="3">
        <v>-0.211846612197571</v>
      </c>
      <c r="H134" s="3">
        <v>-0.65474253892898504</v>
      </c>
      <c r="I134" s="5"/>
      <c r="J134" s="5"/>
      <c r="K134" s="3">
        <v>3.5764399101270898</v>
      </c>
      <c r="L134" s="3">
        <v>1.1423505540000001</v>
      </c>
      <c r="M134" s="3">
        <v>0.66244566400000005</v>
      </c>
      <c r="N134" s="3">
        <v>0.57446450000000004</v>
      </c>
      <c r="O134" s="3">
        <v>0.13837507399999999</v>
      </c>
      <c r="P134" s="3">
        <v>7.2942637000000005E-2</v>
      </c>
      <c r="Q134" s="3"/>
    </row>
    <row r="135" spans="1:17" x14ac:dyDescent="0.25">
      <c r="A135" s="3" t="s">
        <v>59</v>
      </c>
      <c r="B135" s="3" t="s">
        <v>45</v>
      </c>
      <c r="C135" s="3">
        <v>2021</v>
      </c>
      <c r="D135" s="3">
        <v>5.7160000000000002</v>
      </c>
      <c r="E135" s="3">
        <v>0.84199999999999997</v>
      </c>
      <c r="F135" s="3">
        <v>0.73738372145231501</v>
      </c>
      <c r="G135" s="3">
        <v>0.23</v>
      </c>
      <c r="H135" s="3">
        <v>0.61</v>
      </c>
      <c r="I135" s="5"/>
      <c r="J135" s="5"/>
      <c r="K135" s="3">
        <v>3.9669703265238501</v>
      </c>
      <c r="L135" s="3">
        <v>0.78200000000000003</v>
      </c>
      <c r="M135" s="3">
        <v>0.48599999999999999</v>
      </c>
      <c r="N135" s="3">
        <v>0.6</v>
      </c>
      <c r="O135" s="3">
        <v>0.13800000000000001</v>
      </c>
      <c r="P135" s="3">
        <v>6.4000000000000001E-2</v>
      </c>
      <c r="Q135" s="3"/>
    </row>
    <row r="136" spans="1:17" x14ac:dyDescent="0.25">
      <c r="A136" s="3" t="s">
        <v>59</v>
      </c>
      <c r="B136" s="3" t="s">
        <v>45</v>
      </c>
      <c r="C136" s="3">
        <v>2022</v>
      </c>
      <c r="D136" s="3">
        <v>5.6</v>
      </c>
      <c r="E136" s="3">
        <v>1.256</v>
      </c>
      <c r="F136" s="3">
        <v>1.7463287294597301</v>
      </c>
      <c r="G136" s="3">
        <v>0.72007195580808803</v>
      </c>
      <c r="H136" s="3">
        <v>1.43412059967547</v>
      </c>
      <c r="I136" s="5"/>
      <c r="J136" s="5"/>
      <c r="K136" s="3">
        <v>5.4008895623200104</v>
      </c>
      <c r="L136" s="3">
        <v>0.88</v>
      </c>
      <c r="M136" s="3">
        <v>0.55500000000000005</v>
      </c>
      <c r="N136" s="3">
        <v>0.627</v>
      </c>
      <c r="O136" s="3">
        <v>0.112</v>
      </c>
      <c r="P136" s="3">
        <v>6.4000000000000001E-2</v>
      </c>
      <c r="Q136" s="3"/>
    </row>
    <row r="137" spans="1:17" x14ac:dyDescent="0.25">
      <c r="A137" s="3" t="s">
        <v>59</v>
      </c>
      <c r="B137" s="3" t="s">
        <v>45</v>
      </c>
      <c r="C137" s="3">
        <v>2023</v>
      </c>
      <c r="D137" s="3">
        <v>5.6840000000000002</v>
      </c>
      <c r="E137" s="3">
        <v>1.24</v>
      </c>
      <c r="F137" s="3">
        <v>2.57688800489192</v>
      </c>
      <c r="G137" s="3">
        <v>1.2599398297164199</v>
      </c>
      <c r="H137" s="3">
        <v>4.8579361889285</v>
      </c>
      <c r="I137" s="5"/>
      <c r="J137" s="5"/>
      <c r="K137" s="3">
        <v>-0.81263976803120197</v>
      </c>
      <c r="L137" s="3">
        <v>1.1870000000000001</v>
      </c>
      <c r="M137" s="3">
        <v>0.32900000000000001</v>
      </c>
      <c r="N137" s="3">
        <v>0.64800000000000002</v>
      </c>
      <c r="O137" s="3">
        <v>0.10299999999999999</v>
      </c>
      <c r="P137" s="3">
        <v>0.06</v>
      </c>
      <c r="Q137" s="3"/>
    </row>
    <row r="138" spans="1:17" x14ac:dyDescent="0.25">
      <c r="A138" s="3" t="s">
        <v>60</v>
      </c>
      <c r="B138" s="3" t="s">
        <v>39</v>
      </c>
      <c r="C138" s="3">
        <v>2015</v>
      </c>
      <c r="D138" s="3">
        <v>4.9489999999999998</v>
      </c>
      <c r="E138" s="3">
        <v>0.83223000000000003</v>
      </c>
      <c r="F138" s="3">
        <v>-1.0146334171295099</v>
      </c>
      <c r="G138" s="3">
        <v>1.1361730098724301</v>
      </c>
      <c r="H138" s="3">
        <v>-0.89815378189086903</v>
      </c>
      <c r="I138" s="5"/>
      <c r="J138" s="3">
        <v>0.57748866081237704</v>
      </c>
      <c r="K138" s="3">
        <v>1.5570407085398501</v>
      </c>
      <c r="L138" s="3">
        <v>0.91915999999999998</v>
      </c>
      <c r="M138" s="3">
        <v>0.79081000000000001</v>
      </c>
      <c r="N138" s="3">
        <v>9.2450000000000004E-2</v>
      </c>
      <c r="O138" s="3">
        <v>0.24807999999999999</v>
      </c>
      <c r="P138" s="3">
        <v>2.2699999999999999E-3</v>
      </c>
      <c r="Q138" s="3"/>
    </row>
    <row r="139" spans="1:17" x14ac:dyDescent="0.25">
      <c r="A139" s="3" t="s">
        <v>60</v>
      </c>
      <c r="B139" s="3" t="s">
        <v>39</v>
      </c>
      <c r="C139" s="3">
        <v>2016</v>
      </c>
      <c r="D139" s="3">
        <v>5.1630000000000003</v>
      </c>
      <c r="E139" s="3">
        <v>0.93383000000000005</v>
      </c>
      <c r="F139" s="3">
        <v>-1.05864870548248</v>
      </c>
      <c r="G139" s="3">
        <v>0.27666148543357799</v>
      </c>
      <c r="H139" s="3">
        <v>-1.0476382970809901</v>
      </c>
      <c r="I139" s="5"/>
      <c r="J139" s="3">
        <v>-1.8956894874572701</v>
      </c>
      <c r="K139" s="3">
        <v>1.40415445699026</v>
      </c>
      <c r="L139" s="3">
        <v>0.64366999999999996</v>
      </c>
      <c r="M139" s="3">
        <v>0.70765999999999996</v>
      </c>
      <c r="N139" s="3">
        <v>9.511E-2</v>
      </c>
      <c r="O139" s="3">
        <v>0.29888999999999999</v>
      </c>
      <c r="P139" s="3">
        <v>0</v>
      </c>
      <c r="Q139" s="3"/>
    </row>
    <row r="140" spans="1:17" x14ac:dyDescent="0.25">
      <c r="A140" s="3" t="s">
        <v>60</v>
      </c>
      <c r="B140" s="3" t="s">
        <v>39</v>
      </c>
      <c r="C140" s="3">
        <v>2017</v>
      </c>
      <c r="D140" s="3">
        <v>5.1820001600000003</v>
      </c>
      <c r="E140" s="3">
        <v>0.98240941800000003</v>
      </c>
      <c r="F140" s="3">
        <v>0.81</v>
      </c>
      <c r="G140" s="3">
        <v>1.70553994178771</v>
      </c>
      <c r="H140" s="3">
        <v>0.98310911655426003</v>
      </c>
      <c r="I140" s="5"/>
      <c r="J140" s="3">
        <v>2.99618935585021</v>
      </c>
      <c r="K140" s="3">
        <v>1.71017723116979</v>
      </c>
      <c r="L140" s="3">
        <v>1.069335938</v>
      </c>
      <c r="M140" s="3">
        <v>0.70518630699999996</v>
      </c>
      <c r="N140" s="3">
        <v>0.20440317699999999</v>
      </c>
      <c r="O140" s="3">
        <v>0.32886749500000001</v>
      </c>
      <c r="P140" s="3">
        <v>0</v>
      </c>
      <c r="Q140" s="3"/>
    </row>
    <row r="141" spans="1:17" x14ac:dyDescent="0.25">
      <c r="A141" s="3" t="s">
        <v>60</v>
      </c>
      <c r="B141" s="3" t="s">
        <v>39</v>
      </c>
      <c r="C141" s="3">
        <v>2018</v>
      </c>
      <c r="D141" s="3">
        <v>5.1289999999999996</v>
      </c>
      <c r="E141" s="3">
        <v>0.91500000000000004</v>
      </c>
      <c r="F141" s="3">
        <v>1.27</v>
      </c>
      <c r="G141" s="3">
        <v>2.7373628616332999</v>
      </c>
      <c r="H141" s="3">
        <v>0.42435887455940202</v>
      </c>
      <c r="I141" s="5"/>
      <c r="J141" s="3">
        <v>3.5449306964874201</v>
      </c>
      <c r="K141" s="3">
        <v>2.7480679162585901</v>
      </c>
      <c r="L141" s="3">
        <v>1.0780000000000001</v>
      </c>
      <c r="M141" s="3">
        <v>0.75800000000000001</v>
      </c>
      <c r="N141" s="3">
        <v>0.28000000000000003</v>
      </c>
      <c r="O141" s="3">
        <v>0.216</v>
      </c>
      <c r="P141" s="3">
        <v>0</v>
      </c>
      <c r="Q141" s="3"/>
    </row>
    <row r="142" spans="1:17" x14ac:dyDescent="0.25">
      <c r="A142" s="3" t="s">
        <v>60</v>
      </c>
      <c r="B142" s="3" t="s">
        <v>39</v>
      </c>
      <c r="C142" s="3">
        <v>2019</v>
      </c>
      <c r="D142" s="3">
        <v>5.3860000000000001</v>
      </c>
      <c r="E142" s="3">
        <v>0.94499999999999995</v>
      </c>
      <c r="F142" s="3">
        <v>0.61699998378753595</v>
      </c>
      <c r="G142" s="3">
        <v>2.3365607261657702</v>
      </c>
      <c r="H142" s="3">
        <v>1.0854254961013701</v>
      </c>
      <c r="I142" s="5"/>
      <c r="J142" s="3">
        <v>0.14363111555576299</v>
      </c>
      <c r="K142" s="3">
        <v>2.6311567463500598</v>
      </c>
      <c r="L142" s="3">
        <v>1.212</v>
      </c>
      <c r="M142" s="3">
        <v>0.84499999999999997</v>
      </c>
      <c r="N142" s="3">
        <v>0.21199999999999999</v>
      </c>
      <c r="O142" s="3">
        <v>0.26300000000000001</v>
      </c>
      <c r="P142" s="3">
        <v>6.0000000000000001E-3</v>
      </c>
      <c r="Q142" s="3"/>
    </row>
    <row r="143" spans="1:17" x14ac:dyDescent="0.25">
      <c r="A143" s="3" t="s">
        <v>60</v>
      </c>
      <c r="B143" s="3" t="s">
        <v>39</v>
      </c>
      <c r="C143" s="3">
        <v>2020</v>
      </c>
      <c r="D143" s="3">
        <v>5.6740999219999999</v>
      </c>
      <c r="E143" s="3">
        <v>0.91839546000000005</v>
      </c>
      <c r="F143" s="3">
        <v>-1.05129600763519</v>
      </c>
      <c r="G143" s="3">
        <v>-0.42517640426553299</v>
      </c>
      <c r="H143" s="3">
        <v>1.0245901346206601</v>
      </c>
      <c r="I143" s="5"/>
      <c r="J143" s="3">
        <v>-1.23511791229248</v>
      </c>
      <c r="K143" s="3">
        <v>-0.38621044791216602</v>
      </c>
      <c r="L143" s="3">
        <v>1.203986526</v>
      </c>
      <c r="M143" s="3">
        <v>0.81392818700000003</v>
      </c>
      <c r="N143" s="3">
        <v>0.30536574100000002</v>
      </c>
      <c r="O143" s="3">
        <v>0.26400524399999997</v>
      </c>
      <c r="P143" s="3">
        <v>1.1724870000000001E-3</v>
      </c>
      <c r="Q143" s="3"/>
    </row>
    <row r="144" spans="1:17" x14ac:dyDescent="0.25">
      <c r="A144" s="3" t="s">
        <v>60</v>
      </c>
      <c r="B144" s="3" t="s">
        <v>39</v>
      </c>
      <c r="C144" s="3">
        <v>2021</v>
      </c>
      <c r="D144" s="3">
        <v>5.8129999999999997</v>
      </c>
      <c r="E144" s="3">
        <v>1.032</v>
      </c>
      <c r="F144" s="3">
        <v>1.9816390058761599</v>
      </c>
      <c r="G144" s="3">
        <v>1.28</v>
      </c>
      <c r="H144" s="3">
        <v>3.54</v>
      </c>
      <c r="I144" s="5"/>
      <c r="J144" s="3">
        <v>5.5999354474295604</v>
      </c>
      <c r="K144" s="3">
        <v>4.8786063473407104</v>
      </c>
      <c r="L144" s="3">
        <v>0.91900000000000004</v>
      </c>
      <c r="M144" s="3">
        <v>0.61799999999999999</v>
      </c>
      <c r="N144" s="3">
        <v>0.39500000000000002</v>
      </c>
      <c r="O144" s="3">
        <v>0.26100000000000001</v>
      </c>
      <c r="P144" s="3">
        <v>5.0000000000000001E-3</v>
      </c>
      <c r="Q144" s="3"/>
    </row>
    <row r="145" spans="1:17" x14ac:dyDescent="0.25">
      <c r="A145" s="3" t="s">
        <v>60</v>
      </c>
      <c r="B145" s="3" t="s">
        <v>39</v>
      </c>
      <c r="C145" s="3">
        <v>2022</v>
      </c>
      <c r="D145" s="3">
        <v>5.7679999999999998</v>
      </c>
      <c r="E145" s="3">
        <v>1.468</v>
      </c>
      <c r="F145" s="3">
        <v>14.020844082677099</v>
      </c>
      <c r="G145" s="3">
        <v>14.0062465049167</v>
      </c>
      <c r="H145" s="3">
        <v>20.319080696153399</v>
      </c>
      <c r="I145" s="5"/>
      <c r="J145" s="3">
        <v>18.4986187198575</v>
      </c>
      <c r="K145" s="3">
        <v>10.462694018335201</v>
      </c>
      <c r="L145" s="3">
        <v>1.0680000000000001</v>
      </c>
      <c r="M145" s="3">
        <v>0.66500000000000004</v>
      </c>
      <c r="N145" s="3">
        <v>0.44800000000000001</v>
      </c>
      <c r="O145" s="3">
        <v>0.24399999999999999</v>
      </c>
      <c r="P145" s="3">
        <v>6.0000000000000001E-3</v>
      </c>
      <c r="Q145" s="3"/>
    </row>
    <row r="146" spans="1:17" x14ac:dyDescent="0.25">
      <c r="A146" s="3" t="s">
        <v>60</v>
      </c>
      <c r="B146" s="3" t="s">
        <v>39</v>
      </c>
      <c r="C146" s="3">
        <v>2023</v>
      </c>
      <c r="D146" s="3">
        <v>5.633</v>
      </c>
      <c r="E146" s="3">
        <v>1.4670000000000001</v>
      </c>
      <c r="F146" s="3">
        <v>6.0979999999999999</v>
      </c>
      <c r="G146" s="3">
        <v>12.6976132097797</v>
      </c>
      <c r="H146" s="3">
        <v>10.504933255948901</v>
      </c>
      <c r="I146" s="5"/>
      <c r="J146" s="3">
        <v>3.59033224921918</v>
      </c>
      <c r="K146" s="3">
        <v>12.344931950177701</v>
      </c>
      <c r="L146" s="3">
        <v>1.361</v>
      </c>
      <c r="M146" s="3">
        <v>0.42899999999999999</v>
      </c>
      <c r="N146" s="3">
        <v>0.48499999999999999</v>
      </c>
      <c r="O146" s="3">
        <v>0.247</v>
      </c>
      <c r="P146" s="3">
        <v>8.0000000000000002E-3</v>
      </c>
      <c r="Q146" s="3"/>
    </row>
    <row r="147" spans="1:17" x14ac:dyDescent="0.25">
      <c r="A147" s="3" t="s">
        <v>61</v>
      </c>
      <c r="B147" s="3" t="s">
        <v>43</v>
      </c>
      <c r="C147" s="3">
        <v>2015</v>
      </c>
      <c r="D147" s="3">
        <v>4.3319999999999999</v>
      </c>
      <c r="E147" s="3">
        <v>0.99355000000000004</v>
      </c>
      <c r="F147" s="3">
        <v>3.0744602680206299</v>
      </c>
      <c r="G147" s="3">
        <v>7.0799999237060502</v>
      </c>
      <c r="H147" s="3">
        <v>1.3417429924011199</v>
      </c>
      <c r="I147" s="5"/>
      <c r="J147" s="5"/>
      <c r="K147" s="3">
        <v>1.86523707181192</v>
      </c>
      <c r="L147" s="3">
        <v>1.1046400000000001</v>
      </c>
      <c r="M147" s="3">
        <v>4.7759999999999997E-2</v>
      </c>
      <c r="N147" s="3">
        <v>0.49495</v>
      </c>
      <c r="O147" s="3">
        <v>0.10460999999999999</v>
      </c>
      <c r="P147" s="3">
        <v>0.12474</v>
      </c>
      <c r="Q147" s="3"/>
    </row>
    <row r="148" spans="1:17" x14ac:dyDescent="0.25">
      <c r="A148" s="3" t="s">
        <v>61</v>
      </c>
      <c r="B148" s="3" t="s">
        <v>43</v>
      </c>
      <c r="C148" s="3">
        <v>2016</v>
      </c>
      <c r="D148" s="3">
        <v>3.9740000000000002</v>
      </c>
      <c r="E148" s="3">
        <v>1.09426</v>
      </c>
      <c r="F148" s="3">
        <v>2.7844817638397199</v>
      </c>
      <c r="G148" s="3">
        <v>8.42000007629394</v>
      </c>
      <c r="H148" s="3">
        <v>2.6567311286926198</v>
      </c>
      <c r="I148" s="5"/>
      <c r="J148" s="5"/>
      <c r="K148" s="3">
        <v>11.9536070626646</v>
      </c>
      <c r="L148" s="3">
        <v>0.89185999999999999</v>
      </c>
      <c r="M148" s="3">
        <v>0.34752</v>
      </c>
      <c r="N148" s="3">
        <v>0.44089</v>
      </c>
      <c r="O148" s="3">
        <v>0.12425</v>
      </c>
      <c r="P148" s="3">
        <v>0.10768999999999999</v>
      </c>
      <c r="Q148" s="3"/>
    </row>
    <row r="149" spans="1:17" x14ac:dyDescent="0.25">
      <c r="A149" s="3" t="s">
        <v>61</v>
      </c>
      <c r="B149" s="3" t="s">
        <v>43</v>
      </c>
      <c r="C149" s="3">
        <v>2017</v>
      </c>
      <c r="D149" s="3">
        <v>3.766000032</v>
      </c>
      <c r="E149" s="3">
        <v>1.122094154</v>
      </c>
      <c r="F149" s="3">
        <v>3.2959999999999998</v>
      </c>
      <c r="G149" s="3">
        <v>9.5200004577636701</v>
      </c>
      <c r="H149" s="3">
        <v>3.4335482120513898</v>
      </c>
      <c r="I149" s="5"/>
      <c r="J149" s="5"/>
      <c r="K149" s="3">
        <v>2.6131266976900802</v>
      </c>
      <c r="L149" s="3">
        <v>1.221554995</v>
      </c>
      <c r="M149" s="3">
        <v>0.34175550900000001</v>
      </c>
      <c r="N149" s="3">
        <v>0.505196333</v>
      </c>
      <c r="O149" s="3">
        <v>9.9348448000000006E-2</v>
      </c>
      <c r="P149" s="3">
        <v>9.8583198999999996E-2</v>
      </c>
      <c r="Q149" s="3"/>
    </row>
    <row r="150" spans="1:17" x14ac:dyDescent="0.25">
      <c r="A150" s="3" t="s">
        <v>61</v>
      </c>
      <c r="B150" s="3" t="s">
        <v>43</v>
      </c>
      <c r="C150" s="3">
        <v>2018</v>
      </c>
      <c r="D150" s="3">
        <v>3.59</v>
      </c>
      <c r="E150" s="3">
        <v>1.0169999999999999</v>
      </c>
      <c r="F150" s="3">
        <v>3.22</v>
      </c>
      <c r="G150" s="3">
        <v>4.0470552444457999</v>
      </c>
      <c r="H150" s="3">
        <v>-0.49545830488204901</v>
      </c>
      <c r="I150" s="5"/>
      <c r="J150" s="5"/>
      <c r="K150" s="3">
        <v>1.16658458507756</v>
      </c>
      <c r="L150" s="3">
        <v>1.1739999999999999</v>
      </c>
      <c r="M150" s="3">
        <v>0.41699999999999998</v>
      </c>
      <c r="N150" s="3">
        <v>0.55700000000000005</v>
      </c>
      <c r="O150" s="3">
        <v>4.2000000000000003E-2</v>
      </c>
      <c r="P150" s="3">
        <v>9.1999999999999998E-2</v>
      </c>
      <c r="Q150" s="3"/>
    </row>
    <row r="151" spans="1:17" x14ac:dyDescent="0.25">
      <c r="A151" s="3" t="s">
        <v>61</v>
      </c>
      <c r="B151" s="3" t="s">
        <v>43</v>
      </c>
      <c r="C151" s="3">
        <v>2019</v>
      </c>
      <c r="D151" s="3">
        <v>3.488</v>
      </c>
      <c r="E151" s="3">
        <v>1.0409999999999999</v>
      </c>
      <c r="F151" s="3">
        <v>2.8450000286102202</v>
      </c>
      <c r="G151" s="3">
        <v>2.0502867698669398</v>
      </c>
      <c r="H151" s="3">
        <v>1.3941909074783301</v>
      </c>
      <c r="I151" s="5"/>
      <c r="J151" s="5"/>
      <c r="K151" s="3">
        <v>0.58315838581759005</v>
      </c>
      <c r="L151" s="3">
        <v>1.145</v>
      </c>
      <c r="M151" s="3">
        <v>0.53800000000000003</v>
      </c>
      <c r="N151" s="3">
        <v>0.45500000000000002</v>
      </c>
      <c r="O151" s="3">
        <v>2.5000000000000001E-2</v>
      </c>
      <c r="P151" s="3">
        <v>0.1</v>
      </c>
      <c r="Q151" s="3"/>
    </row>
    <row r="152" spans="1:17" x14ac:dyDescent="0.25">
      <c r="A152" s="3" t="s">
        <v>61</v>
      </c>
      <c r="B152" s="3" t="s">
        <v>43</v>
      </c>
      <c r="C152" s="3">
        <v>2020</v>
      </c>
      <c r="D152" s="3">
        <v>3.4788999559999998</v>
      </c>
      <c r="E152" s="3">
        <v>0.99754899699999999</v>
      </c>
      <c r="F152" s="3">
        <v>1.8903591682421701</v>
      </c>
      <c r="G152" s="3">
        <v>5.11781727986771</v>
      </c>
      <c r="H152" s="3">
        <v>3.7321984767913801</v>
      </c>
      <c r="I152" s="5"/>
      <c r="J152" s="5"/>
      <c r="K152" s="3">
        <v>0.69573283858997903</v>
      </c>
      <c r="L152" s="3">
        <v>1.08569479</v>
      </c>
      <c r="M152" s="3">
        <v>0.49410173299999999</v>
      </c>
      <c r="N152" s="3">
        <v>0.50908940999999996</v>
      </c>
      <c r="O152" s="3">
        <v>3.3407487E-2</v>
      </c>
      <c r="P152" s="3">
        <v>0.101786368</v>
      </c>
      <c r="Q152" s="3"/>
    </row>
    <row r="153" spans="1:17" x14ac:dyDescent="0.25">
      <c r="A153" s="3" t="s">
        <v>61</v>
      </c>
      <c r="B153" s="3" t="s">
        <v>43</v>
      </c>
      <c r="C153" s="3">
        <v>2021</v>
      </c>
      <c r="D153" s="3">
        <v>3.4670000000000001</v>
      </c>
      <c r="E153" s="3">
        <v>1.099</v>
      </c>
      <c r="F153" s="3">
        <v>7.2409776558844898</v>
      </c>
      <c r="G153" s="3">
        <v>6.41</v>
      </c>
      <c r="H153" s="3">
        <v>7.14</v>
      </c>
      <c r="I153" s="5"/>
      <c r="J153" s="5"/>
      <c r="K153" s="3">
        <v>2.5256408980423202</v>
      </c>
      <c r="L153" s="3">
        <v>0.72399999999999998</v>
      </c>
      <c r="M153" s="3">
        <v>0.34</v>
      </c>
      <c r="N153" s="3">
        <v>0.53900000000000003</v>
      </c>
      <c r="O153" s="3">
        <v>2.7E-2</v>
      </c>
      <c r="P153" s="3">
        <v>8.7999999999999995E-2</v>
      </c>
      <c r="Q153" s="3"/>
    </row>
    <row r="154" spans="1:17" x14ac:dyDescent="0.25">
      <c r="A154" s="3" t="s">
        <v>61</v>
      </c>
      <c r="B154" s="3" t="s">
        <v>43</v>
      </c>
      <c r="C154" s="3">
        <v>2022</v>
      </c>
      <c r="D154" s="3">
        <v>3.4710000000000001</v>
      </c>
      <c r="E154" s="3">
        <v>1.5029999999999999</v>
      </c>
      <c r="F154" s="3">
        <v>11.665567478802</v>
      </c>
      <c r="G154" s="3">
        <v>7.9689094776285803</v>
      </c>
      <c r="H154" s="3">
        <v>10.0778558396836</v>
      </c>
      <c r="I154" s="5"/>
      <c r="J154" s="5"/>
      <c r="K154" s="3">
        <v>12.7034380639864</v>
      </c>
      <c r="L154" s="3">
        <v>0.81499999999999995</v>
      </c>
      <c r="M154" s="3">
        <v>0.28000000000000003</v>
      </c>
      <c r="N154" s="3">
        <v>0.57099999999999995</v>
      </c>
      <c r="O154" s="3">
        <v>1.2E-2</v>
      </c>
      <c r="P154" s="3">
        <v>0.10199999999999999</v>
      </c>
      <c r="Q154" s="3"/>
    </row>
    <row r="155" spans="1:17" x14ac:dyDescent="0.25">
      <c r="A155" s="3" t="s">
        <v>61</v>
      </c>
      <c r="B155" s="3" t="s">
        <v>43</v>
      </c>
      <c r="C155" s="3">
        <v>2023</v>
      </c>
      <c r="D155" s="3">
        <v>3.4350000000000001</v>
      </c>
      <c r="E155" s="3">
        <v>1.4710000000000001</v>
      </c>
      <c r="F155" s="3">
        <v>5.0676154934383</v>
      </c>
      <c r="G155" s="3">
        <v>0.84795569291207595</v>
      </c>
      <c r="H155" s="3">
        <v>11.702224586959</v>
      </c>
      <c r="I155" s="5"/>
      <c r="J155" s="5"/>
      <c r="K155" s="3">
        <v>2.2518810968068701</v>
      </c>
      <c r="L155" s="3">
        <v>1.0409999999999999</v>
      </c>
      <c r="M155" s="3">
        <v>8.6999999999999994E-2</v>
      </c>
      <c r="N155" s="3">
        <v>0.48</v>
      </c>
      <c r="O155" s="3">
        <v>2.1000000000000001E-2</v>
      </c>
      <c r="P155" s="3">
        <v>7.0999999999999994E-2</v>
      </c>
      <c r="Q155" s="3"/>
    </row>
    <row r="156" spans="1:17" x14ac:dyDescent="0.25">
      <c r="A156" s="3" t="s">
        <v>62</v>
      </c>
      <c r="B156" s="3" t="s">
        <v>45</v>
      </c>
      <c r="C156" s="3">
        <v>2015</v>
      </c>
      <c r="D156" s="3">
        <v>6.9829999999999997</v>
      </c>
      <c r="E156" s="3">
        <v>0.98124</v>
      </c>
      <c r="F156" s="3">
        <v>9.0298042297363192</v>
      </c>
      <c r="G156" s="3">
        <v>16.759281158447202</v>
      </c>
      <c r="H156" s="3">
        <v>9.7953796386718697</v>
      </c>
      <c r="I156" s="3">
        <v>8.6096105575561506</v>
      </c>
      <c r="J156" s="3">
        <v>5.9830336570739702</v>
      </c>
      <c r="K156" s="3">
        <v>7.5661750120711497</v>
      </c>
      <c r="L156" s="3">
        <v>1.2328699999999999</v>
      </c>
      <c r="M156" s="3">
        <v>0.69701999999999997</v>
      </c>
      <c r="N156" s="3">
        <v>0.49048999999999998</v>
      </c>
      <c r="O156" s="3">
        <v>0.14574000000000001</v>
      </c>
      <c r="P156" s="3">
        <v>0.17521</v>
      </c>
      <c r="Q156" s="3"/>
    </row>
    <row r="157" spans="1:17" x14ac:dyDescent="0.25">
      <c r="A157" s="3" t="s">
        <v>62</v>
      </c>
      <c r="B157" s="3" t="s">
        <v>45</v>
      </c>
      <c r="C157" s="3">
        <v>2016</v>
      </c>
      <c r="D157" s="3">
        <v>6.952</v>
      </c>
      <c r="E157" s="3">
        <v>1.08754</v>
      </c>
      <c r="F157" s="3">
        <v>8.7391281127929599</v>
      </c>
      <c r="G157" s="3">
        <v>7.2237777709960902</v>
      </c>
      <c r="H157" s="3">
        <v>12.4864749908447</v>
      </c>
      <c r="I157" s="3">
        <v>7.6149945259094203</v>
      </c>
      <c r="J157" s="3">
        <v>3.91396737098693</v>
      </c>
      <c r="K157" s="3">
        <v>8.1036043587024498</v>
      </c>
      <c r="L157" s="3">
        <v>1.03938</v>
      </c>
      <c r="M157" s="3">
        <v>0.61414999999999997</v>
      </c>
      <c r="N157" s="3">
        <v>0.40425</v>
      </c>
      <c r="O157" s="3">
        <v>0.15776000000000001</v>
      </c>
      <c r="P157" s="3">
        <v>0.14166000000000001</v>
      </c>
      <c r="Q157" s="3"/>
    </row>
    <row r="158" spans="1:17" x14ac:dyDescent="0.25">
      <c r="A158" s="3" t="s">
        <v>62</v>
      </c>
      <c r="B158" s="3" t="s">
        <v>45</v>
      </c>
      <c r="C158" s="3">
        <v>2017</v>
      </c>
      <c r="D158" s="3">
        <v>6.6350002290000001</v>
      </c>
      <c r="E158" s="3">
        <v>1.1073532100000001</v>
      </c>
      <c r="F158" s="3">
        <v>3.4460000000000002</v>
      </c>
      <c r="G158" s="3">
        <v>4.2340593338012598</v>
      </c>
      <c r="H158" s="3">
        <v>0.88573867082595803</v>
      </c>
      <c r="I158" s="3">
        <v>4.4666810035705504</v>
      </c>
      <c r="J158" s="3">
        <v>2.6296868324279701</v>
      </c>
      <c r="K158" s="3">
        <v>3.6373808828629102</v>
      </c>
      <c r="L158" s="3">
        <v>1.4313060049999999</v>
      </c>
      <c r="M158" s="3">
        <v>0.616552353</v>
      </c>
      <c r="N158" s="3">
        <v>0.437453747</v>
      </c>
      <c r="O158" s="3">
        <v>0.16234989499999999</v>
      </c>
      <c r="P158" s="3">
        <v>0.111092761</v>
      </c>
      <c r="Q158" s="3"/>
    </row>
    <row r="159" spans="1:17" x14ac:dyDescent="0.25">
      <c r="A159" s="3" t="s">
        <v>62</v>
      </c>
      <c r="B159" s="3" t="s">
        <v>45</v>
      </c>
      <c r="C159" s="3">
        <v>2018</v>
      </c>
      <c r="D159" s="3">
        <v>6.4189999999999996</v>
      </c>
      <c r="E159" s="3">
        <v>0.98599999999999999</v>
      </c>
      <c r="F159" s="3">
        <v>3.66</v>
      </c>
      <c r="G159" s="3">
        <v>5.8261380195617596</v>
      </c>
      <c r="H159" s="3">
        <v>0.87046617269515902</v>
      </c>
      <c r="I159" s="3">
        <v>3.2843871116638099</v>
      </c>
      <c r="J159" s="3">
        <v>11.277132987976</v>
      </c>
      <c r="K159" s="3">
        <v>3.2854398975086498</v>
      </c>
      <c r="L159" s="3">
        <v>1.474</v>
      </c>
      <c r="M159" s="3">
        <v>0.67500000000000004</v>
      </c>
      <c r="N159" s="3">
        <v>0.49299999999999999</v>
      </c>
      <c r="O159" s="3">
        <v>0.11</v>
      </c>
      <c r="P159" s="3">
        <v>8.7999999999999995E-2</v>
      </c>
      <c r="Q159" s="3"/>
    </row>
    <row r="160" spans="1:17" x14ac:dyDescent="0.25">
      <c r="A160" s="3" t="s">
        <v>62</v>
      </c>
      <c r="B160" s="3" t="s">
        <v>45</v>
      </c>
      <c r="C160" s="3">
        <v>2019</v>
      </c>
      <c r="D160" s="3">
        <v>6.3</v>
      </c>
      <c r="E160" s="3">
        <v>1.004</v>
      </c>
      <c r="F160" s="3">
        <v>3.73300004005432</v>
      </c>
      <c r="G160" s="3">
        <v>4.7782640457153303</v>
      </c>
      <c r="H160" s="3">
        <v>4.8573508262634197</v>
      </c>
      <c r="I160" s="3">
        <v>3.51549768447875</v>
      </c>
      <c r="J160" s="3">
        <v>29.169977188110298</v>
      </c>
      <c r="K160" s="3">
        <v>4.15427431602913</v>
      </c>
      <c r="L160" s="3">
        <v>1.4390000000000001</v>
      </c>
      <c r="M160" s="3">
        <v>0.80200000000000005</v>
      </c>
      <c r="N160" s="3">
        <v>0.39</v>
      </c>
      <c r="O160" s="3">
        <v>9.9000000000000005E-2</v>
      </c>
      <c r="P160" s="3">
        <v>8.5999999999999993E-2</v>
      </c>
      <c r="Q160" s="3"/>
    </row>
    <row r="161" spans="1:17" x14ac:dyDescent="0.25">
      <c r="A161" s="3" t="s">
        <v>62</v>
      </c>
      <c r="B161" s="3" t="s">
        <v>45</v>
      </c>
      <c r="C161" s="3">
        <v>2020</v>
      </c>
      <c r="D161" s="3">
        <v>6.3755998610000004</v>
      </c>
      <c r="E161" s="3">
        <v>0.95267987300000001</v>
      </c>
      <c r="F161" s="3">
        <v>3.2117680380335099</v>
      </c>
      <c r="G161" s="3">
        <v>2.3382108211517298</v>
      </c>
      <c r="H161" s="3">
        <v>9.0701503753662092</v>
      </c>
      <c r="I161" s="3">
        <v>2.2325150966644198</v>
      </c>
      <c r="J161" s="3">
        <v>17.830389022827099</v>
      </c>
      <c r="K161" s="3">
        <v>4.8053697396731696</v>
      </c>
      <c r="L161" s="3">
        <v>1.3634641169999999</v>
      </c>
      <c r="M161" s="3">
        <v>0.76611906299999999</v>
      </c>
      <c r="N161" s="3">
        <v>0.48329272899999998</v>
      </c>
      <c r="O161" s="3">
        <v>0.13167458800000001</v>
      </c>
      <c r="P161" s="3">
        <v>0.106518604</v>
      </c>
      <c r="Q161" s="3"/>
    </row>
    <row r="162" spans="1:17" x14ac:dyDescent="0.25">
      <c r="A162" s="3" t="s">
        <v>62</v>
      </c>
      <c r="B162" s="3" t="s">
        <v>45</v>
      </c>
      <c r="C162" s="3">
        <v>2021</v>
      </c>
      <c r="D162" s="3">
        <v>6.33</v>
      </c>
      <c r="E162" s="3">
        <v>1.028</v>
      </c>
      <c r="F162" s="3">
        <v>8.30166</v>
      </c>
      <c r="G162" s="3">
        <v>9.5757628833034207</v>
      </c>
      <c r="H162" s="3">
        <v>12.717979571330201</v>
      </c>
      <c r="I162" s="3">
        <v>5.0956229606527002</v>
      </c>
      <c r="J162" s="3">
        <v>35.413119567705202</v>
      </c>
      <c r="K162" s="3">
        <v>11.096370431778499</v>
      </c>
      <c r="L162" s="3">
        <v>0.94399999999999995</v>
      </c>
      <c r="M162" s="3">
        <v>0.57099999999999995</v>
      </c>
      <c r="N162" s="3">
        <v>0.51400000000000001</v>
      </c>
      <c r="O162" s="3">
        <v>0.14199999999999999</v>
      </c>
      <c r="P162" s="3">
        <v>0.11700000000000001</v>
      </c>
      <c r="Q162" s="3"/>
    </row>
    <row r="163" spans="1:17" x14ac:dyDescent="0.25">
      <c r="A163" s="3" t="s">
        <v>62</v>
      </c>
      <c r="B163" s="3" t="s">
        <v>45</v>
      </c>
      <c r="C163" s="3">
        <v>2022</v>
      </c>
      <c r="D163" s="3">
        <v>6.2930000000000001</v>
      </c>
      <c r="E163" s="3">
        <v>1.462</v>
      </c>
      <c r="F163" s="3">
        <v>9.2801069999999992</v>
      </c>
      <c r="G163" s="3">
        <v>48.671860110539299</v>
      </c>
      <c r="H163" s="3">
        <v>11.5013401130016</v>
      </c>
      <c r="I163" s="3">
        <v>8.7595183039498501</v>
      </c>
      <c r="J163" s="3">
        <v>14.113472810793301</v>
      </c>
      <c r="K163" s="3">
        <v>7.6495617376434097</v>
      </c>
      <c r="L163" s="3">
        <v>1.044</v>
      </c>
      <c r="M163" s="3">
        <v>0.61499999999999999</v>
      </c>
      <c r="N163" s="3">
        <v>0.54600000000000004</v>
      </c>
      <c r="O163" s="3">
        <v>0.13100000000000001</v>
      </c>
      <c r="P163" s="3">
        <v>0.13400000000000001</v>
      </c>
      <c r="Q163" s="3"/>
    </row>
    <row r="164" spans="1:17" x14ac:dyDescent="0.25">
      <c r="A164" s="3" t="s">
        <v>62</v>
      </c>
      <c r="B164" s="3" t="s">
        <v>45</v>
      </c>
      <c r="C164" s="3">
        <v>2023</v>
      </c>
      <c r="D164" s="3">
        <v>6.125</v>
      </c>
      <c r="E164" s="3">
        <v>1.454</v>
      </c>
      <c r="F164" s="3">
        <v>4.5935628228320402</v>
      </c>
      <c r="G164" s="3">
        <v>-6.6457370927281598</v>
      </c>
      <c r="H164" s="3">
        <v>3.9875029875701999</v>
      </c>
      <c r="I164" s="3">
        <v>6.54504966249739</v>
      </c>
      <c r="J164" s="5"/>
      <c r="K164" s="3">
        <v>4.6888996701626597</v>
      </c>
      <c r="L164" s="3">
        <v>1.25</v>
      </c>
      <c r="M164" s="3">
        <v>0.38700000000000001</v>
      </c>
      <c r="N164" s="3">
        <v>0.55800000000000005</v>
      </c>
      <c r="O164" s="3">
        <v>0.13100000000000001</v>
      </c>
      <c r="P164" s="3">
        <v>0.13700000000000001</v>
      </c>
      <c r="Q164" s="3"/>
    </row>
    <row r="165" spans="1:17" x14ac:dyDescent="0.25">
      <c r="A165" s="3" t="s">
        <v>63</v>
      </c>
      <c r="B165" s="3" t="s">
        <v>39</v>
      </c>
      <c r="C165" s="3">
        <v>2015</v>
      </c>
      <c r="D165" s="3">
        <v>4.218</v>
      </c>
      <c r="E165" s="3">
        <v>1.0121599999999999</v>
      </c>
      <c r="F165" s="3">
        <v>-9.7897022962570093E-2</v>
      </c>
      <c r="G165" s="3">
        <v>3.4155972003936701</v>
      </c>
      <c r="H165" s="3">
        <v>0.32519966363906799</v>
      </c>
      <c r="I165" s="3">
        <v>1.615689462453</v>
      </c>
      <c r="J165" s="3">
        <v>-1.97696185111999</v>
      </c>
      <c r="K165" s="3">
        <v>2.4422225864612299</v>
      </c>
      <c r="L165" s="3">
        <v>1.1061399999999999</v>
      </c>
      <c r="M165" s="3">
        <v>0.76649</v>
      </c>
      <c r="N165" s="3">
        <v>0.30586999999999998</v>
      </c>
      <c r="O165" s="3">
        <v>0.11921</v>
      </c>
      <c r="P165" s="3">
        <v>8.7200000000000003E-3</v>
      </c>
      <c r="Q165" s="3"/>
    </row>
    <row r="166" spans="1:17" x14ac:dyDescent="0.25">
      <c r="A166" s="3" t="s">
        <v>63</v>
      </c>
      <c r="B166" s="3" t="s">
        <v>39</v>
      </c>
      <c r="C166" s="3">
        <v>2016</v>
      </c>
      <c r="D166" s="3">
        <v>4.2169999999999996</v>
      </c>
      <c r="E166" s="3">
        <v>1.1130599999999999</v>
      </c>
      <c r="F166" s="3">
        <v>-0.79525911808013905</v>
      </c>
      <c r="G166" s="3">
        <v>2.8444100171327501E-2</v>
      </c>
      <c r="H166" s="3">
        <v>-0.23344020545482599</v>
      </c>
      <c r="I166" s="3">
        <v>2.0199999999999898</v>
      </c>
      <c r="J166" s="3">
        <v>-3.1085937023162802</v>
      </c>
      <c r="K166" s="3">
        <v>2.53799999999999</v>
      </c>
      <c r="L166" s="3">
        <v>0.92542000000000002</v>
      </c>
      <c r="M166" s="3">
        <v>0.67806</v>
      </c>
      <c r="N166" s="3">
        <v>0.21218999999999999</v>
      </c>
      <c r="O166" s="3">
        <v>0.12792999999999999</v>
      </c>
      <c r="P166" s="3">
        <v>6.1500000000000001E-3</v>
      </c>
      <c r="Q166" s="3"/>
    </row>
    <row r="167" spans="1:17" x14ac:dyDescent="0.25">
      <c r="A167" s="3" t="s">
        <v>63</v>
      </c>
      <c r="B167" s="3" t="s">
        <v>39</v>
      </c>
      <c r="C167" s="3">
        <v>2017</v>
      </c>
      <c r="D167" s="3">
        <v>4.7140002250000004</v>
      </c>
      <c r="E167" s="3">
        <v>1.161459088</v>
      </c>
      <c r="F167" s="3">
        <v>1.1879999999999999</v>
      </c>
      <c r="G167" s="3">
        <v>3.1758515834808301</v>
      </c>
      <c r="H167" s="3">
        <v>3.9875705242156898</v>
      </c>
      <c r="I167" s="3">
        <v>1.58792393648304</v>
      </c>
      <c r="J167" s="3">
        <v>4.9802193641662598</v>
      </c>
      <c r="K167" s="3">
        <v>3.94195322709629</v>
      </c>
      <c r="L167" s="3">
        <v>1.434379458</v>
      </c>
      <c r="M167" s="3">
        <v>0.70821767999999996</v>
      </c>
      <c r="N167" s="3">
        <v>0.28923171800000003</v>
      </c>
      <c r="O167" s="3">
        <v>0.113177694</v>
      </c>
      <c r="P167" s="3">
        <v>1.1051531E-2</v>
      </c>
      <c r="Q167" s="3"/>
    </row>
    <row r="168" spans="1:17" x14ac:dyDescent="0.25">
      <c r="A168" s="3" t="s">
        <v>63</v>
      </c>
      <c r="B168" s="3" t="s">
        <v>39</v>
      </c>
      <c r="C168" s="3">
        <v>2018</v>
      </c>
      <c r="D168" s="3">
        <v>4.9329999999999998</v>
      </c>
      <c r="E168" s="3">
        <v>1.054</v>
      </c>
      <c r="F168" s="3">
        <v>2.81</v>
      </c>
      <c r="G168" s="3">
        <v>4.5942864418029696</v>
      </c>
      <c r="H168" s="3">
        <v>2.19681644439697</v>
      </c>
      <c r="I168" s="3">
        <v>1.60169818602855</v>
      </c>
      <c r="J168" s="3">
        <v>3.9491989612579301</v>
      </c>
      <c r="K168" s="3">
        <v>4.0129480202664602</v>
      </c>
      <c r="L168" s="3">
        <v>1.5149999999999999</v>
      </c>
      <c r="M168" s="3">
        <v>0.71199999999999997</v>
      </c>
      <c r="N168" s="3">
        <v>0.35899999999999999</v>
      </c>
      <c r="O168" s="3">
        <v>6.4000000000000001E-2</v>
      </c>
      <c r="P168" s="3">
        <v>8.9999999999999993E-3</v>
      </c>
      <c r="Q168" s="3"/>
    </row>
    <row r="169" spans="1:17" x14ac:dyDescent="0.25">
      <c r="A169" s="3" t="s">
        <v>63</v>
      </c>
      <c r="B169" s="3" t="s">
        <v>39</v>
      </c>
      <c r="C169" s="3">
        <v>2019</v>
      </c>
      <c r="D169" s="3">
        <v>5.0110000000000001</v>
      </c>
      <c r="E169" s="3">
        <v>1.0920000000000001</v>
      </c>
      <c r="F169" s="3">
        <v>2.4570000171661301</v>
      </c>
      <c r="G169" s="3">
        <v>3.8983407020568799</v>
      </c>
      <c r="H169" s="3">
        <v>5.19020271301269</v>
      </c>
      <c r="I169" s="3">
        <v>1.54795821462489</v>
      </c>
      <c r="J169" s="3">
        <v>3.07401394844055</v>
      </c>
      <c r="K169" s="3">
        <v>5.2500067654726399</v>
      </c>
      <c r="L169" s="3">
        <v>1.5129999999999999</v>
      </c>
      <c r="M169" s="3">
        <v>0.81499999999999995</v>
      </c>
      <c r="N169" s="3">
        <v>0.311</v>
      </c>
      <c r="O169" s="3">
        <v>8.1000000000000003E-2</v>
      </c>
      <c r="P169" s="3">
        <v>4.0000000000000001E-3</v>
      </c>
      <c r="Q169" s="3"/>
    </row>
    <row r="170" spans="1:17" x14ac:dyDescent="0.25">
      <c r="A170" s="3" t="s">
        <v>63</v>
      </c>
      <c r="B170" s="3" t="s">
        <v>39</v>
      </c>
      <c r="C170" s="3">
        <v>2020</v>
      </c>
      <c r="D170" s="3">
        <v>5.1015000339999999</v>
      </c>
      <c r="E170" s="3">
        <v>1.046554685</v>
      </c>
      <c r="F170" s="3">
        <v>1.6734120142918101</v>
      </c>
      <c r="G170" s="3">
        <v>0.99283779364834002</v>
      </c>
      <c r="H170" s="3">
        <v>5.3650374412536603</v>
      </c>
      <c r="I170" s="3">
        <v>1.4963059945758801</v>
      </c>
      <c r="J170" s="3">
        <v>-1.9041064464330899</v>
      </c>
      <c r="K170" s="3">
        <v>2.0192497235958999</v>
      </c>
      <c r="L170" s="3">
        <v>1.4605789179999999</v>
      </c>
      <c r="M170" s="3">
        <v>0.77777689699999997</v>
      </c>
      <c r="N170" s="3">
        <v>0.41782006599999999</v>
      </c>
      <c r="O170" s="3">
        <v>0.10383371299999999</v>
      </c>
      <c r="P170" s="3">
        <v>0</v>
      </c>
      <c r="Q170" s="3"/>
    </row>
    <row r="171" spans="1:17" x14ac:dyDescent="0.25">
      <c r="A171" s="3" t="s">
        <v>63</v>
      </c>
      <c r="B171" s="3" t="s">
        <v>39</v>
      </c>
      <c r="C171" s="3">
        <v>2021</v>
      </c>
      <c r="D171" s="3">
        <v>5.266</v>
      </c>
      <c r="E171" s="3">
        <v>1.181</v>
      </c>
      <c r="F171" s="3">
        <v>2.7867325497900399</v>
      </c>
      <c r="G171" s="3">
        <v>10.6</v>
      </c>
      <c r="H171" s="3">
        <v>2.77</v>
      </c>
      <c r="I171" s="3">
        <v>1.3913203722473</v>
      </c>
      <c r="J171" s="3">
        <v>15.2946679139382</v>
      </c>
      <c r="K171" s="3">
        <v>7.1326817888316096</v>
      </c>
      <c r="L171" s="3">
        <v>1.0549999999999999</v>
      </c>
      <c r="M171" s="3">
        <v>0.58299999999999996</v>
      </c>
      <c r="N171" s="3">
        <v>0.49399999999999999</v>
      </c>
      <c r="O171" s="3">
        <v>0.125</v>
      </c>
      <c r="P171" s="3">
        <v>5.0000000000000001E-3</v>
      </c>
      <c r="Q171" s="3"/>
    </row>
    <row r="172" spans="1:17" x14ac:dyDescent="0.25">
      <c r="A172" s="3" t="s">
        <v>63</v>
      </c>
      <c r="B172" s="3" t="s">
        <v>39</v>
      </c>
      <c r="C172" s="3">
        <v>2022</v>
      </c>
      <c r="D172" s="3">
        <v>5.3710000000000004</v>
      </c>
      <c r="E172" s="3">
        <v>1.625</v>
      </c>
      <c r="F172" s="3">
        <v>15.3252589264366</v>
      </c>
      <c r="G172" s="3">
        <v>19.5525780284521</v>
      </c>
      <c r="H172" s="3">
        <v>20.193256149752798</v>
      </c>
      <c r="I172" s="3">
        <v>10.383880546625001</v>
      </c>
      <c r="J172" s="3">
        <v>37.843137254902302</v>
      </c>
      <c r="K172" s="3">
        <v>15.0937814442003</v>
      </c>
      <c r="L172" s="3">
        <v>1.163</v>
      </c>
      <c r="M172" s="3">
        <v>0.64</v>
      </c>
      <c r="N172" s="3">
        <v>0.56299999999999994</v>
      </c>
      <c r="O172" s="3">
        <v>0.123</v>
      </c>
      <c r="P172" s="3">
        <v>2.1000000000000001E-2</v>
      </c>
      <c r="Q172" s="3"/>
    </row>
    <row r="173" spans="1:17" x14ac:dyDescent="0.25">
      <c r="A173" s="3" t="s">
        <v>63</v>
      </c>
      <c r="B173" s="3" t="s">
        <v>39</v>
      </c>
      <c r="C173" s="3">
        <v>2023</v>
      </c>
      <c r="D173" s="3">
        <v>5.4660000000000002</v>
      </c>
      <c r="E173" s="3">
        <v>1.635</v>
      </c>
      <c r="F173" s="3">
        <v>9.4428414008856407</v>
      </c>
      <c r="G173" s="3">
        <v>7.7072220451302096</v>
      </c>
      <c r="H173" s="3">
        <v>13.692518376956199</v>
      </c>
      <c r="I173" s="3">
        <v>9.8498540247462891</v>
      </c>
      <c r="J173" s="3">
        <v>-9.1970373277088502</v>
      </c>
      <c r="K173" s="3">
        <v>8.1874430942859995</v>
      </c>
      <c r="L173" s="3">
        <v>1.4570000000000001</v>
      </c>
      <c r="M173" s="3">
        <v>0.40799999999999997</v>
      </c>
      <c r="N173" s="3">
        <v>0.55700000000000005</v>
      </c>
      <c r="O173" s="3">
        <v>0.106</v>
      </c>
      <c r="P173" s="3">
        <v>1.2999999999999999E-2</v>
      </c>
      <c r="Q173" s="3"/>
    </row>
    <row r="174" spans="1:17" x14ac:dyDescent="0.25">
      <c r="A174" s="3" t="s">
        <v>64</v>
      </c>
      <c r="B174" s="3" t="s">
        <v>43</v>
      </c>
      <c r="C174" s="3">
        <v>2015</v>
      </c>
      <c r="D174" s="3">
        <v>3.5870000000000002</v>
      </c>
      <c r="E174" s="3">
        <v>0.25812000000000002</v>
      </c>
      <c r="F174" s="3">
        <v>0.94999998807907104</v>
      </c>
      <c r="G174" s="3">
        <v>3.0545239999999998</v>
      </c>
      <c r="H174" s="3">
        <v>2.40511775016784</v>
      </c>
      <c r="I174" s="5"/>
      <c r="J174" s="5"/>
      <c r="K174" s="3">
        <v>-2.2243950134441501</v>
      </c>
      <c r="L174" s="3">
        <v>0.85187999999999997</v>
      </c>
      <c r="M174" s="3">
        <v>0.27124999999999999</v>
      </c>
      <c r="N174" s="3">
        <v>0.39493</v>
      </c>
      <c r="O174" s="3">
        <v>0.21747</v>
      </c>
      <c r="P174" s="3">
        <v>0.12831999999999999</v>
      </c>
      <c r="Q174" s="3"/>
    </row>
    <row r="175" spans="1:17" x14ac:dyDescent="0.25">
      <c r="A175" s="3" t="s">
        <v>64</v>
      </c>
      <c r="B175" s="3" t="s">
        <v>43</v>
      </c>
      <c r="C175" s="3">
        <v>2016</v>
      </c>
      <c r="D175" s="3">
        <v>3.7389999999999999</v>
      </c>
      <c r="E175" s="3">
        <v>0.31995000000000001</v>
      </c>
      <c r="F175" s="3">
        <v>-0.239999994635581</v>
      </c>
      <c r="G175" s="3">
        <v>0.66153120994567804</v>
      </c>
      <c r="H175" s="3">
        <v>0.96243798732757502</v>
      </c>
      <c r="I175" s="5"/>
      <c r="J175" s="5"/>
      <c r="K175" s="3">
        <v>2.5169999999999901</v>
      </c>
      <c r="L175" s="3">
        <v>0.63053999999999999</v>
      </c>
      <c r="M175" s="3">
        <v>0.21296999999999999</v>
      </c>
      <c r="N175" s="3">
        <v>0.3337</v>
      </c>
      <c r="O175" s="3">
        <v>0.24353</v>
      </c>
      <c r="P175" s="3">
        <v>0.12533</v>
      </c>
      <c r="Q175" s="3"/>
    </row>
    <row r="176" spans="1:17" x14ac:dyDescent="0.25">
      <c r="A176" s="3" t="s">
        <v>64</v>
      </c>
      <c r="B176" s="3" t="s">
        <v>43</v>
      </c>
      <c r="C176" s="3">
        <v>2017</v>
      </c>
      <c r="D176" s="3">
        <v>4.0320000650000001</v>
      </c>
      <c r="E176" s="3">
        <v>0.35022771400000002</v>
      </c>
      <c r="F176" s="3">
        <v>0.35099999999999998</v>
      </c>
      <c r="G176" s="3">
        <v>-0.34863066673278797</v>
      </c>
      <c r="H176" s="3">
        <v>0.42683359980583102</v>
      </c>
      <c r="I176" s="5"/>
      <c r="J176" s="5"/>
      <c r="K176" s="3">
        <v>2.00064379566316</v>
      </c>
      <c r="L176" s="3">
        <v>1.043280005</v>
      </c>
      <c r="M176" s="3">
        <v>0.21584425900000001</v>
      </c>
      <c r="N176" s="3">
        <v>0.32436785099999998</v>
      </c>
      <c r="O176" s="3">
        <v>0.25086468499999998</v>
      </c>
      <c r="P176" s="3">
        <v>0.120328106</v>
      </c>
      <c r="Q176" s="3"/>
    </row>
    <row r="177" spans="1:17" x14ac:dyDescent="0.25">
      <c r="A177" s="3" t="s">
        <v>64</v>
      </c>
      <c r="B177" s="3" t="s">
        <v>43</v>
      </c>
      <c r="C177" s="3">
        <v>2018</v>
      </c>
      <c r="D177" s="3">
        <v>4.4240000000000004</v>
      </c>
      <c r="E177" s="3">
        <v>0.314</v>
      </c>
      <c r="F177" s="3">
        <v>1.96</v>
      </c>
      <c r="G177" s="3">
        <v>-0.71834819999999999</v>
      </c>
      <c r="H177" s="3">
        <v>3.3728554103494499</v>
      </c>
      <c r="I177" s="5"/>
      <c r="J177" s="5"/>
      <c r="K177" s="3">
        <v>2.37644403641649</v>
      </c>
      <c r="L177" s="3">
        <v>1.097</v>
      </c>
      <c r="M177" s="3">
        <v>0.254</v>
      </c>
      <c r="N177" s="3">
        <v>0.312</v>
      </c>
      <c r="O177" s="3">
        <v>0.17499999999999999</v>
      </c>
      <c r="P177" s="3">
        <v>0.128</v>
      </c>
      <c r="Q177" s="3"/>
    </row>
    <row r="178" spans="1:17" x14ac:dyDescent="0.25">
      <c r="A178" s="3" t="s">
        <v>64</v>
      </c>
      <c r="B178" s="3" t="s">
        <v>43</v>
      </c>
      <c r="C178" s="3">
        <v>2019</v>
      </c>
      <c r="D178" s="3">
        <v>4.5869999999999997</v>
      </c>
      <c r="E178" s="3">
        <v>0.33100000000000002</v>
      </c>
      <c r="F178" s="3">
        <v>-3.23300004005432</v>
      </c>
      <c r="G178" s="3">
        <v>1.4012303352355899</v>
      </c>
      <c r="H178" s="3">
        <v>-6.4333739280700604</v>
      </c>
      <c r="I178" s="5"/>
      <c r="J178" s="5"/>
      <c r="K178" s="3">
        <v>-2.9882394701689798</v>
      </c>
      <c r="L178" s="3">
        <v>1.056</v>
      </c>
      <c r="M178" s="3">
        <v>0.38</v>
      </c>
      <c r="N178" s="3">
        <v>0.255</v>
      </c>
      <c r="O178" s="3">
        <v>0.17699999999999999</v>
      </c>
      <c r="P178" s="3">
        <v>0.113</v>
      </c>
      <c r="Q178" s="3"/>
    </row>
    <row r="179" spans="1:17" x14ac:dyDescent="0.25">
      <c r="A179" s="3" t="s">
        <v>64</v>
      </c>
      <c r="B179" s="3" t="s">
        <v>43</v>
      </c>
      <c r="C179" s="3">
        <v>2020</v>
      </c>
      <c r="D179" s="3">
        <v>4.7687001230000003</v>
      </c>
      <c r="E179" s="3">
        <v>0.30246764399999998</v>
      </c>
      <c r="F179" s="3">
        <v>1.8844399378194201</v>
      </c>
      <c r="G179" s="3">
        <v>-1.4823241899464901</v>
      </c>
      <c r="H179" s="3">
        <v>3.7644944190978999</v>
      </c>
      <c r="I179" s="5"/>
      <c r="J179" s="5"/>
      <c r="K179" s="3">
        <v>2.24064552159762</v>
      </c>
      <c r="L179" s="3">
        <v>0.92938589999999999</v>
      </c>
      <c r="M179" s="3">
        <v>0.31283387499999998</v>
      </c>
      <c r="N179" s="3">
        <v>0.32239815599999999</v>
      </c>
      <c r="O179" s="3">
        <v>0.18639060900000001</v>
      </c>
      <c r="P179" s="3">
        <v>0.12640805499999999</v>
      </c>
      <c r="Q179" s="3"/>
    </row>
    <row r="180" spans="1:17" x14ac:dyDescent="0.25">
      <c r="A180" s="3" t="s">
        <v>64</v>
      </c>
      <c r="B180" s="3" t="s">
        <v>43</v>
      </c>
      <c r="C180" s="3">
        <v>2021</v>
      </c>
      <c r="D180" s="3">
        <v>4.8339999999999996</v>
      </c>
      <c r="E180" s="3">
        <v>0.36399999999999999</v>
      </c>
      <c r="F180" s="3">
        <v>3.8479999999999901</v>
      </c>
      <c r="G180" s="3">
        <v>1.99</v>
      </c>
      <c r="H180" s="3">
        <v>6.82</v>
      </c>
      <c r="I180" s="5"/>
      <c r="J180" s="5"/>
      <c r="K180" s="3">
        <v>-0.81661009868461198</v>
      </c>
      <c r="L180" s="3">
        <v>0.47199999999999998</v>
      </c>
      <c r="M180" s="3">
        <v>0.17899999999999999</v>
      </c>
      <c r="N180" s="3">
        <v>0.38100000000000001</v>
      </c>
      <c r="O180" s="3">
        <v>0.182</v>
      </c>
      <c r="P180" s="3">
        <v>0.122</v>
      </c>
      <c r="Q180" s="3"/>
    </row>
    <row r="181" spans="1:17" x14ac:dyDescent="0.25">
      <c r="A181" s="3" t="s">
        <v>64</v>
      </c>
      <c r="B181" s="3" t="s">
        <v>43</v>
      </c>
      <c r="C181" s="3">
        <v>2022</v>
      </c>
      <c r="D181" s="3">
        <v>4.67</v>
      </c>
      <c r="E181" s="3">
        <v>0.77900000000000003</v>
      </c>
      <c r="F181" s="3">
        <v>14.2902354303358</v>
      </c>
      <c r="G181" s="3">
        <v>3.3754933882631302</v>
      </c>
      <c r="H181" s="3">
        <v>25.1964980608569</v>
      </c>
      <c r="I181" s="5"/>
      <c r="J181" s="5"/>
      <c r="K181" s="3">
        <v>-0.81450341565949003</v>
      </c>
      <c r="L181" s="3">
        <v>0.56499999999999995</v>
      </c>
      <c r="M181" s="3">
        <v>0.32</v>
      </c>
      <c r="N181" s="3">
        <v>0.38200000000000001</v>
      </c>
      <c r="O181" s="3">
        <v>0.186</v>
      </c>
      <c r="P181" s="3">
        <v>0.126</v>
      </c>
      <c r="Q181" s="3"/>
    </row>
    <row r="182" spans="1:17" x14ac:dyDescent="0.25">
      <c r="A182" s="3" t="s">
        <v>64</v>
      </c>
      <c r="B182" s="3" t="s">
        <v>43</v>
      </c>
      <c r="C182" s="3">
        <v>2023</v>
      </c>
      <c r="D182" s="3">
        <v>4.6379999999999999</v>
      </c>
      <c r="E182" s="3">
        <v>0.76800000000000002</v>
      </c>
      <c r="F182" s="3">
        <v>0.74291042866884105</v>
      </c>
      <c r="G182" s="3">
        <v>9.8478358999961007</v>
      </c>
      <c r="H182" s="3">
        <v>-1.37734660151442</v>
      </c>
      <c r="I182" s="5"/>
      <c r="J182" s="5"/>
      <c r="K182" s="3">
        <v>1.4336738100006701</v>
      </c>
      <c r="L182" s="3">
        <v>0.81399999999999995</v>
      </c>
      <c r="M182" s="3">
        <v>0.107</v>
      </c>
      <c r="N182" s="3">
        <v>0.41899999999999998</v>
      </c>
      <c r="O182" s="3">
        <v>0.188</v>
      </c>
      <c r="P182" s="3">
        <v>0.113</v>
      </c>
      <c r="Q182" s="3"/>
    </row>
    <row r="183" spans="1:17" x14ac:dyDescent="0.25">
      <c r="A183" s="3" t="s">
        <v>65</v>
      </c>
      <c r="B183" s="3" t="s">
        <v>43</v>
      </c>
      <c r="C183" s="3">
        <v>2015</v>
      </c>
      <c r="D183" s="3">
        <v>2.9049999999999998</v>
      </c>
      <c r="E183" s="3">
        <v>1.5299999999999999E-2</v>
      </c>
      <c r="F183" s="3">
        <v>5.5399999618530202</v>
      </c>
      <c r="G183" s="3">
        <v>3.6900000572204501</v>
      </c>
      <c r="H183" s="3">
        <v>5.7899999618530202</v>
      </c>
      <c r="I183" s="5"/>
      <c r="J183" s="5"/>
      <c r="K183" s="3">
        <v>21.3340013188431</v>
      </c>
      <c r="L183" s="3">
        <v>0.41587000000000002</v>
      </c>
      <c r="M183" s="3">
        <v>0.22395999999999999</v>
      </c>
      <c r="N183" s="3">
        <v>0.11849999999999999</v>
      </c>
      <c r="O183" s="3">
        <v>0.19727</v>
      </c>
      <c r="P183" s="3">
        <v>0.10062</v>
      </c>
      <c r="Q183" s="3"/>
    </row>
    <row r="184" spans="1:17" x14ac:dyDescent="0.25">
      <c r="A184" s="3" t="s">
        <v>65</v>
      </c>
      <c r="B184" s="3" t="s">
        <v>43</v>
      </c>
      <c r="C184" s="3">
        <v>2016</v>
      </c>
      <c r="D184" s="3">
        <v>2.9049999999999998</v>
      </c>
      <c r="E184" s="3">
        <v>6.8309999999999996E-2</v>
      </c>
      <c r="F184" s="3">
        <v>5.5599999427795401</v>
      </c>
      <c r="G184" s="3">
        <v>0.97000002861022905</v>
      </c>
      <c r="H184" s="3">
        <v>7.1799998283386204</v>
      </c>
      <c r="I184" s="5"/>
      <c r="J184" s="5"/>
      <c r="K184" s="3">
        <v>0.96061208140853405</v>
      </c>
      <c r="L184" s="3">
        <v>0.23441999999999999</v>
      </c>
      <c r="M184" s="3">
        <v>0.15747</v>
      </c>
      <c r="N184" s="3">
        <v>4.3200000000000002E-2</v>
      </c>
      <c r="O184" s="3">
        <v>0.2029</v>
      </c>
      <c r="P184" s="3">
        <v>9.4189999999999996E-2</v>
      </c>
      <c r="Q184" s="3"/>
    </row>
    <row r="185" spans="1:17" x14ac:dyDescent="0.25">
      <c r="A185" s="3" t="s">
        <v>65</v>
      </c>
      <c r="B185" s="3" t="s">
        <v>43</v>
      </c>
      <c r="C185" s="3">
        <v>2017</v>
      </c>
      <c r="D185" s="3">
        <v>2.9049999710000001</v>
      </c>
      <c r="E185" s="3">
        <v>9.1622569000000001E-2</v>
      </c>
      <c r="F185" s="3">
        <v>16.643000000000001</v>
      </c>
      <c r="G185" s="3">
        <v>7.4099998474120996</v>
      </c>
      <c r="H185" s="3">
        <v>23.959999084472599</v>
      </c>
      <c r="I185" s="5"/>
      <c r="J185" s="5"/>
      <c r="K185" s="3">
        <v>11.449124904310899</v>
      </c>
      <c r="L185" s="3">
        <v>0.62979358399999996</v>
      </c>
      <c r="M185" s="3">
        <v>0.15161079199999999</v>
      </c>
      <c r="N185" s="3">
        <v>5.9900753000000001E-2</v>
      </c>
      <c r="O185" s="3">
        <v>0.20443518499999999</v>
      </c>
      <c r="P185" s="3">
        <v>8.4147945000000002E-2</v>
      </c>
      <c r="Q185" s="3"/>
    </row>
    <row r="186" spans="1:17" x14ac:dyDescent="0.25">
      <c r="A186" s="3" t="s">
        <v>65</v>
      </c>
      <c r="B186" s="3" t="s">
        <v>43</v>
      </c>
      <c r="C186" s="3">
        <v>2018</v>
      </c>
      <c r="D186" s="3">
        <v>2.9049999999999998</v>
      </c>
      <c r="E186" s="3">
        <v>9.0999999999999998E-2</v>
      </c>
      <c r="F186" s="3">
        <v>-2.81</v>
      </c>
      <c r="G186" s="3">
        <v>10.829999923706</v>
      </c>
      <c r="H186" s="3">
        <v>-10.9899997711181</v>
      </c>
      <c r="I186" s="5"/>
      <c r="J186" s="5"/>
      <c r="K186" s="3">
        <v>-2.8509865542581201</v>
      </c>
      <c r="L186" s="3">
        <v>0.627</v>
      </c>
      <c r="M186" s="3">
        <v>0.14499999999999999</v>
      </c>
      <c r="N186" s="3">
        <v>6.5000000000000002E-2</v>
      </c>
      <c r="O186" s="3">
        <v>0.14899999999999999</v>
      </c>
      <c r="P186" s="3">
        <v>7.5999999999999998E-2</v>
      </c>
      <c r="Q186" s="3"/>
    </row>
    <row r="187" spans="1:17" x14ac:dyDescent="0.25">
      <c r="A187" s="3" t="s">
        <v>65</v>
      </c>
      <c r="B187" s="3" t="s">
        <v>43</v>
      </c>
      <c r="C187" s="3">
        <v>2019</v>
      </c>
      <c r="D187" s="3">
        <v>3.7749999999999999</v>
      </c>
      <c r="E187" s="3">
        <v>4.5999999999999999E-2</v>
      </c>
      <c r="F187" s="3">
        <v>-0.70899999141693104</v>
      </c>
      <c r="G187" s="3">
        <v>7.41029768547111</v>
      </c>
      <c r="H187" s="3">
        <v>-2.8264831726111401</v>
      </c>
      <c r="I187" s="5"/>
      <c r="J187" s="5"/>
      <c r="K187" s="3">
        <v>-0.63761715206281899</v>
      </c>
      <c r="L187" s="3">
        <v>0.44700000000000001</v>
      </c>
      <c r="M187" s="3">
        <v>0.38</v>
      </c>
      <c r="N187" s="3">
        <v>0.22</v>
      </c>
      <c r="O187" s="3">
        <v>0.17599999999999999</v>
      </c>
      <c r="P187" s="3">
        <v>0.18</v>
      </c>
      <c r="Q187" s="3"/>
    </row>
    <row r="188" spans="1:17" x14ac:dyDescent="0.25">
      <c r="A188" s="3" t="s">
        <v>65</v>
      </c>
      <c r="B188" s="3" t="s">
        <v>43</v>
      </c>
      <c r="C188" s="3">
        <v>2020</v>
      </c>
      <c r="D188" s="3">
        <v>3.775300026</v>
      </c>
      <c r="E188" s="3">
        <v>0</v>
      </c>
      <c r="F188" s="3">
        <v>7.3211064341549097</v>
      </c>
      <c r="G188" s="3">
        <v>5.0590564620741496</v>
      </c>
      <c r="H188" s="3">
        <v>8.5741811175337208</v>
      </c>
      <c r="I188" s="5"/>
      <c r="J188" s="5"/>
      <c r="K188" s="3">
        <v>6.0086687547924997</v>
      </c>
      <c r="L188" s="3">
        <v>0.40357527100000001</v>
      </c>
      <c r="M188" s="3">
        <v>0.29521283500000001</v>
      </c>
      <c r="N188" s="3">
        <v>0.275399059</v>
      </c>
      <c r="O188" s="3">
        <v>0.18740178599999999</v>
      </c>
      <c r="P188" s="3">
        <v>0.21218682799999999</v>
      </c>
      <c r="Q188" s="3"/>
    </row>
    <row r="189" spans="1:17" x14ac:dyDescent="0.25">
      <c r="A189" s="3" t="s">
        <v>65</v>
      </c>
      <c r="B189" s="3" t="s">
        <v>43</v>
      </c>
      <c r="C189" s="3">
        <v>2021</v>
      </c>
      <c r="D189" s="3">
        <v>3.7749999999999999</v>
      </c>
      <c r="E189" s="3">
        <v>0</v>
      </c>
      <c r="F189" s="3">
        <v>8.3130000000000006</v>
      </c>
      <c r="G189" s="3">
        <v>7.82</v>
      </c>
      <c r="H189" s="3">
        <v>10.39</v>
      </c>
      <c r="I189" s="5"/>
      <c r="J189" s="5"/>
      <c r="K189" s="3">
        <v>9.9075674665751006</v>
      </c>
      <c r="L189" s="3">
        <v>6.2E-2</v>
      </c>
      <c r="M189" s="3">
        <v>0.155</v>
      </c>
      <c r="N189" s="3">
        <v>0.29799999999999999</v>
      </c>
      <c r="O189" s="3">
        <v>0.17199999999999999</v>
      </c>
      <c r="P189" s="3">
        <v>0.21199999999999999</v>
      </c>
      <c r="Q189" s="3"/>
    </row>
    <row r="190" spans="1:17" x14ac:dyDescent="0.25">
      <c r="A190" s="3" t="s">
        <v>66</v>
      </c>
      <c r="B190" s="3" t="s">
        <v>67</v>
      </c>
      <c r="C190" s="3">
        <v>2015</v>
      </c>
      <c r="D190" s="3">
        <v>3.819</v>
      </c>
      <c r="E190" s="3">
        <v>0.46038000000000001</v>
      </c>
      <c r="F190" s="3">
        <v>1.22081875801086</v>
      </c>
      <c r="G190" s="3">
        <v>-3.49598169326782</v>
      </c>
      <c r="H190" s="3">
        <v>4.0169191360473597</v>
      </c>
      <c r="I190" s="5"/>
      <c r="J190" s="5"/>
      <c r="K190" s="3">
        <v>1.7196177038396401</v>
      </c>
      <c r="L190" s="3">
        <v>0.62736000000000003</v>
      </c>
      <c r="M190" s="3">
        <v>0.61114000000000002</v>
      </c>
      <c r="N190" s="3">
        <v>0.66246000000000005</v>
      </c>
      <c r="O190" s="3">
        <v>0.40359</v>
      </c>
      <c r="P190" s="3">
        <v>7.2470000000000007E-2</v>
      </c>
      <c r="Q190" s="3"/>
    </row>
    <row r="191" spans="1:17" x14ac:dyDescent="0.25">
      <c r="A191" s="3" t="s">
        <v>66</v>
      </c>
      <c r="B191" s="3" t="s">
        <v>67</v>
      </c>
      <c r="C191" s="3">
        <v>2016</v>
      </c>
      <c r="D191" s="3">
        <v>3.907</v>
      </c>
      <c r="E191" s="3">
        <v>0.55603999999999998</v>
      </c>
      <c r="F191" s="3">
        <v>3.0217502117156898</v>
      </c>
      <c r="G191" s="3">
        <v>-1.2361742258071899</v>
      </c>
      <c r="H191" s="3">
        <v>5.5992760658264098</v>
      </c>
      <c r="I191" s="5"/>
      <c r="J191" s="5"/>
      <c r="K191" s="3">
        <v>3.5427674355940302</v>
      </c>
      <c r="L191" s="3">
        <v>0.53749999999999998</v>
      </c>
      <c r="M191" s="3">
        <v>0.42493999999999998</v>
      </c>
      <c r="N191" s="3">
        <v>0.58852000000000004</v>
      </c>
      <c r="O191" s="3">
        <v>0.40339000000000003</v>
      </c>
      <c r="P191" s="3">
        <v>8.0920000000000006E-2</v>
      </c>
      <c r="Q191" s="3"/>
    </row>
    <row r="192" spans="1:17" x14ac:dyDescent="0.25">
      <c r="A192" s="3" t="s">
        <v>66</v>
      </c>
      <c r="B192" s="3" t="s">
        <v>67</v>
      </c>
      <c r="C192" s="3">
        <v>2017</v>
      </c>
      <c r="D192" s="3">
        <v>4.1680002209999998</v>
      </c>
      <c r="E192" s="3">
        <v>0.60176509600000005</v>
      </c>
      <c r="F192" s="3">
        <v>2.9060000000000001</v>
      </c>
      <c r="G192" s="3">
        <v>-0.14985120296478199</v>
      </c>
      <c r="H192" s="3">
        <v>3.3882169723510702</v>
      </c>
      <c r="I192" s="5"/>
      <c r="J192" s="5"/>
      <c r="K192" s="3">
        <v>3.2535273418494901</v>
      </c>
      <c r="L192" s="3">
        <v>1.006238341</v>
      </c>
      <c r="M192" s="3">
        <v>0.42978340399999998</v>
      </c>
      <c r="N192" s="3">
        <v>0.63337582299999995</v>
      </c>
      <c r="O192" s="3">
        <v>0.38592296799999998</v>
      </c>
      <c r="P192" s="3">
        <v>6.8105950999999998E-2</v>
      </c>
      <c r="Q192" s="3"/>
    </row>
    <row r="193" spans="1:17" x14ac:dyDescent="0.25">
      <c r="A193" s="3" t="s">
        <v>66</v>
      </c>
      <c r="B193" s="3" t="s">
        <v>67</v>
      </c>
      <c r="C193" s="3">
        <v>2018</v>
      </c>
      <c r="D193" s="3">
        <v>4.4329999999999998</v>
      </c>
      <c r="E193" s="3">
        <v>0.54900000000000004</v>
      </c>
      <c r="F193" s="3">
        <v>2.39</v>
      </c>
      <c r="G193" s="3">
        <v>1.3303323821389901</v>
      </c>
      <c r="H193" s="3">
        <v>2.4550296369106501</v>
      </c>
      <c r="I193" s="5"/>
      <c r="J193" s="5"/>
      <c r="K193" s="3">
        <v>2.4902335724030502</v>
      </c>
      <c r="L193" s="3">
        <v>1.0880000000000001</v>
      </c>
      <c r="M193" s="3">
        <v>0.45700000000000002</v>
      </c>
      <c r="N193" s="3">
        <v>0.69599999999999995</v>
      </c>
      <c r="O193" s="3">
        <v>0.25600000000000001</v>
      </c>
      <c r="P193" s="3">
        <v>6.5000000000000002E-2</v>
      </c>
      <c r="Q193" s="3"/>
    </row>
    <row r="194" spans="1:17" x14ac:dyDescent="0.25">
      <c r="A194" s="3" t="s">
        <v>66</v>
      </c>
      <c r="B194" s="3" t="s">
        <v>67</v>
      </c>
      <c r="C194" s="3">
        <v>2019</v>
      </c>
      <c r="D194" s="3">
        <v>4.7</v>
      </c>
      <c r="E194" s="3">
        <v>0.57399999999999995</v>
      </c>
      <c r="F194" s="3">
        <v>2.0139999389648402</v>
      </c>
      <c r="G194" s="3">
        <v>1.2765085697173999</v>
      </c>
      <c r="H194" s="3">
        <v>2.0698988437652499</v>
      </c>
      <c r="I194" s="5"/>
      <c r="J194" s="5"/>
      <c r="K194" s="3">
        <v>2.5141934587133399</v>
      </c>
      <c r="L194" s="3">
        <v>1.1220000000000001</v>
      </c>
      <c r="M194" s="3">
        <v>0.63700000000000001</v>
      </c>
      <c r="N194" s="3">
        <v>0.60899999999999999</v>
      </c>
      <c r="O194" s="3">
        <v>0.23200000000000001</v>
      </c>
      <c r="P194" s="3">
        <v>6.2E-2</v>
      </c>
      <c r="Q194" s="3"/>
    </row>
    <row r="195" spans="1:17" x14ac:dyDescent="0.25">
      <c r="A195" s="3" t="s">
        <v>66</v>
      </c>
      <c r="B195" s="3" t="s">
        <v>67</v>
      </c>
      <c r="C195" s="3">
        <v>2020</v>
      </c>
      <c r="D195" s="3">
        <v>4.8484001159999996</v>
      </c>
      <c r="E195" s="3">
        <v>0.54463493799999996</v>
      </c>
      <c r="F195" s="3">
        <v>2.94</v>
      </c>
      <c r="G195" s="3">
        <v>1.0886912272205</v>
      </c>
      <c r="H195" s="3">
        <v>4.64679450931144</v>
      </c>
      <c r="I195" s="5"/>
      <c r="J195" s="5"/>
      <c r="K195" s="3">
        <v>1.8382257080428199</v>
      </c>
      <c r="L195" s="3">
        <v>1.0714260339999999</v>
      </c>
      <c r="M195" s="3">
        <v>0.58790433399999997</v>
      </c>
      <c r="N195" s="3">
        <v>0.67494034800000002</v>
      </c>
      <c r="O195" s="3">
        <v>0.23334208100000001</v>
      </c>
      <c r="P195" s="3">
        <v>7.2837501999999998E-2</v>
      </c>
      <c r="Q195" s="3"/>
    </row>
    <row r="196" spans="1:17" x14ac:dyDescent="0.25">
      <c r="A196" s="3" t="s">
        <v>66</v>
      </c>
      <c r="B196" s="3" t="s">
        <v>67</v>
      </c>
      <c r="C196" s="3">
        <v>2021</v>
      </c>
      <c r="D196" s="3">
        <v>4.83</v>
      </c>
      <c r="E196" s="3">
        <v>0.60299999999999998</v>
      </c>
      <c r="F196" s="3">
        <v>2.9214231615063699</v>
      </c>
      <c r="G196" s="3">
        <v>2.95</v>
      </c>
      <c r="H196" s="3">
        <v>2.75</v>
      </c>
      <c r="I196" s="5"/>
      <c r="J196" s="5"/>
      <c r="K196" s="3">
        <v>1.29194500388832</v>
      </c>
      <c r="L196" s="3">
        <v>0.68</v>
      </c>
      <c r="M196" s="3">
        <v>0.42599999999999999</v>
      </c>
      <c r="N196" s="3">
        <v>0.70199999999999996</v>
      </c>
      <c r="O196" s="3">
        <v>0.21</v>
      </c>
      <c r="P196" s="3">
        <v>6.0999999999999999E-2</v>
      </c>
      <c r="Q196" s="3"/>
    </row>
    <row r="197" spans="1:17" x14ac:dyDescent="0.25">
      <c r="A197" s="3" t="s">
        <v>66</v>
      </c>
      <c r="B197" s="3" t="s">
        <v>67</v>
      </c>
      <c r="C197" s="3">
        <v>2022</v>
      </c>
      <c r="D197" s="3">
        <v>4.6399999999999997</v>
      </c>
      <c r="E197" s="3">
        <v>1.0189999999999999</v>
      </c>
      <c r="F197" s="3">
        <v>5.3437026489543502</v>
      </c>
      <c r="G197" s="3">
        <v>5.67087657297437</v>
      </c>
      <c r="H197" s="3">
        <v>4.8721299857246496</v>
      </c>
      <c r="I197" s="5"/>
      <c r="J197" s="5"/>
      <c r="K197" s="3">
        <v>1.2918090504297399</v>
      </c>
      <c r="L197" s="3">
        <v>0.73199999999999998</v>
      </c>
      <c r="M197" s="3">
        <v>0.505</v>
      </c>
      <c r="N197" s="3">
        <v>0.74</v>
      </c>
      <c r="O197" s="3">
        <v>0.16600000000000001</v>
      </c>
      <c r="P197" s="3">
        <v>6.8000000000000005E-2</v>
      </c>
      <c r="Q197" s="3"/>
    </row>
    <row r="198" spans="1:17" x14ac:dyDescent="0.25">
      <c r="A198" s="3" t="s">
        <v>66</v>
      </c>
      <c r="B198" s="3" t="s">
        <v>67</v>
      </c>
      <c r="C198" s="3">
        <v>2023</v>
      </c>
      <c r="D198" s="3">
        <v>4.3929999999999998</v>
      </c>
      <c r="E198" s="3">
        <v>1.0249999999999999</v>
      </c>
      <c r="F198" s="3">
        <v>2.12746796594194</v>
      </c>
      <c r="G198" s="3">
        <v>0.47528777609526202</v>
      </c>
      <c r="H198" s="3">
        <v>3.20519937105278</v>
      </c>
      <c r="I198" s="5"/>
      <c r="J198" s="5"/>
      <c r="K198" s="3">
        <v>3.1693334331810599</v>
      </c>
      <c r="L198" s="3">
        <v>1.024</v>
      </c>
      <c r="M198" s="3">
        <v>0.28299999999999997</v>
      </c>
      <c r="N198" s="3">
        <v>0.76800000000000002</v>
      </c>
      <c r="O198" s="3">
        <v>0.17599999999999999</v>
      </c>
      <c r="P198" s="3">
        <v>5.0999999999999997E-2</v>
      </c>
      <c r="Q198" s="3"/>
    </row>
    <row r="199" spans="1:17" x14ac:dyDescent="0.25">
      <c r="A199" s="3" t="s">
        <v>68</v>
      </c>
      <c r="B199" s="3" t="s">
        <v>43</v>
      </c>
      <c r="C199" s="3">
        <v>2015</v>
      </c>
      <c r="D199" s="3">
        <v>4.2519999999999998</v>
      </c>
      <c r="E199" s="3">
        <v>0.42249999999999999</v>
      </c>
      <c r="F199" s="3">
        <v>2.6859867572784402</v>
      </c>
      <c r="G199" s="3">
        <v>2.9497904777526802</v>
      </c>
      <c r="H199" s="3">
        <v>2.0218482017517001</v>
      </c>
      <c r="I199" s="3">
        <v>2.5009860992431601</v>
      </c>
      <c r="J199" s="5"/>
      <c r="K199" s="3">
        <v>0.17778831338152901</v>
      </c>
      <c r="L199" s="3">
        <v>0.88766999999999996</v>
      </c>
      <c r="M199" s="3">
        <v>0.23402000000000001</v>
      </c>
      <c r="N199" s="3">
        <v>0.49308999999999997</v>
      </c>
      <c r="O199" s="3">
        <v>0.20618</v>
      </c>
      <c r="P199" s="3">
        <v>5.7860000000000002E-2</v>
      </c>
      <c r="Q199" s="3"/>
    </row>
    <row r="200" spans="1:17" x14ac:dyDescent="0.25">
      <c r="A200" s="3" t="s">
        <v>68</v>
      </c>
      <c r="B200" s="3" t="s">
        <v>43</v>
      </c>
      <c r="C200" s="3">
        <v>2016</v>
      </c>
      <c r="D200" s="3">
        <v>4.5129999999999999</v>
      </c>
      <c r="E200" s="3">
        <v>0.52497000000000005</v>
      </c>
      <c r="F200" s="3">
        <v>0.86936348676681496</v>
      </c>
      <c r="G200" s="3">
        <v>1.4363716840744001</v>
      </c>
      <c r="H200" s="3">
        <v>1.07820892333984</v>
      </c>
      <c r="I200" s="3">
        <v>0.64655172824859597</v>
      </c>
      <c r="J200" s="5"/>
      <c r="K200" s="3">
        <v>1.09480990692538</v>
      </c>
      <c r="L200" s="3">
        <v>0.62541999999999998</v>
      </c>
      <c r="M200" s="3">
        <v>0.12698000000000001</v>
      </c>
      <c r="N200" s="3">
        <v>0.42736000000000002</v>
      </c>
      <c r="O200" s="3">
        <v>0.2268</v>
      </c>
      <c r="P200" s="3">
        <v>6.1260000000000002E-2</v>
      </c>
      <c r="Q200" s="3"/>
    </row>
    <row r="201" spans="1:17" x14ac:dyDescent="0.25">
      <c r="A201" s="3" t="s">
        <v>68</v>
      </c>
      <c r="B201" s="3" t="s">
        <v>43</v>
      </c>
      <c r="C201" s="3">
        <v>2017</v>
      </c>
      <c r="D201" s="3">
        <v>4.6950001720000003</v>
      </c>
      <c r="E201" s="3">
        <v>0.56430536499999995</v>
      </c>
      <c r="F201" s="3">
        <v>0.64200000000000002</v>
      </c>
      <c r="G201" s="3">
        <v>1.16527676582336</v>
      </c>
      <c r="H201" s="3">
        <v>3.7557803094386999E-2</v>
      </c>
      <c r="I201" s="3">
        <v>0.78005504608154297</v>
      </c>
      <c r="J201" s="5"/>
      <c r="K201" s="3">
        <v>1.48242931152862</v>
      </c>
      <c r="L201" s="3">
        <v>0.94601821900000005</v>
      </c>
      <c r="M201" s="3">
        <v>0.132892117</v>
      </c>
      <c r="N201" s="3">
        <v>0.43038874900000001</v>
      </c>
      <c r="O201" s="3">
        <v>0.23629845699999999</v>
      </c>
      <c r="P201" s="3">
        <v>5.1306630999999998E-2</v>
      </c>
      <c r="Q201" s="3"/>
    </row>
    <row r="202" spans="1:17" x14ac:dyDescent="0.25">
      <c r="A202" s="3" t="s">
        <v>68</v>
      </c>
      <c r="B202" s="3" t="s">
        <v>43</v>
      </c>
      <c r="C202" s="3">
        <v>2018</v>
      </c>
      <c r="D202" s="3">
        <v>4.9749999999999996</v>
      </c>
      <c r="E202" s="3">
        <v>0.53500000000000003</v>
      </c>
      <c r="F202" s="3">
        <v>1.07</v>
      </c>
      <c r="G202" s="3">
        <v>-2.56578469276428</v>
      </c>
      <c r="H202" s="3">
        <v>1.2164901494979801</v>
      </c>
      <c r="I202" s="3">
        <v>1.0244346857070901</v>
      </c>
      <c r="J202" s="5"/>
      <c r="K202" s="3">
        <v>1.59993234308207</v>
      </c>
      <c r="L202" s="3">
        <v>0.89100000000000001</v>
      </c>
      <c r="M202" s="3">
        <v>0.182</v>
      </c>
      <c r="N202" s="3">
        <v>0.45400000000000001</v>
      </c>
      <c r="O202" s="3">
        <v>0.183</v>
      </c>
      <c r="P202" s="3">
        <v>4.2999999999999997E-2</v>
      </c>
      <c r="Q202" s="3"/>
    </row>
    <row r="203" spans="1:17" x14ac:dyDescent="0.25">
      <c r="A203" s="3" t="s">
        <v>68</v>
      </c>
      <c r="B203" s="3" t="s">
        <v>43</v>
      </c>
      <c r="C203" s="3">
        <v>2019</v>
      </c>
      <c r="D203" s="3">
        <v>5.0439999999999996</v>
      </c>
      <c r="E203" s="3">
        <v>0.54900000000000004</v>
      </c>
      <c r="F203" s="3">
        <v>2.45199990272521</v>
      </c>
      <c r="G203" s="3">
        <v>1.6695702075958201</v>
      </c>
      <c r="H203" s="3">
        <v>2.8785517215728702</v>
      </c>
      <c r="I203" s="3">
        <v>2.2459249496459899</v>
      </c>
      <c r="J203" s="5"/>
      <c r="K203" s="3">
        <v>2.0075823502258698</v>
      </c>
      <c r="L203" s="3">
        <v>0.91</v>
      </c>
      <c r="M203" s="3">
        <v>0.33100000000000002</v>
      </c>
      <c r="N203" s="3">
        <v>0.38100000000000001</v>
      </c>
      <c r="O203" s="3">
        <v>0.187</v>
      </c>
      <c r="P203" s="3">
        <v>3.6999999999999998E-2</v>
      </c>
      <c r="Q203" s="3"/>
    </row>
    <row r="204" spans="1:17" x14ac:dyDescent="0.25">
      <c r="A204" s="3" t="s">
        <v>68</v>
      </c>
      <c r="B204" s="3" t="s">
        <v>43</v>
      </c>
      <c r="C204" s="3">
        <v>2020</v>
      </c>
      <c r="D204" s="3">
        <v>5.0848999020000001</v>
      </c>
      <c r="E204" s="3">
        <v>0.50395804600000005</v>
      </c>
      <c r="F204" s="3">
        <v>2.4376088218223502</v>
      </c>
      <c r="G204" s="3">
        <v>3.0272740254176802</v>
      </c>
      <c r="H204" s="3">
        <v>3.5048473129656501</v>
      </c>
      <c r="I204" s="3">
        <v>2.0129297678518898</v>
      </c>
      <c r="J204" s="5"/>
      <c r="K204" s="3">
        <v>1.2982003234373301</v>
      </c>
      <c r="L204" s="3">
        <v>0.89972644999999996</v>
      </c>
      <c r="M204" s="3">
        <v>0.27018955300000003</v>
      </c>
      <c r="N204" s="3">
        <v>0.43924248199999999</v>
      </c>
      <c r="O204" s="3">
        <v>0.198020101</v>
      </c>
      <c r="P204" s="3">
        <v>5.4393421999999997E-2</v>
      </c>
      <c r="Q204" s="3"/>
    </row>
    <row r="205" spans="1:17" x14ac:dyDescent="0.25">
      <c r="A205" s="3" t="s">
        <v>68</v>
      </c>
      <c r="B205" s="3" t="s">
        <v>43</v>
      </c>
      <c r="C205" s="3">
        <v>2021</v>
      </c>
      <c r="D205" s="3">
        <v>5.1420000000000003</v>
      </c>
      <c r="E205" s="3">
        <v>0.54300000000000004</v>
      </c>
      <c r="F205" s="3">
        <v>2.2733711048158902</v>
      </c>
      <c r="G205" s="3">
        <v>1.81</v>
      </c>
      <c r="H205" s="3">
        <v>4.25</v>
      </c>
      <c r="I205" s="3">
        <v>1.5309819129639499</v>
      </c>
      <c r="J205" s="5"/>
      <c r="K205" s="3">
        <v>3.35613174349107</v>
      </c>
      <c r="L205" s="3">
        <v>0.55600000000000005</v>
      </c>
      <c r="M205" s="3">
        <v>0.159</v>
      </c>
      <c r="N205" s="3">
        <v>0.42499999999999999</v>
      </c>
      <c r="O205" s="3">
        <v>0.20499999999999999</v>
      </c>
      <c r="P205" s="3">
        <v>5.8000000000000003E-2</v>
      </c>
      <c r="Q205" s="3"/>
    </row>
    <row r="206" spans="1:17" x14ac:dyDescent="0.25">
      <c r="A206" s="3" t="s">
        <v>68</v>
      </c>
      <c r="B206" s="3" t="s">
        <v>43</v>
      </c>
      <c r="C206" s="3">
        <v>2022</v>
      </c>
      <c r="D206" s="3">
        <v>5.048</v>
      </c>
      <c r="E206" s="3">
        <v>0.96799999999999997</v>
      </c>
      <c r="F206" s="3">
        <v>6.24767713343868</v>
      </c>
      <c r="G206" s="3">
        <v>1.87445606727602</v>
      </c>
      <c r="H206" s="3">
        <v>12.0009150177584</v>
      </c>
      <c r="I206" s="3">
        <v>4.3219731627879003</v>
      </c>
      <c r="J206" s="5"/>
      <c r="K206" s="3">
        <v>3.3452453753248599</v>
      </c>
      <c r="L206" s="3">
        <v>0.67200000000000004</v>
      </c>
      <c r="M206" s="3">
        <v>0.317</v>
      </c>
      <c r="N206" s="3">
        <v>0.39700000000000002</v>
      </c>
      <c r="O206" s="3">
        <v>0.152</v>
      </c>
      <c r="P206" s="3">
        <v>7.3999999999999996E-2</v>
      </c>
      <c r="Q206" s="3"/>
    </row>
    <row r="207" spans="1:17" x14ac:dyDescent="0.25">
      <c r="A207" s="3" t="s">
        <v>68</v>
      </c>
      <c r="B207" s="3" t="s">
        <v>43</v>
      </c>
      <c r="C207" s="3">
        <v>2023</v>
      </c>
      <c r="D207" s="3">
        <v>4.9729999999999999</v>
      </c>
      <c r="E207" s="3">
        <v>0.96499999999999997</v>
      </c>
      <c r="F207" s="3">
        <v>7.3828138428098402</v>
      </c>
      <c r="G207" s="3">
        <v>8.3943868043541396</v>
      </c>
      <c r="H207" s="3">
        <v>10.876759123063501</v>
      </c>
      <c r="I207" s="3">
        <v>5.9838319859988003</v>
      </c>
      <c r="J207" s="5"/>
      <c r="K207" s="3">
        <v>1.9983850428077601</v>
      </c>
      <c r="L207" s="3">
        <v>0.871</v>
      </c>
      <c r="M207" s="3">
        <v>0.11799999999999999</v>
      </c>
      <c r="N207" s="3">
        <v>0.40500000000000003</v>
      </c>
      <c r="O207" s="3">
        <v>0.14399999999999999</v>
      </c>
      <c r="P207" s="3">
        <v>5.8999999999999997E-2</v>
      </c>
      <c r="Q207" s="3"/>
    </row>
    <row r="208" spans="1:17" x14ac:dyDescent="0.25">
      <c r="A208" s="3" t="s">
        <v>69</v>
      </c>
      <c r="B208" s="3" t="s">
        <v>48</v>
      </c>
      <c r="C208" s="3">
        <v>2015</v>
      </c>
      <c r="D208" s="3">
        <v>7.4269999999999996</v>
      </c>
      <c r="E208" s="3">
        <v>1.32629</v>
      </c>
      <c r="F208" s="3">
        <v>1.1252452135086</v>
      </c>
      <c r="G208" s="3">
        <v>-9.5699090957641602</v>
      </c>
      <c r="H208" s="3">
        <v>4.1044583320617596</v>
      </c>
      <c r="I208" s="3">
        <v>2.552079</v>
      </c>
      <c r="J208" s="3">
        <v>-0.83882063627242998</v>
      </c>
      <c r="K208" s="3">
        <v>-0.87643179451578501</v>
      </c>
      <c r="L208" s="3">
        <v>1.3226100000000001</v>
      </c>
      <c r="M208" s="3">
        <v>0.90563000000000005</v>
      </c>
      <c r="N208" s="3">
        <v>0.63297000000000003</v>
      </c>
      <c r="O208" s="3">
        <v>0.45811000000000002</v>
      </c>
      <c r="P208" s="3">
        <v>0.32956999999999997</v>
      </c>
      <c r="Q208" s="3"/>
    </row>
    <row r="209" spans="1:17" x14ac:dyDescent="0.25">
      <c r="A209" s="3" t="s">
        <v>69</v>
      </c>
      <c r="B209" s="3" t="s">
        <v>48</v>
      </c>
      <c r="C209" s="3">
        <v>2016</v>
      </c>
      <c r="D209" s="3">
        <v>7.4039999999999999</v>
      </c>
      <c r="E209" s="3">
        <v>1.44015</v>
      </c>
      <c r="F209" s="3">
        <v>1.42875671386718</v>
      </c>
      <c r="G209" s="3">
        <v>1.4299999475479099</v>
      </c>
      <c r="H209" s="3">
        <v>1.0151672363281199</v>
      </c>
      <c r="I209" s="3">
        <v>2.0216400000000001</v>
      </c>
      <c r="J209" s="3">
        <v>-0.20393691956996901</v>
      </c>
      <c r="K209" s="3">
        <v>0.75383971908526703</v>
      </c>
      <c r="L209" s="3">
        <v>1.0961000000000001</v>
      </c>
      <c r="M209" s="3">
        <v>0.8276</v>
      </c>
      <c r="N209" s="3">
        <v>0.57369999999999999</v>
      </c>
      <c r="O209" s="3">
        <v>0.44834000000000002</v>
      </c>
      <c r="P209" s="3">
        <v>0.31329000000000001</v>
      </c>
      <c r="Q209" s="3"/>
    </row>
    <row r="210" spans="1:17" x14ac:dyDescent="0.25">
      <c r="A210" s="3" t="s">
        <v>69</v>
      </c>
      <c r="B210" s="3" t="s">
        <v>48</v>
      </c>
      <c r="C210" s="3">
        <v>2017</v>
      </c>
      <c r="D210" s="3">
        <v>7.3159999850000004</v>
      </c>
      <c r="E210" s="3">
        <v>1.479204416</v>
      </c>
      <c r="F210" s="3">
        <v>1.603</v>
      </c>
      <c r="G210" s="3">
        <v>1.5599999427795399</v>
      </c>
      <c r="H210" s="3">
        <v>-1.0108109712600699</v>
      </c>
      <c r="I210" s="3">
        <v>1.778912</v>
      </c>
      <c r="J210" s="3">
        <v>3.1332740783691402</v>
      </c>
      <c r="K210" s="3">
        <v>2.5651174914560499</v>
      </c>
      <c r="L210" s="3">
        <v>1.4813489909999999</v>
      </c>
      <c r="M210" s="3">
        <v>0.83455765199999998</v>
      </c>
      <c r="N210" s="3">
        <v>0.61110091200000005</v>
      </c>
      <c r="O210" s="3">
        <v>0.43553972200000002</v>
      </c>
      <c r="P210" s="3">
        <v>0.28737151599999999</v>
      </c>
      <c r="Q210" s="3"/>
    </row>
    <row r="211" spans="1:17" x14ac:dyDescent="0.25">
      <c r="A211" s="3" t="s">
        <v>69</v>
      </c>
      <c r="B211" s="3" t="s">
        <v>48</v>
      </c>
      <c r="C211" s="3">
        <v>2018</v>
      </c>
      <c r="D211" s="3">
        <v>7.3280000000000003</v>
      </c>
      <c r="E211" s="3">
        <v>1.33</v>
      </c>
      <c r="F211" s="3">
        <v>2.27</v>
      </c>
      <c r="G211" s="3">
        <v>6.6957688331604004</v>
      </c>
      <c r="H211" s="3">
        <v>0.80864149332046498</v>
      </c>
      <c r="I211" s="3">
        <v>2.0240309999999999</v>
      </c>
      <c r="J211" s="3">
        <v>3.8526585102081299</v>
      </c>
      <c r="K211" s="3">
        <v>1.7564171349504401</v>
      </c>
      <c r="L211" s="3">
        <v>1.532</v>
      </c>
      <c r="M211" s="3">
        <v>0.89600000000000002</v>
      </c>
      <c r="N211" s="3">
        <v>0.65300000000000002</v>
      </c>
      <c r="O211" s="3">
        <v>0.32100000000000001</v>
      </c>
      <c r="P211" s="3">
        <v>0.29099999999999998</v>
      </c>
      <c r="Q211" s="3"/>
    </row>
    <row r="212" spans="1:17" x14ac:dyDescent="0.25">
      <c r="A212" s="3" t="s">
        <v>69</v>
      </c>
      <c r="B212" s="3" t="s">
        <v>48</v>
      </c>
      <c r="C212" s="3">
        <v>2019</v>
      </c>
      <c r="D212" s="3">
        <v>7.2779999999999996</v>
      </c>
      <c r="E212" s="3">
        <v>1.365</v>
      </c>
      <c r="F212" s="3">
        <v>1.9490000009536701</v>
      </c>
      <c r="G212" s="3">
        <v>-2.2043778896331698</v>
      </c>
      <c r="H212" s="3">
        <v>3.67703008651733</v>
      </c>
      <c r="I212" s="3">
        <v>2.292573</v>
      </c>
      <c r="J212" s="3">
        <v>-0.116638998085057</v>
      </c>
      <c r="K212" s="3">
        <v>1.67244808288237</v>
      </c>
      <c r="L212" s="3">
        <v>1.5049999999999999</v>
      </c>
      <c r="M212" s="3">
        <v>1.0389999999999999</v>
      </c>
      <c r="N212" s="3">
        <v>0.58399999999999996</v>
      </c>
      <c r="O212" s="3">
        <v>0.28499999999999998</v>
      </c>
      <c r="P212" s="3">
        <v>0.308</v>
      </c>
      <c r="Q212" s="3"/>
    </row>
    <row r="213" spans="1:17" x14ac:dyDescent="0.25">
      <c r="A213" s="3" t="s">
        <v>69</v>
      </c>
      <c r="B213" s="3" t="s">
        <v>48</v>
      </c>
      <c r="C213" s="3">
        <v>2020</v>
      </c>
      <c r="D213" s="3">
        <v>7.2321000099999999</v>
      </c>
      <c r="E213" s="3">
        <v>1.301647663</v>
      </c>
      <c r="F213" s="3">
        <v>0.71699963230731301</v>
      </c>
      <c r="G213" s="3">
        <v>1.4903592120509901</v>
      </c>
      <c r="H213" s="3">
        <v>2.40018105506896</v>
      </c>
      <c r="I213" s="3">
        <v>1.2912509999999999</v>
      </c>
      <c r="J213" s="3">
        <v>-0.46023269515653498</v>
      </c>
      <c r="K213" s="3">
        <v>0.83247659512524097</v>
      </c>
      <c r="L213" s="3">
        <v>1.435391903</v>
      </c>
      <c r="M213" s="3">
        <v>1.0225019449999999</v>
      </c>
      <c r="N213" s="3">
        <v>0.64402812700000001</v>
      </c>
      <c r="O213" s="3">
        <v>0.28152892000000002</v>
      </c>
      <c r="P213" s="3">
        <v>0.35170185599999998</v>
      </c>
      <c r="Q213" s="3"/>
    </row>
    <row r="214" spans="1:17" x14ac:dyDescent="0.25">
      <c r="A214" s="3" t="s">
        <v>69</v>
      </c>
      <c r="B214" s="3" t="s">
        <v>48</v>
      </c>
      <c r="C214" s="3">
        <v>2021</v>
      </c>
      <c r="D214" s="3">
        <v>7.1029999999999998</v>
      </c>
      <c r="E214" s="3">
        <v>1.4470000000000001</v>
      </c>
      <c r="F214" s="3">
        <v>3.3951929999999999</v>
      </c>
      <c r="G214" s="3">
        <v>18.849769999999999</v>
      </c>
      <c r="H214" s="3">
        <v>2.1949999999999998</v>
      </c>
      <c r="I214" s="3">
        <v>2.3969999999999998</v>
      </c>
      <c r="J214" s="3">
        <v>13.88</v>
      </c>
      <c r="K214" s="3">
        <v>8.0693845086298399</v>
      </c>
      <c r="L214" s="3">
        <v>1.044</v>
      </c>
      <c r="M214" s="3">
        <v>0.79800000000000004</v>
      </c>
      <c r="N214" s="3">
        <v>0.64800000000000002</v>
      </c>
      <c r="O214" s="3">
        <v>0.246</v>
      </c>
      <c r="P214" s="3">
        <v>0.33500000000000002</v>
      </c>
      <c r="Q214" s="3"/>
    </row>
    <row r="215" spans="1:17" x14ac:dyDescent="0.25">
      <c r="A215" s="3" t="s">
        <v>69</v>
      </c>
      <c r="B215" s="3" t="s">
        <v>48</v>
      </c>
      <c r="C215" s="3">
        <v>2022</v>
      </c>
      <c r="D215" s="3">
        <v>7.0250000000000004</v>
      </c>
      <c r="E215" s="3">
        <v>1.8859999999999999</v>
      </c>
      <c r="F215" s="3">
        <v>6.8028009999999997</v>
      </c>
      <c r="G215" s="3">
        <v>22.821032458881799</v>
      </c>
      <c r="H215" s="3">
        <v>9.7625469999999996</v>
      </c>
      <c r="I215" s="3">
        <v>5.0648189539562001</v>
      </c>
      <c r="J215" s="3">
        <v>12.790185130766901</v>
      </c>
      <c r="K215" s="3">
        <v>7.3779081953468699</v>
      </c>
      <c r="L215" s="3">
        <v>1.1879999999999999</v>
      </c>
      <c r="M215" s="3">
        <v>0.78300000000000003</v>
      </c>
      <c r="N215" s="3">
        <v>0.65900000000000003</v>
      </c>
      <c r="O215" s="3">
        <v>0.217</v>
      </c>
      <c r="P215" s="3">
        <v>0.36799999999999999</v>
      </c>
      <c r="Q215" s="3"/>
    </row>
    <row r="216" spans="1:17" x14ac:dyDescent="0.25">
      <c r="A216" s="3" t="s">
        <v>69</v>
      </c>
      <c r="B216" s="3" t="s">
        <v>48</v>
      </c>
      <c r="C216" s="3">
        <v>2023</v>
      </c>
      <c r="D216" s="3">
        <v>6.9610000000000003</v>
      </c>
      <c r="E216" s="3">
        <v>1.881</v>
      </c>
      <c r="F216" s="3">
        <v>3.87900159788426</v>
      </c>
      <c r="G216" s="3">
        <v>-3.7994134165920102</v>
      </c>
      <c r="H216" s="3">
        <v>7.8420608495073099</v>
      </c>
      <c r="I216" s="3">
        <v>4.1258693060612401</v>
      </c>
      <c r="J216" s="5"/>
      <c r="K216" s="3">
        <v>1.08744171289592</v>
      </c>
      <c r="L216" s="3">
        <v>1.484</v>
      </c>
      <c r="M216" s="3">
        <v>0.54100000000000004</v>
      </c>
      <c r="N216" s="3">
        <v>0.65600000000000003</v>
      </c>
      <c r="O216" s="3">
        <v>0.218</v>
      </c>
      <c r="P216" s="3">
        <v>0.36399999999999999</v>
      </c>
      <c r="Q216" s="3"/>
    </row>
    <row r="217" spans="1:17" x14ac:dyDescent="0.25">
      <c r="A217" s="3" t="s">
        <v>70</v>
      </c>
      <c r="B217" s="3" t="s">
        <v>43</v>
      </c>
      <c r="C217" s="3">
        <v>2015</v>
      </c>
      <c r="D217" s="3">
        <v>3.6779999999999999</v>
      </c>
      <c r="E217" s="3">
        <v>7.85E-2</v>
      </c>
      <c r="F217" s="3">
        <v>4.5</v>
      </c>
      <c r="G217" s="3">
        <v>-6.9474899636264196</v>
      </c>
      <c r="H217" s="3">
        <v>4.6669201850891104</v>
      </c>
      <c r="I217" s="5"/>
      <c r="J217" s="5"/>
      <c r="K217" s="3">
        <v>2.7073763486806799</v>
      </c>
      <c r="L217" s="3">
        <v>0</v>
      </c>
      <c r="M217" s="3">
        <v>6.6989999999999994E-2</v>
      </c>
      <c r="N217" s="3">
        <v>0.48879</v>
      </c>
      <c r="O217" s="3">
        <v>0.23835000000000001</v>
      </c>
      <c r="P217" s="3">
        <v>8.2890000000000005E-2</v>
      </c>
      <c r="Q217" s="3"/>
    </row>
    <row r="218" spans="1:17" x14ac:dyDescent="0.25">
      <c r="A218" s="3" t="s">
        <v>70</v>
      </c>
      <c r="B218" s="3" t="s">
        <v>43</v>
      </c>
      <c r="C218" s="3">
        <v>2017</v>
      </c>
      <c r="D218" s="3">
        <v>2.6930000779999999</v>
      </c>
      <c r="E218" s="3">
        <v>0</v>
      </c>
      <c r="F218" s="3">
        <v>4.4610000000000003</v>
      </c>
      <c r="G218" s="5"/>
      <c r="H218" s="5"/>
      <c r="I218" s="5"/>
      <c r="J218" s="5"/>
      <c r="K218" s="3">
        <v>6.4437935562064403</v>
      </c>
      <c r="L218" s="3">
        <v>0</v>
      </c>
      <c r="M218" s="3">
        <v>1.8772686E-2</v>
      </c>
      <c r="N218" s="3">
        <v>0.270842046</v>
      </c>
      <c r="O218" s="3">
        <v>0.28087648700000001</v>
      </c>
      <c r="P218" s="3">
        <v>5.6565075999999999E-2</v>
      </c>
      <c r="Q218" s="3"/>
    </row>
    <row r="219" spans="1:17" x14ac:dyDescent="0.25">
      <c r="A219" s="3" t="s">
        <v>70</v>
      </c>
      <c r="B219" s="3" t="s">
        <v>43</v>
      </c>
      <c r="C219" s="3">
        <v>2018</v>
      </c>
      <c r="D219" s="3">
        <v>3.0830000000000002</v>
      </c>
      <c r="E219" s="3">
        <v>2.4E-2</v>
      </c>
      <c r="F219" s="3">
        <v>1.61</v>
      </c>
      <c r="G219" s="5"/>
      <c r="H219" s="5"/>
      <c r="I219" s="5"/>
      <c r="J219" s="5"/>
      <c r="K219" s="3">
        <v>1.3088291109213299</v>
      </c>
      <c r="L219" s="3">
        <v>0</v>
      </c>
      <c r="M219" s="3">
        <v>0.01</v>
      </c>
      <c r="N219" s="3">
        <v>0.30499999999999999</v>
      </c>
      <c r="O219" s="3">
        <v>0.218</v>
      </c>
      <c r="P219" s="3">
        <v>3.7999999999999999E-2</v>
      </c>
      <c r="Q219" s="3"/>
    </row>
    <row r="220" spans="1:17" x14ac:dyDescent="0.25">
      <c r="A220" s="3" t="s">
        <v>70</v>
      </c>
      <c r="B220" s="3" t="s">
        <v>43</v>
      </c>
      <c r="C220" s="3">
        <v>2019</v>
      </c>
      <c r="D220" s="3">
        <v>3.0830000000000002</v>
      </c>
      <c r="E220" s="3">
        <v>2.5999999999999999E-2</v>
      </c>
      <c r="F220" s="3">
        <v>2.6849999427795401</v>
      </c>
      <c r="G220" s="5"/>
      <c r="H220" s="5"/>
      <c r="I220" s="5"/>
      <c r="J220" s="5"/>
      <c r="K220" s="3">
        <v>2.3596419853539499</v>
      </c>
      <c r="L220" s="3">
        <v>0</v>
      </c>
      <c r="M220" s="3">
        <v>0.105</v>
      </c>
      <c r="N220" s="3">
        <v>0.22500000000000001</v>
      </c>
      <c r="O220" s="3">
        <v>0.23499999999999999</v>
      </c>
      <c r="P220" s="3">
        <v>3.5000000000000003E-2</v>
      </c>
      <c r="Q220" s="3"/>
    </row>
    <row r="221" spans="1:17" x14ac:dyDescent="0.25">
      <c r="A221" s="3" t="s">
        <v>70</v>
      </c>
      <c r="B221" s="3" t="s">
        <v>43</v>
      </c>
      <c r="C221" s="3">
        <v>2020</v>
      </c>
      <c r="D221" s="3">
        <v>3.4758999350000002</v>
      </c>
      <c r="E221" s="3">
        <v>4.1072082000000003E-2</v>
      </c>
      <c r="F221" s="3">
        <v>2.3036837886883501</v>
      </c>
      <c r="G221" s="5"/>
      <c r="H221" s="5"/>
      <c r="I221" s="5"/>
      <c r="J221" s="5"/>
      <c r="K221" s="3">
        <v>1.95582802438495</v>
      </c>
      <c r="L221" s="3">
        <v>0</v>
      </c>
      <c r="M221" s="3">
        <v>0</v>
      </c>
      <c r="N221" s="3">
        <v>0.29281446300000002</v>
      </c>
      <c r="O221" s="3">
        <v>0.25351321700000001</v>
      </c>
      <c r="P221" s="3">
        <v>2.8264718000000001E-2</v>
      </c>
      <c r="Q221" s="3"/>
    </row>
    <row r="222" spans="1:17" x14ac:dyDescent="0.25">
      <c r="A222" s="3" t="s">
        <v>71</v>
      </c>
      <c r="B222" s="3" t="s">
        <v>43</v>
      </c>
      <c r="C222" s="3">
        <v>2015</v>
      </c>
      <c r="D222" s="3">
        <v>3.6669999999999998</v>
      </c>
      <c r="E222" s="3">
        <v>0.34193000000000001</v>
      </c>
      <c r="F222" s="3">
        <v>6.7579998970031703</v>
      </c>
      <c r="G222" s="3">
        <v>1.1499999761581401</v>
      </c>
      <c r="H222" s="3">
        <v>2.4685499668121298</v>
      </c>
      <c r="I222" s="5"/>
      <c r="J222" s="5"/>
      <c r="K222" s="3">
        <v>-7.9712792489396502</v>
      </c>
      <c r="L222" s="3">
        <v>0.76061999999999996</v>
      </c>
      <c r="M222" s="3">
        <v>0.15010000000000001</v>
      </c>
      <c r="N222" s="3">
        <v>0.23501</v>
      </c>
      <c r="O222" s="3">
        <v>0.18386</v>
      </c>
      <c r="P222" s="3">
        <v>5.2690000000000001E-2</v>
      </c>
      <c r="Q222" s="3"/>
    </row>
    <row r="223" spans="1:17" x14ac:dyDescent="0.25">
      <c r="A223" s="3" t="s">
        <v>71</v>
      </c>
      <c r="B223" s="3" t="s">
        <v>43</v>
      </c>
      <c r="C223" s="3">
        <v>2016</v>
      </c>
      <c r="D223" s="3">
        <v>3.7629999999999999</v>
      </c>
      <c r="E223" s="3">
        <v>0.42214000000000002</v>
      </c>
      <c r="F223" s="3">
        <v>-1.1219999790191599</v>
      </c>
      <c r="G223" s="3">
        <v>0.46000000834464999</v>
      </c>
      <c r="H223" s="3">
        <v>-2.7079999446868799</v>
      </c>
      <c r="I223" s="5"/>
      <c r="J223" s="5"/>
      <c r="K223" s="3">
        <v>-1.09781989539641</v>
      </c>
      <c r="L223" s="3">
        <v>0.63178000000000001</v>
      </c>
      <c r="M223" s="3">
        <v>3.8240000000000003E-2</v>
      </c>
      <c r="N223" s="3">
        <v>0.12806999999999999</v>
      </c>
      <c r="O223" s="3">
        <v>0.18667</v>
      </c>
      <c r="P223" s="3">
        <v>4.9520000000000002E-2</v>
      </c>
      <c r="Q223" s="3"/>
    </row>
    <row r="224" spans="1:17" x14ac:dyDescent="0.25">
      <c r="A224" s="3" t="s">
        <v>71</v>
      </c>
      <c r="B224" s="3" t="s">
        <v>43</v>
      </c>
      <c r="C224" s="3">
        <v>2017</v>
      </c>
      <c r="D224" s="3">
        <v>3.9360001090000001</v>
      </c>
      <c r="E224" s="3">
        <v>0.43801298700000002</v>
      </c>
      <c r="F224" s="3">
        <v>-0.89700000000000002</v>
      </c>
      <c r="G224" s="3">
        <v>0.43000000715255698</v>
      </c>
      <c r="H224" s="3">
        <v>-3.71811158678321</v>
      </c>
      <c r="I224" s="5"/>
      <c r="J224" s="5"/>
      <c r="K224" s="3">
        <v>-0.82377785922473101</v>
      </c>
      <c r="L224" s="3">
        <v>0.95385587199999999</v>
      </c>
      <c r="M224" s="3">
        <v>4.1134715000000002E-2</v>
      </c>
      <c r="N224" s="3">
        <v>0.162342027</v>
      </c>
      <c r="O224" s="3">
        <v>0.21611385</v>
      </c>
      <c r="P224" s="3">
        <v>5.3581881999999997E-2</v>
      </c>
      <c r="Q224" s="3"/>
    </row>
    <row r="225" spans="1:17" x14ac:dyDescent="0.25">
      <c r="A225" s="3" t="s">
        <v>71</v>
      </c>
      <c r="B225" s="3" t="s">
        <v>43</v>
      </c>
      <c r="C225" s="3">
        <v>2018</v>
      </c>
      <c r="D225" s="3">
        <v>4.3010000000000002</v>
      </c>
      <c r="E225" s="3">
        <v>0.35799999999999998</v>
      </c>
      <c r="F225" s="3">
        <v>4.2699999999999996</v>
      </c>
      <c r="G225" s="3">
        <v>-0.83349580000000001</v>
      </c>
      <c r="H225" s="3">
        <v>-1.85897578042778</v>
      </c>
      <c r="I225" s="5"/>
      <c r="J225" s="5"/>
      <c r="K225" s="3">
        <v>2.3026836779586302</v>
      </c>
      <c r="L225" s="3">
        <v>0.90700000000000003</v>
      </c>
      <c r="M225" s="3">
        <v>5.2999999999999999E-2</v>
      </c>
      <c r="N225" s="3">
        <v>0.189</v>
      </c>
      <c r="O225" s="3">
        <v>0.18099999999999999</v>
      </c>
      <c r="P225" s="3">
        <v>0.06</v>
      </c>
      <c r="Q225" s="3"/>
    </row>
    <row r="226" spans="1:17" x14ac:dyDescent="0.25">
      <c r="A226" s="3" t="s">
        <v>71</v>
      </c>
      <c r="B226" s="3" t="s">
        <v>43</v>
      </c>
      <c r="C226" s="3">
        <v>2019</v>
      </c>
      <c r="D226" s="3">
        <v>4.3499999999999996</v>
      </c>
      <c r="E226" s="3">
        <v>0.35</v>
      </c>
      <c r="F226" s="3">
        <v>-0.97200000286102295</v>
      </c>
      <c r="G226" s="3">
        <v>0.81750828027725198</v>
      </c>
      <c r="H226" s="3">
        <v>-5.3927626609802202</v>
      </c>
      <c r="I226" s="3">
        <v>-2.0764191150665199</v>
      </c>
      <c r="J226" s="5"/>
      <c r="K226" s="3">
        <v>1.5481606990805601</v>
      </c>
      <c r="L226" s="3">
        <v>0.76600000000000001</v>
      </c>
      <c r="M226" s="3">
        <v>0.192</v>
      </c>
      <c r="N226" s="3">
        <v>0.17399999999999999</v>
      </c>
      <c r="O226" s="3">
        <v>0.19800000000000001</v>
      </c>
      <c r="P226" s="3">
        <v>7.8E-2</v>
      </c>
      <c r="Q226" s="3"/>
    </row>
    <row r="227" spans="1:17" x14ac:dyDescent="0.25">
      <c r="A227" s="3" t="s">
        <v>71</v>
      </c>
      <c r="B227" s="3" t="s">
        <v>43</v>
      </c>
      <c r="C227" s="3">
        <v>2020</v>
      </c>
      <c r="D227" s="3">
        <v>4.4226999280000001</v>
      </c>
      <c r="E227" s="3">
        <v>0.30228748900000002</v>
      </c>
      <c r="F227" s="3">
        <v>2.7969999313354399</v>
      </c>
      <c r="G227" s="3">
        <v>0.85311257839202803</v>
      </c>
      <c r="H227" s="3">
        <v>9.44</v>
      </c>
      <c r="I227" s="3">
        <v>6.5600834129811503</v>
      </c>
      <c r="J227" s="5"/>
      <c r="K227" s="3">
        <v>-2.7645320030152298</v>
      </c>
      <c r="L227" s="3">
        <v>0.73911827799999996</v>
      </c>
      <c r="M227" s="3">
        <v>0.1087441</v>
      </c>
      <c r="N227" s="3">
        <v>0.22860176900000001</v>
      </c>
      <c r="O227" s="3">
        <v>0.210805088</v>
      </c>
      <c r="P227" s="3">
        <v>8.5755408000000005E-2</v>
      </c>
      <c r="Q227" s="3"/>
    </row>
    <row r="228" spans="1:17" x14ac:dyDescent="0.25">
      <c r="A228" s="3" t="s">
        <v>71</v>
      </c>
      <c r="B228" s="3" t="s">
        <v>43</v>
      </c>
      <c r="C228" s="3">
        <v>2021</v>
      </c>
      <c r="D228" s="3">
        <v>4.3550000000000004</v>
      </c>
      <c r="E228" s="3">
        <v>0.255</v>
      </c>
      <c r="F228" s="3">
        <v>-0.77284437035914</v>
      </c>
      <c r="G228" s="3">
        <v>-1.83</v>
      </c>
      <c r="H228" s="3">
        <v>-1.63</v>
      </c>
      <c r="I228" s="3">
        <v>1.2388947754502999</v>
      </c>
      <c r="J228" s="5"/>
      <c r="K228" s="3">
        <v>7.1999883084862804</v>
      </c>
      <c r="L228" s="3">
        <v>0.35299999999999998</v>
      </c>
      <c r="M228" s="3">
        <v>0</v>
      </c>
      <c r="N228" s="3">
        <v>0.24</v>
      </c>
      <c r="O228" s="3">
        <v>0.215</v>
      </c>
      <c r="P228" s="3">
        <v>8.4000000000000005E-2</v>
      </c>
      <c r="Q228" s="3"/>
    </row>
    <row r="229" spans="1:17" x14ac:dyDescent="0.25">
      <c r="A229" s="3" t="s">
        <v>71</v>
      </c>
      <c r="B229" s="3" t="s">
        <v>43</v>
      </c>
      <c r="C229" s="3">
        <v>2022</v>
      </c>
      <c r="D229" s="3">
        <v>4.2510000000000003</v>
      </c>
      <c r="E229" s="3">
        <v>0.66200000000000003</v>
      </c>
      <c r="F229" s="3">
        <v>5.7880268784361597</v>
      </c>
      <c r="G229" s="3">
        <v>0.23306488393578101</v>
      </c>
      <c r="H229" s="3">
        <v>12.104693701700301</v>
      </c>
      <c r="I229" s="3">
        <v>8.2280009661057996</v>
      </c>
      <c r="J229" s="5"/>
      <c r="K229" s="3">
        <v>6.9599440718779997</v>
      </c>
      <c r="L229" s="3">
        <v>0.50600000000000001</v>
      </c>
      <c r="M229" s="3">
        <v>0.22500000000000001</v>
      </c>
      <c r="N229" s="3">
        <v>0.18</v>
      </c>
      <c r="O229" s="3">
        <v>0.182</v>
      </c>
      <c r="P229" s="3">
        <v>7.6999999999999999E-2</v>
      </c>
      <c r="Q229" s="3"/>
    </row>
    <row r="230" spans="1:17" x14ac:dyDescent="0.25">
      <c r="A230" s="3" t="s">
        <v>71</v>
      </c>
      <c r="B230" s="3" t="s">
        <v>43</v>
      </c>
      <c r="C230" s="3">
        <v>2023</v>
      </c>
      <c r="D230" s="3">
        <v>4.3970000000000002</v>
      </c>
      <c r="E230" s="3">
        <v>0.622</v>
      </c>
      <c r="F230" s="3">
        <v>10.0834360584827</v>
      </c>
      <c r="G230" s="3">
        <v>3.5654700505643699</v>
      </c>
      <c r="H230" s="5"/>
      <c r="I230" s="5"/>
      <c r="J230" s="5"/>
      <c r="K230" s="3">
        <v>-0.51892447336872205</v>
      </c>
      <c r="L230" s="3">
        <v>0.96199999999999997</v>
      </c>
      <c r="M230" s="3">
        <v>4.2999999999999997E-2</v>
      </c>
      <c r="N230" s="3">
        <v>0.39300000000000002</v>
      </c>
      <c r="O230" s="3">
        <v>0.255</v>
      </c>
      <c r="P230" s="3">
        <v>8.7999999999999995E-2</v>
      </c>
      <c r="Q230" s="3"/>
    </row>
    <row r="231" spans="1:17" x14ac:dyDescent="0.25">
      <c r="A231" s="3" t="s">
        <v>72</v>
      </c>
      <c r="B231" s="3" t="s">
        <v>45</v>
      </c>
      <c r="C231" s="3">
        <v>2015</v>
      </c>
      <c r="D231" s="3">
        <v>6.67</v>
      </c>
      <c r="E231" s="3">
        <v>1.1071500000000001</v>
      </c>
      <c r="F231" s="3">
        <v>4.3488702774047798</v>
      </c>
      <c r="G231" s="3">
        <v>5.1617083549499503</v>
      </c>
      <c r="H231" s="3">
        <v>7.1175956726074201</v>
      </c>
      <c r="I231" s="3">
        <v>4.6726861000061</v>
      </c>
      <c r="J231" s="3">
        <v>-1.22585225105285</v>
      </c>
      <c r="K231" s="3">
        <v>4.9645457034679996</v>
      </c>
      <c r="L231" s="3">
        <v>1.1244700000000001</v>
      </c>
      <c r="M231" s="3">
        <v>0.85857000000000006</v>
      </c>
      <c r="N231" s="3">
        <v>0.44131999999999999</v>
      </c>
      <c r="O231" s="3">
        <v>0.33362999999999998</v>
      </c>
      <c r="P231" s="3">
        <v>0.12869</v>
      </c>
      <c r="Q231" s="3"/>
    </row>
    <row r="232" spans="1:17" x14ac:dyDescent="0.25">
      <c r="A232" s="3" t="s">
        <v>72</v>
      </c>
      <c r="B232" s="3" t="s">
        <v>45</v>
      </c>
      <c r="C232" s="3">
        <v>2016</v>
      </c>
      <c r="D232" s="3">
        <v>6.7050000000000001</v>
      </c>
      <c r="E232" s="3">
        <v>1.2166999999999999</v>
      </c>
      <c r="F232" s="3">
        <v>3.78665924072265</v>
      </c>
      <c r="G232" s="3">
        <v>5.4687042236328098</v>
      </c>
      <c r="H232" s="3">
        <v>3.8203351497650102</v>
      </c>
      <c r="I232" s="3">
        <v>4.0017628669738698</v>
      </c>
      <c r="J232" s="3">
        <v>-0.69688808917999201</v>
      </c>
      <c r="K232" s="3">
        <v>4.42839280734737</v>
      </c>
      <c r="L232" s="3">
        <v>0.90586999999999995</v>
      </c>
      <c r="M232" s="3">
        <v>0.81882999999999995</v>
      </c>
      <c r="N232" s="3">
        <v>0.37789</v>
      </c>
      <c r="O232" s="3">
        <v>0.31595000000000001</v>
      </c>
      <c r="P232" s="3">
        <v>0.11451</v>
      </c>
    </row>
    <row r="233" spans="1:17" x14ac:dyDescent="0.25">
      <c r="A233" s="3" t="s">
        <v>72</v>
      </c>
      <c r="B233" s="3" t="s">
        <v>45</v>
      </c>
      <c r="C233" s="3">
        <v>2017</v>
      </c>
      <c r="D233" s="3">
        <v>6.6519999500000004</v>
      </c>
      <c r="E233" s="3">
        <v>1.25278461</v>
      </c>
      <c r="F233" s="3">
        <v>2.1829999999999998</v>
      </c>
      <c r="G233" s="3">
        <v>3.6164517402648899</v>
      </c>
      <c r="H233" s="3">
        <v>2.0107223987579301</v>
      </c>
      <c r="I233" s="3">
        <v>2.0315675735473602</v>
      </c>
      <c r="J233" s="3">
        <v>9.74842929840087</v>
      </c>
      <c r="K233" s="3">
        <v>4.8168693794576702</v>
      </c>
      <c r="L233" s="3">
        <v>1.2840249539999999</v>
      </c>
      <c r="M233" s="3">
        <v>0.81947970400000003</v>
      </c>
      <c r="N233" s="3">
        <v>0.37689527900000003</v>
      </c>
      <c r="O233" s="3">
        <v>0.32666242099999998</v>
      </c>
      <c r="P233" s="3">
        <v>8.2287981999999996E-2</v>
      </c>
      <c r="Q233" s="3"/>
    </row>
    <row r="234" spans="1:17" x14ac:dyDescent="0.25">
      <c r="A234" s="3" t="s">
        <v>72</v>
      </c>
      <c r="B234" s="3" t="s">
        <v>45</v>
      </c>
      <c r="C234" s="3">
        <v>2018</v>
      </c>
      <c r="D234" s="3">
        <v>6.476</v>
      </c>
      <c r="E234" s="3">
        <v>1.131</v>
      </c>
      <c r="F234" s="3">
        <v>2.44</v>
      </c>
      <c r="G234" s="3">
        <v>4.28631114959716</v>
      </c>
      <c r="H234" s="3">
        <v>3.0635683536529501</v>
      </c>
      <c r="I234" s="3">
        <v>1.7173275947570801</v>
      </c>
      <c r="J234" s="3">
        <v>4.8771057128906197</v>
      </c>
      <c r="K234" s="3">
        <v>2.3462410834620799</v>
      </c>
      <c r="L234" s="3">
        <v>1.331</v>
      </c>
      <c r="M234" s="3">
        <v>0.80800000000000005</v>
      </c>
      <c r="N234" s="3">
        <v>0.43099999999999999</v>
      </c>
      <c r="O234" s="3">
        <v>0.19700000000000001</v>
      </c>
      <c r="P234" s="3">
        <v>6.0999999999999999E-2</v>
      </c>
    </row>
    <row r="235" spans="1:17" x14ac:dyDescent="0.25">
      <c r="A235" s="3" t="s">
        <v>72</v>
      </c>
      <c r="B235" s="3" t="s">
        <v>45</v>
      </c>
      <c r="C235" s="3">
        <v>2019</v>
      </c>
      <c r="D235" s="3">
        <v>6.444</v>
      </c>
      <c r="E235" s="3">
        <v>1.159</v>
      </c>
      <c r="F235" s="3">
        <v>2.2530000209808301</v>
      </c>
      <c r="G235" s="3">
        <v>2.2310800552368102</v>
      </c>
      <c r="H235" s="3">
        <v>2.3766667842864901</v>
      </c>
      <c r="I235" s="3">
        <v>2.21000003814697</v>
      </c>
      <c r="J235" s="3">
        <v>1.9007161855697601</v>
      </c>
      <c r="K235" s="3">
        <v>1.9367427071037899</v>
      </c>
      <c r="L235" s="3">
        <v>1.369</v>
      </c>
      <c r="M235" s="3">
        <v>0.92</v>
      </c>
      <c r="N235" s="3">
        <v>0.35699999999999998</v>
      </c>
      <c r="O235" s="3">
        <v>0.187</v>
      </c>
      <c r="P235" s="3">
        <v>5.6000000000000001E-2</v>
      </c>
      <c r="Q235" s="3"/>
    </row>
    <row r="236" spans="1:17" x14ac:dyDescent="0.25">
      <c r="A236" s="3" t="s">
        <v>72</v>
      </c>
      <c r="B236" s="3" t="s">
        <v>45</v>
      </c>
      <c r="C236" s="3">
        <v>2020</v>
      </c>
      <c r="D236" s="3">
        <v>6.2284998890000001</v>
      </c>
      <c r="E236" s="3">
        <v>1.0969924929999999</v>
      </c>
      <c r="F236" s="3">
        <v>3.0454908480430301</v>
      </c>
      <c r="G236" s="3">
        <v>2.8588168254452202</v>
      </c>
      <c r="H236" s="3">
        <v>6.7390031814575098</v>
      </c>
      <c r="I236" s="3">
        <v>2.28614282608032</v>
      </c>
      <c r="J236" s="3">
        <v>2.2834141847769298</v>
      </c>
      <c r="K236" s="3">
        <v>8.2732707895172197</v>
      </c>
      <c r="L236" s="3">
        <v>1.323286891</v>
      </c>
      <c r="M236" s="3">
        <v>0.88926082799999995</v>
      </c>
      <c r="N236" s="3">
        <v>0.41748222699999998</v>
      </c>
      <c r="O236" s="3">
        <v>0.15557900099999999</v>
      </c>
      <c r="P236" s="3">
        <v>6.2849349999999998E-2</v>
      </c>
      <c r="Q236" s="3"/>
    </row>
    <row r="237" spans="1:17" x14ac:dyDescent="0.25">
      <c r="A237" s="3" t="s">
        <v>72</v>
      </c>
      <c r="B237" s="3" t="s">
        <v>45</v>
      </c>
      <c r="C237" s="3">
        <v>2021</v>
      </c>
      <c r="D237" s="3">
        <v>6.1719999999999997</v>
      </c>
      <c r="E237" s="3">
        <v>1.2</v>
      </c>
      <c r="F237" s="3">
        <v>4.5245689999999996</v>
      </c>
      <c r="G237" s="3">
        <v>9.0139479999999992</v>
      </c>
      <c r="H237" s="3">
        <v>5.4059999999999997</v>
      </c>
      <c r="I237" s="3">
        <v>3.8210000000000002</v>
      </c>
      <c r="J237" s="3">
        <v>11.54</v>
      </c>
      <c r="K237" s="3">
        <v>7.5598830007024498</v>
      </c>
      <c r="L237" s="3">
        <v>0.94599999999999995</v>
      </c>
      <c r="M237" s="3">
        <v>0.67800000000000005</v>
      </c>
      <c r="N237" s="3">
        <v>0.438</v>
      </c>
      <c r="O237" s="3">
        <v>0.159</v>
      </c>
      <c r="P237" s="3">
        <v>7.0000000000000007E-2</v>
      </c>
      <c r="Q237" s="3"/>
    </row>
    <row r="238" spans="1:17" x14ac:dyDescent="0.25">
      <c r="A238" s="3" t="s">
        <v>72</v>
      </c>
      <c r="B238" s="3" t="s">
        <v>45</v>
      </c>
      <c r="C238" s="3">
        <v>2022</v>
      </c>
      <c r="D238" s="3">
        <v>6.1719999999999997</v>
      </c>
      <c r="E238" s="3">
        <v>1.651</v>
      </c>
      <c r="F238" s="3">
        <v>11.64387</v>
      </c>
      <c r="G238" s="3">
        <v>20.857192666129301</v>
      </c>
      <c r="H238" s="3">
        <v>17.721019999999999</v>
      </c>
      <c r="I238" s="3">
        <v>8.9376061120543095</v>
      </c>
      <c r="J238" s="3">
        <v>23.9987003270336</v>
      </c>
      <c r="K238" s="3">
        <v>6.22858450114252</v>
      </c>
      <c r="L238" s="3">
        <v>1.08</v>
      </c>
      <c r="M238" s="3">
        <v>0.748</v>
      </c>
      <c r="N238" s="3">
        <v>0.46</v>
      </c>
      <c r="O238" s="3">
        <v>0.124</v>
      </c>
      <c r="P238" s="3">
        <v>6.9000000000000006E-2</v>
      </c>
      <c r="Q238" s="3"/>
    </row>
    <row r="239" spans="1:17" x14ac:dyDescent="0.25">
      <c r="A239" s="3" t="s">
        <v>72</v>
      </c>
      <c r="B239" s="3" t="s">
        <v>45</v>
      </c>
      <c r="C239" s="3">
        <v>2023</v>
      </c>
      <c r="D239" s="3">
        <v>6.3339999999999996</v>
      </c>
      <c r="E239" s="3">
        <v>1.645</v>
      </c>
      <c r="F239" s="3">
        <v>7.5816825140796897</v>
      </c>
      <c r="G239" s="3">
        <v>3.75840769098081</v>
      </c>
      <c r="H239" s="3">
        <v>12.2164825729815</v>
      </c>
      <c r="I239" s="3">
        <v>6.6789065751063399</v>
      </c>
      <c r="J239" s="3">
        <v>-4.5375022315164903</v>
      </c>
      <c r="K239" s="3">
        <v>7.42813121623219</v>
      </c>
      <c r="L239" s="3">
        <v>1.3839999999999999</v>
      </c>
      <c r="M239" s="3">
        <v>0.51100000000000001</v>
      </c>
      <c r="N239" s="3">
        <v>0.54600000000000004</v>
      </c>
      <c r="O239" s="3">
        <v>0.13100000000000001</v>
      </c>
      <c r="P239" s="3">
        <v>7.5999999999999998E-2</v>
      </c>
      <c r="Q239" s="3"/>
    </row>
    <row r="240" spans="1:17" x14ac:dyDescent="0.25">
      <c r="A240" s="3" t="s">
        <v>73</v>
      </c>
      <c r="B240" s="3" t="s">
        <v>74</v>
      </c>
      <c r="C240" s="3">
        <v>2015</v>
      </c>
      <c r="D240" s="3">
        <v>5.14</v>
      </c>
      <c r="E240" s="3">
        <v>0.89012000000000002</v>
      </c>
      <c r="F240" s="3">
        <v>1.43702185153961</v>
      </c>
      <c r="G240" s="3">
        <v>0.654418885707855</v>
      </c>
      <c r="H240" s="3">
        <v>2.45027256011962</v>
      </c>
      <c r="I240" s="3">
        <v>1.56201303005218</v>
      </c>
      <c r="J240" s="3">
        <v>-5.1895380020141602</v>
      </c>
      <c r="K240" s="3">
        <v>1.19937632430998E-2</v>
      </c>
      <c r="L240" s="3">
        <v>0.94674999999999998</v>
      </c>
      <c r="M240" s="3">
        <v>0.81657999999999997</v>
      </c>
      <c r="N240" s="3">
        <v>0.51697000000000004</v>
      </c>
      <c r="O240" s="3">
        <v>8.1850000000000006E-2</v>
      </c>
      <c r="P240" s="3">
        <v>2.7810000000000001E-2</v>
      </c>
      <c r="Q240" s="3"/>
    </row>
    <row r="241" spans="1:17" x14ac:dyDescent="0.25">
      <c r="A241" s="3" t="s">
        <v>73</v>
      </c>
      <c r="B241" s="3" t="s">
        <v>74</v>
      </c>
      <c r="C241" s="3">
        <v>2016</v>
      </c>
      <c r="D241" s="3">
        <v>5.2450000000000001</v>
      </c>
      <c r="E241" s="3">
        <v>1.0278</v>
      </c>
      <c r="F241" s="3">
        <v>2</v>
      </c>
      <c r="G241" s="3">
        <v>1.2669869661331099</v>
      </c>
      <c r="H241" s="3">
        <v>4.4833297729492099</v>
      </c>
      <c r="I241" s="3">
        <v>1.6354676485061601</v>
      </c>
      <c r="J241" s="3">
        <v>-1.00392842292785</v>
      </c>
      <c r="K241" s="3">
        <v>0.85645187080269902</v>
      </c>
      <c r="L241" s="3">
        <v>0.79381000000000002</v>
      </c>
      <c r="M241" s="3">
        <v>0.73560999999999999</v>
      </c>
      <c r="N241" s="3">
        <v>0.44012000000000001</v>
      </c>
      <c r="O241" s="3">
        <v>4.9590000000000002E-2</v>
      </c>
      <c r="P241" s="3">
        <v>2.7449999999999999E-2</v>
      </c>
      <c r="Q241" s="3"/>
    </row>
    <row r="242" spans="1:17" x14ac:dyDescent="0.25">
      <c r="A242" s="3" t="s">
        <v>73</v>
      </c>
      <c r="B242" s="3" t="s">
        <v>74</v>
      </c>
      <c r="C242" s="3">
        <v>2017</v>
      </c>
      <c r="D242" s="3">
        <v>5.2729997629999996</v>
      </c>
      <c r="E242" s="3">
        <v>1.0811657910000001</v>
      </c>
      <c r="F242" s="3">
        <v>1.5580000000000001</v>
      </c>
      <c r="G242" s="3">
        <v>2.6257300376892001</v>
      </c>
      <c r="H242" s="3">
        <v>-1.3479019403457599</v>
      </c>
      <c r="I242" s="3">
        <v>2.2023692131042401</v>
      </c>
      <c r="J242" s="3">
        <v>6.2522044181823704</v>
      </c>
      <c r="K242" s="3">
        <v>3.9080072531980301</v>
      </c>
      <c r="L242" s="3">
        <v>1.160837412</v>
      </c>
      <c r="M242" s="3">
        <v>0.74141550099999998</v>
      </c>
      <c r="N242" s="3">
        <v>0.47278770799999997</v>
      </c>
      <c r="O242" s="3">
        <v>2.8806841E-2</v>
      </c>
      <c r="P242" s="3">
        <v>2.2794274999999999E-2</v>
      </c>
      <c r="Q242" s="3"/>
    </row>
    <row r="243" spans="1:17" x14ac:dyDescent="0.25">
      <c r="A243" s="3" t="s">
        <v>73</v>
      </c>
      <c r="B243" s="3" t="s">
        <v>74</v>
      </c>
      <c r="C243" s="3">
        <v>2018</v>
      </c>
      <c r="D243" s="3">
        <v>5.2460000000000004</v>
      </c>
      <c r="E243" s="3">
        <v>0.98899999999999999</v>
      </c>
      <c r="F243" s="3">
        <v>2.0699999999999998</v>
      </c>
      <c r="G243" s="3">
        <v>2.2617886066436701</v>
      </c>
      <c r="H243" s="3">
        <v>1.8352367877960201</v>
      </c>
      <c r="I243" s="3">
        <v>1.77693200111389</v>
      </c>
      <c r="J243" s="3">
        <v>3.5853598117828298</v>
      </c>
      <c r="K243" s="3">
        <v>3.5092738282553801</v>
      </c>
      <c r="L243" s="3">
        <v>1.1419999999999999</v>
      </c>
      <c r="M243" s="3">
        <v>0.79900000000000004</v>
      </c>
      <c r="N243" s="3">
        <v>0.59699999999999998</v>
      </c>
      <c r="O243" s="3">
        <v>2.9000000000000001E-2</v>
      </c>
      <c r="P243" s="3">
        <v>0.10299999999999999</v>
      </c>
      <c r="Q243" s="3"/>
    </row>
    <row r="244" spans="1:17" x14ac:dyDescent="0.25">
      <c r="A244" s="3" t="s">
        <v>73</v>
      </c>
      <c r="B244" s="3" t="s">
        <v>74</v>
      </c>
      <c r="C244" s="3">
        <v>2019</v>
      </c>
      <c r="D244" s="3">
        <v>5.1909999999999998</v>
      </c>
      <c r="E244" s="3">
        <v>1.0289999999999999</v>
      </c>
      <c r="F244" s="3">
        <v>2.9030001163482599</v>
      </c>
      <c r="G244" s="3">
        <v>1.3031780719757</v>
      </c>
      <c r="H244" s="3">
        <v>9.3494701385497994</v>
      </c>
      <c r="I244" s="3">
        <v>1.7032212018966599</v>
      </c>
      <c r="J244" s="3">
        <v>-0.47141981124877902</v>
      </c>
      <c r="K244" s="3">
        <v>2.2304113501312699</v>
      </c>
      <c r="L244" s="3">
        <v>1.125</v>
      </c>
      <c r="M244" s="3">
        <v>0.89300000000000002</v>
      </c>
      <c r="N244" s="3">
        <v>0.52100000000000002</v>
      </c>
      <c r="O244" s="3">
        <v>5.8000000000000003E-2</v>
      </c>
      <c r="P244" s="3">
        <v>0.1</v>
      </c>
      <c r="Q244" s="3"/>
    </row>
    <row r="245" spans="1:17" x14ac:dyDescent="0.25">
      <c r="A245" s="3" t="s">
        <v>73</v>
      </c>
      <c r="B245" s="3" t="s">
        <v>74</v>
      </c>
      <c r="C245" s="3">
        <v>2020</v>
      </c>
      <c r="D245" s="3">
        <v>5.123899937</v>
      </c>
      <c r="E245" s="3">
        <v>0.990533412</v>
      </c>
      <c r="F245" s="3">
        <v>2.41942189457742</v>
      </c>
      <c r="G245" s="3">
        <v>-1.5737002554173301</v>
      </c>
      <c r="H245" s="3">
        <v>10.680685997009199</v>
      </c>
      <c r="I245" s="3">
        <v>0.73367697000503496</v>
      </c>
      <c r="J245" s="3">
        <v>-1.83326411247253</v>
      </c>
      <c r="K245" s="3">
        <v>0.27485896580935298</v>
      </c>
      <c r="L245" s="3">
        <v>1.132080674</v>
      </c>
      <c r="M245" s="3">
        <v>0.86724853499999999</v>
      </c>
      <c r="N245" s="3">
        <v>0.60160511699999997</v>
      </c>
      <c r="O245" s="3">
        <v>7.9021043999999999E-2</v>
      </c>
      <c r="P245" s="3">
        <v>0.117255554</v>
      </c>
      <c r="Q245" s="3"/>
    </row>
    <row r="246" spans="1:17" x14ac:dyDescent="0.25">
      <c r="A246" s="3" t="s">
        <v>73</v>
      </c>
      <c r="B246" s="3" t="s">
        <v>74</v>
      </c>
      <c r="C246" s="3">
        <v>2021</v>
      </c>
      <c r="D246" s="3">
        <v>5.3390000000000004</v>
      </c>
      <c r="E246" s="3">
        <v>1.0609999999999999</v>
      </c>
      <c r="F246" s="3">
        <v>0.9</v>
      </c>
      <c r="G246" s="3">
        <v>1.9</v>
      </c>
      <c r="H246" s="3">
        <v>-1.70189466251611</v>
      </c>
      <c r="I246" s="3">
        <v>0.82666666666666799</v>
      </c>
      <c r="J246" s="3">
        <v>1.64628410159892</v>
      </c>
      <c r="K246" s="3">
        <v>4.37178689808872</v>
      </c>
      <c r="L246" s="3">
        <v>0.78500000000000003</v>
      </c>
      <c r="M246" s="3">
        <v>0.66500000000000004</v>
      </c>
      <c r="N246" s="3">
        <v>0.63600000000000001</v>
      </c>
      <c r="O246" s="3">
        <v>9.2999999999999999E-2</v>
      </c>
      <c r="P246" s="3">
        <v>0.11700000000000001</v>
      </c>
      <c r="Q246" s="3"/>
    </row>
    <row r="247" spans="1:17" x14ac:dyDescent="0.25">
      <c r="A247" s="3" t="s">
        <v>73</v>
      </c>
      <c r="B247" s="3" t="s">
        <v>74</v>
      </c>
      <c r="C247" s="3">
        <v>2022</v>
      </c>
      <c r="D247" s="3">
        <v>5.585</v>
      </c>
      <c r="E247" s="3">
        <v>1.508</v>
      </c>
      <c r="F247" s="3">
        <v>1.9735755573906</v>
      </c>
      <c r="G247" s="3">
        <v>2.0666666666666602</v>
      </c>
      <c r="H247" s="3">
        <v>2.4791385449942398</v>
      </c>
      <c r="I247" s="3">
        <v>0.66120074054480904</v>
      </c>
      <c r="J247" s="3">
        <v>8.7391164140599091</v>
      </c>
      <c r="K247" s="3">
        <v>2.3456199138343701</v>
      </c>
      <c r="L247" s="3">
        <v>0.95799999999999996</v>
      </c>
      <c r="M247" s="3">
        <v>0.70499999999999996</v>
      </c>
      <c r="N247" s="3">
        <v>0.65600000000000003</v>
      </c>
      <c r="O247" s="3">
        <v>9.9000000000000005E-2</v>
      </c>
      <c r="P247" s="3">
        <v>0.14199999999999999</v>
      </c>
    </row>
    <row r="248" spans="1:17" x14ac:dyDescent="0.25">
      <c r="A248" s="3" t="s">
        <v>73</v>
      </c>
      <c r="B248" s="3" t="s">
        <v>74</v>
      </c>
      <c r="C248" s="3">
        <v>2023</v>
      </c>
      <c r="D248" s="3">
        <v>5.8179999999999996</v>
      </c>
      <c r="E248" s="3">
        <v>1.51</v>
      </c>
      <c r="F248" s="3">
        <v>0.23483682889305099</v>
      </c>
      <c r="G248" s="3">
        <v>0.23209478997862601</v>
      </c>
      <c r="H248" s="3">
        <v>-0.32265957375979099</v>
      </c>
      <c r="I248" s="3">
        <v>0.58870861797160601</v>
      </c>
      <c r="J248" s="5"/>
      <c r="K248" s="3">
        <v>-0.55929340241520298</v>
      </c>
      <c r="L248" s="3">
        <v>1.2490000000000001</v>
      </c>
      <c r="M248" s="3">
        <v>0.46800000000000003</v>
      </c>
      <c r="N248" s="3">
        <v>0.66600000000000004</v>
      </c>
      <c r="O248" s="3">
        <v>0.115</v>
      </c>
      <c r="P248" s="3">
        <v>0.14499999999999999</v>
      </c>
      <c r="Q248" s="3"/>
    </row>
    <row r="249" spans="1:17" x14ac:dyDescent="0.25">
      <c r="A249" s="3" t="s">
        <v>75</v>
      </c>
      <c r="B249" s="3" t="s">
        <v>45</v>
      </c>
      <c r="C249" s="3">
        <v>2015</v>
      </c>
      <c r="D249" s="3">
        <v>6.4770000000000003</v>
      </c>
      <c r="E249" s="3">
        <v>0.91861000000000004</v>
      </c>
      <c r="F249" s="3">
        <v>4.9902319908142001</v>
      </c>
      <c r="G249" s="3">
        <v>4.0631904602050701</v>
      </c>
      <c r="H249" s="3">
        <v>8.6317625045776296</v>
      </c>
      <c r="I249" s="3">
        <v>4.1924552917480398</v>
      </c>
      <c r="J249" s="3">
        <v>3.8897838592529199</v>
      </c>
      <c r="K249" s="3">
        <v>2.4495691995615201</v>
      </c>
      <c r="L249" s="3">
        <v>1.2401800000000001</v>
      </c>
      <c r="M249" s="3">
        <v>0.69077</v>
      </c>
      <c r="N249" s="3">
        <v>0.53466000000000002</v>
      </c>
      <c r="O249" s="3">
        <v>0.18401000000000001</v>
      </c>
      <c r="P249" s="3">
        <v>5.1200000000000002E-2</v>
      </c>
      <c r="Q249" s="3"/>
    </row>
    <row r="250" spans="1:17" x14ac:dyDescent="0.25">
      <c r="A250" s="3" t="s">
        <v>75</v>
      </c>
      <c r="B250" s="3" t="s">
        <v>45</v>
      </c>
      <c r="C250" s="3">
        <v>2016</v>
      </c>
      <c r="D250" s="3">
        <v>6.4809999999999999</v>
      </c>
      <c r="E250" s="3">
        <v>1.0303199999999999</v>
      </c>
      <c r="F250" s="3">
        <v>7.5142898559570304</v>
      </c>
      <c r="G250" s="3">
        <v>5.9251136779785103</v>
      </c>
      <c r="H250" s="3">
        <v>13.1094665527343</v>
      </c>
      <c r="I250" s="3">
        <v>6.5799980163574201</v>
      </c>
      <c r="J250" s="3">
        <v>5.4045624732971103</v>
      </c>
      <c r="K250" s="3">
        <v>5.1479999999999899</v>
      </c>
      <c r="L250" s="3">
        <v>1.02169</v>
      </c>
      <c r="M250" s="3">
        <v>0.59658999999999995</v>
      </c>
      <c r="N250" s="3">
        <v>0.44735000000000003</v>
      </c>
      <c r="O250" s="3">
        <v>0.15626000000000001</v>
      </c>
      <c r="P250" s="3">
        <v>5.3990000000000003E-2</v>
      </c>
      <c r="Q250" s="3"/>
    </row>
    <row r="251" spans="1:17" x14ac:dyDescent="0.25">
      <c r="A251" s="3" t="s">
        <v>75</v>
      </c>
      <c r="B251" s="3" t="s">
        <v>45</v>
      </c>
      <c r="C251" s="3">
        <v>2017</v>
      </c>
      <c r="D251" s="3">
        <v>6.3569998740000004</v>
      </c>
      <c r="E251" s="3">
        <v>1.070622325</v>
      </c>
      <c r="F251" s="3">
        <v>4.3140000000000001</v>
      </c>
      <c r="G251" s="3">
        <v>4.54457235336303</v>
      </c>
      <c r="H251" s="3">
        <v>0.68875998258590698</v>
      </c>
      <c r="I251" s="3">
        <v>5.0572423934936497</v>
      </c>
      <c r="J251" s="3">
        <v>0.87481093406677202</v>
      </c>
      <c r="K251" s="3">
        <v>5.1337162856164698</v>
      </c>
      <c r="L251" s="3">
        <v>1.4021829370000001</v>
      </c>
      <c r="M251" s="3">
        <v>0.59502792400000004</v>
      </c>
      <c r="N251" s="3">
        <v>0.47748741500000003</v>
      </c>
      <c r="O251" s="3">
        <v>0.14901447300000001</v>
      </c>
      <c r="P251" s="3">
        <v>4.6668741999999999E-2</v>
      </c>
      <c r="Q251" s="3"/>
    </row>
    <row r="252" spans="1:17" x14ac:dyDescent="0.25">
      <c r="A252" s="3" t="s">
        <v>75</v>
      </c>
      <c r="B252" s="3" t="s">
        <v>45</v>
      </c>
      <c r="C252" s="3">
        <v>2018</v>
      </c>
      <c r="D252" s="3">
        <v>6.26</v>
      </c>
      <c r="E252" s="3">
        <v>0.96</v>
      </c>
      <c r="F252" s="3">
        <v>3.24</v>
      </c>
      <c r="G252" s="3">
        <v>4.0219225883483798</v>
      </c>
      <c r="H252" s="3">
        <v>0.829778611660003</v>
      </c>
      <c r="I252" s="3">
        <v>3.3483502864837602</v>
      </c>
      <c r="J252" s="3">
        <v>5.14007568359375</v>
      </c>
      <c r="K252" s="3">
        <v>4.63065149349592</v>
      </c>
      <c r="L252" s="3">
        <v>1.4390000000000001</v>
      </c>
      <c r="M252" s="3">
        <v>0.63500000000000001</v>
      </c>
      <c r="N252" s="3">
        <v>0.53100000000000003</v>
      </c>
      <c r="O252" s="3">
        <v>9.9000000000000005E-2</v>
      </c>
      <c r="P252" s="3">
        <v>3.9E-2</v>
      </c>
      <c r="Q252" s="3"/>
    </row>
    <row r="253" spans="1:17" x14ac:dyDescent="0.25">
      <c r="A253" s="3" t="s">
        <v>75</v>
      </c>
      <c r="B253" s="3" t="s">
        <v>45</v>
      </c>
      <c r="C253" s="3">
        <v>2019</v>
      </c>
      <c r="D253" s="3">
        <v>6.125</v>
      </c>
      <c r="E253" s="3">
        <v>0.98499999999999999</v>
      </c>
      <c r="F253" s="3">
        <v>3.5209999084472599</v>
      </c>
      <c r="G253" s="3">
        <v>5.6972789764404297</v>
      </c>
      <c r="H253" s="3">
        <v>4.8860368728637598</v>
      </c>
      <c r="I253" s="3">
        <v>3.4351017475128098</v>
      </c>
      <c r="J253" s="3">
        <v>4.3369488716125399</v>
      </c>
      <c r="K253" s="3">
        <v>4.0107206155708202</v>
      </c>
      <c r="L253" s="3">
        <v>1.41</v>
      </c>
      <c r="M253" s="3">
        <v>0.84099999999999997</v>
      </c>
      <c r="N253" s="3">
        <v>0.47</v>
      </c>
      <c r="O253" s="3">
        <v>9.9000000000000005E-2</v>
      </c>
      <c r="P253" s="3">
        <v>3.4000000000000002E-2</v>
      </c>
      <c r="Q253" s="3"/>
    </row>
    <row r="254" spans="1:17" x14ac:dyDescent="0.25">
      <c r="A254" s="3" t="s">
        <v>75</v>
      </c>
      <c r="B254" s="3" t="s">
        <v>45</v>
      </c>
      <c r="C254" s="3">
        <v>2020</v>
      </c>
      <c r="D254" s="3">
        <v>6.1634001730000003</v>
      </c>
      <c r="E254" s="3">
        <v>0.93220371000000002</v>
      </c>
      <c r="F254" s="3">
        <v>2.5246205349888799</v>
      </c>
      <c r="G254" s="3">
        <v>-1.1311630010604801</v>
      </c>
      <c r="H254" s="3">
        <v>5.5529890060424796</v>
      </c>
      <c r="I254" s="3">
        <v>2.2477499999999999</v>
      </c>
      <c r="J254" s="3">
        <v>3.2220451893551201</v>
      </c>
      <c r="K254" s="3">
        <v>1.42971139779225</v>
      </c>
      <c r="L254" s="3">
        <v>1.3344509600000001</v>
      </c>
      <c r="M254" s="3">
        <v>0.81002014899999997</v>
      </c>
      <c r="N254" s="3">
        <v>0.52689003899999998</v>
      </c>
      <c r="O254" s="3">
        <v>9.2374094000000004E-2</v>
      </c>
      <c r="P254" s="3">
        <v>4.5848369999999999E-2</v>
      </c>
      <c r="Q254" s="3"/>
    </row>
    <row r="255" spans="1:17" x14ac:dyDescent="0.25">
      <c r="A255" s="3" t="s">
        <v>75</v>
      </c>
      <c r="B255" s="3" t="s">
        <v>45</v>
      </c>
      <c r="C255" s="3">
        <v>2021</v>
      </c>
      <c r="D255" s="3">
        <v>6.0119999999999996</v>
      </c>
      <c r="E255" s="3">
        <v>1.0209999999999999</v>
      </c>
      <c r="F255" s="3">
        <v>3.4951460000000001</v>
      </c>
      <c r="G255" s="3">
        <v>5.1260130000000004</v>
      </c>
      <c r="H255" s="3">
        <v>9.7260000000000009</v>
      </c>
      <c r="I255" s="3">
        <v>2.073</v>
      </c>
      <c r="J255" s="3">
        <v>8.67</v>
      </c>
      <c r="K255" s="3">
        <v>6.5022147865483602</v>
      </c>
      <c r="L255" s="3">
        <v>0.86599999999999999</v>
      </c>
      <c r="M255" s="3">
        <v>0.61499999999999999</v>
      </c>
      <c r="N255" s="3">
        <v>0.55400000000000005</v>
      </c>
      <c r="O255" s="3">
        <v>0.1</v>
      </c>
      <c r="P255" s="3">
        <v>6.3E-2</v>
      </c>
      <c r="Q255" s="3"/>
    </row>
    <row r="256" spans="1:17" x14ac:dyDescent="0.25">
      <c r="A256" s="3" t="s">
        <v>75</v>
      </c>
      <c r="B256" s="3" t="s">
        <v>45</v>
      </c>
      <c r="C256" s="3">
        <v>2022</v>
      </c>
      <c r="D256" s="3">
        <v>5.7809999999999997</v>
      </c>
      <c r="E256" s="3">
        <v>1.452</v>
      </c>
      <c r="F256" s="3">
        <v>10.177239999999999</v>
      </c>
      <c r="G256" s="3">
        <v>14.987850114108101</v>
      </c>
      <c r="H256" s="3">
        <v>24.961169999999999</v>
      </c>
      <c r="I256" s="3">
        <v>6.5039180229053697</v>
      </c>
      <c r="J256" s="3">
        <v>29.5581215014418</v>
      </c>
      <c r="K256" s="3">
        <v>12.425495965521799</v>
      </c>
      <c r="L256" s="3">
        <v>0.92900000000000005</v>
      </c>
      <c r="M256" s="3">
        <v>0.72</v>
      </c>
      <c r="N256" s="3">
        <v>0.54500000000000004</v>
      </c>
      <c r="O256" s="3">
        <v>8.6999999999999994E-2</v>
      </c>
      <c r="P256" s="3">
        <v>7.6999999999999999E-2</v>
      </c>
      <c r="Q256" s="3"/>
    </row>
    <row r="257" spans="1:17" x14ac:dyDescent="0.25">
      <c r="A257" s="3" t="s">
        <v>75</v>
      </c>
      <c r="B257" s="3" t="s">
        <v>45</v>
      </c>
      <c r="C257" s="3">
        <v>2023</v>
      </c>
      <c r="D257" s="3">
        <v>5.63</v>
      </c>
      <c r="E257" s="3">
        <v>1.4550000000000001</v>
      </c>
      <c r="F257" s="3">
        <v>11.735904494868899</v>
      </c>
      <c r="G257" s="3">
        <v>21.702845966549098</v>
      </c>
      <c r="H257" s="3">
        <v>14.752513645339301</v>
      </c>
      <c r="I257" s="3">
        <v>9.9785445782987203</v>
      </c>
      <c r="J257" s="5"/>
      <c r="K257" s="3">
        <v>7.0765835300601001</v>
      </c>
      <c r="L257" s="3">
        <v>1.2130000000000001</v>
      </c>
      <c r="M257" s="3">
        <v>0.48599999999999999</v>
      </c>
      <c r="N257" s="3">
        <v>0.56200000000000006</v>
      </c>
      <c r="O257" s="3">
        <v>0.08</v>
      </c>
      <c r="P257" s="3">
        <v>6.8000000000000005E-2</v>
      </c>
      <c r="Q257" s="3"/>
    </row>
    <row r="258" spans="1:17" x14ac:dyDescent="0.25">
      <c r="A258" s="3" t="s">
        <v>76</v>
      </c>
      <c r="B258" s="3" t="s">
        <v>43</v>
      </c>
      <c r="C258" s="3">
        <v>2015</v>
      </c>
      <c r="D258" s="3">
        <v>3.956</v>
      </c>
      <c r="E258" s="3">
        <v>0.23905999999999999</v>
      </c>
      <c r="F258" s="3">
        <v>2</v>
      </c>
      <c r="G258" s="5"/>
      <c r="H258" s="3">
        <v>-0.28118699789047202</v>
      </c>
      <c r="I258" s="5"/>
      <c r="J258" s="5"/>
      <c r="K258" s="3">
        <v>-0.67235959675554002</v>
      </c>
      <c r="L258" s="3">
        <v>0.79273000000000005</v>
      </c>
      <c r="M258" s="3">
        <v>0.36314999999999997</v>
      </c>
      <c r="N258" s="3">
        <v>0.22917000000000001</v>
      </c>
      <c r="O258" s="3">
        <v>0.17441000000000001</v>
      </c>
      <c r="P258" s="3">
        <v>0.19900000000000001</v>
      </c>
      <c r="Q258" s="3"/>
    </row>
    <row r="259" spans="1:17" x14ac:dyDescent="0.25">
      <c r="A259" s="3" t="s">
        <v>76</v>
      </c>
      <c r="B259" s="3" t="s">
        <v>43</v>
      </c>
      <c r="C259" s="3">
        <v>2016</v>
      </c>
      <c r="D259" s="3">
        <v>3.956</v>
      </c>
      <c r="E259" s="3">
        <v>0.27509</v>
      </c>
      <c r="F259" s="3">
        <v>1.79999995231628</v>
      </c>
      <c r="G259" s="5"/>
      <c r="H259" s="5"/>
      <c r="I259" s="5"/>
      <c r="J259" s="5"/>
      <c r="K259" s="3">
        <v>1.5814707505518699</v>
      </c>
      <c r="L259" s="3">
        <v>0.60323000000000004</v>
      </c>
      <c r="M259" s="3">
        <v>0.29981000000000002</v>
      </c>
      <c r="N259" s="3">
        <v>0.15412000000000001</v>
      </c>
      <c r="O259" s="3">
        <v>0.1827</v>
      </c>
      <c r="P259" s="3">
        <v>0.18437000000000001</v>
      </c>
      <c r="Q259" s="3"/>
    </row>
    <row r="260" spans="1:17" x14ac:dyDescent="0.25">
      <c r="A260" s="3" t="s">
        <v>76</v>
      </c>
      <c r="B260" s="3" t="s">
        <v>43</v>
      </c>
      <c r="C260" s="3">
        <v>2019</v>
      </c>
      <c r="D260" s="3">
        <v>3.9729999999999999</v>
      </c>
      <c r="E260" s="3">
        <v>0.27400000000000002</v>
      </c>
      <c r="F260" s="3">
        <v>3.7009999752044598</v>
      </c>
      <c r="G260" s="5"/>
      <c r="H260" s="5"/>
      <c r="I260" s="5"/>
      <c r="J260" s="5"/>
      <c r="K260" s="3">
        <v>4.5900702544623302</v>
      </c>
      <c r="L260" s="3">
        <v>0.75700000000000001</v>
      </c>
      <c r="M260" s="3">
        <v>0.505</v>
      </c>
      <c r="N260" s="3">
        <v>0.14199999999999999</v>
      </c>
      <c r="O260" s="3">
        <v>0.27500000000000002</v>
      </c>
      <c r="P260" s="3">
        <v>7.8E-2</v>
      </c>
      <c r="Q260" s="3"/>
    </row>
    <row r="261" spans="1:17" x14ac:dyDescent="0.25">
      <c r="A261" s="3" t="s">
        <v>76</v>
      </c>
      <c r="B261" s="3" t="s">
        <v>43</v>
      </c>
      <c r="C261" s="3">
        <v>2020</v>
      </c>
      <c r="D261" s="3">
        <v>4.2885999679999998</v>
      </c>
      <c r="E261" s="3">
        <v>0.41562077400000003</v>
      </c>
      <c r="F261" s="3">
        <v>3</v>
      </c>
      <c r="G261" s="5"/>
      <c r="H261" s="5"/>
      <c r="I261" s="5"/>
      <c r="J261" s="5"/>
      <c r="K261" s="3">
        <v>1.2052258593260301</v>
      </c>
      <c r="L261" s="3">
        <v>0.72323280599999995</v>
      </c>
      <c r="M261" s="3">
        <v>0.43738332400000002</v>
      </c>
      <c r="N261" s="3">
        <v>0.18102823200000001</v>
      </c>
      <c r="O261" s="3">
        <v>0.25853827600000001</v>
      </c>
      <c r="P261" s="3">
        <v>0.10004853499999999</v>
      </c>
      <c r="Q261" s="3"/>
    </row>
    <row r="262" spans="1:17" x14ac:dyDescent="0.25">
      <c r="A262" s="3" t="s">
        <v>76</v>
      </c>
      <c r="B262" s="3" t="s">
        <v>43</v>
      </c>
      <c r="C262" s="3">
        <v>2021</v>
      </c>
      <c r="D262" s="3">
        <v>4.2889999999999997</v>
      </c>
      <c r="E262" s="3">
        <v>0.48799999999999999</v>
      </c>
      <c r="F262" s="3">
        <v>-0.17599999999999999</v>
      </c>
      <c r="G262" s="5"/>
      <c r="H262" s="5"/>
      <c r="I262" s="5"/>
      <c r="J262" s="5"/>
      <c r="K262" s="3">
        <v>5.9577397380875703E-2</v>
      </c>
      <c r="L262" s="3">
        <v>0.36699999999999999</v>
      </c>
      <c r="M262" s="3">
        <v>0.27900000000000003</v>
      </c>
      <c r="N262" s="3">
        <v>0.20200000000000001</v>
      </c>
      <c r="O262" s="3">
        <v>0.24099999999999999</v>
      </c>
      <c r="P262" s="3">
        <v>0.10100000000000001</v>
      </c>
      <c r="Q262" s="3"/>
    </row>
    <row r="263" spans="1:17" x14ac:dyDescent="0.25">
      <c r="A263" s="3" t="s">
        <v>76</v>
      </c>
      <c r="B263" s="3" t="s">
        <v>43</v>
      </c>
      <c r="C263" s="3">
        <v>2022</v>
      </c>
      <c r="D263" s="3">
        <v>4.609</v>
      </c>
      <c r="E263" s="3">
        <v>0.89900000000000002</v>
      </c>
      <c r="F263" s="3">
        <v>11.994999999999999</v>
      </c>
      <c r="G263" s="5"/>
      <c r="H263" s="5"/>
      <c r="I263" s="5"/>
      <c r="J263" s="5"/>
      <c r="K263" s="3">
        <v>-0.32840201483361797</v>
      </c>
      <c r="L263" s="3">
        <v>0.47599999999999998</v>
      </c>
      <c r="M263" s="3">
        <v>0.42399999999999999</v>
      </c>
      <c r="N263" s="3">
        <v>0.185</v>
      </c>
      <c r="O263" s="3">
        <v>0.19500000000000001</v>
      </c>
      <c r="P263" s="3">
        <v>0.125</v>
      </c>
      <c r="Q263" s="3"/>
    </row>
    <row r="264" spans="1:17" x14ac:dyDescent="0.25">
      <c r="A264" s="3" t="s">
        <v>76</v>
      </c>
      <c r="B264" s="3" t="s">
        <v>43</v>
      </c>
      <c r="C264" s="3">
        <v>2023</v>
      </c>
      <c r="D264" s="3">
        <v>3.5449999999999999</v>
      </c>
      <c r="E264" s="3">
        <v>0.91400000000000003</v>
      </c>
      <c r="F264" s="3">
        <v>8.4819999999999993</v>
      </c>
      <c r="G264" s="5"/>
      <c r="H264" s="5"/>
      <c r="I264" s="5"/>
      <c r="J264" s="5"/>
      <c r="K264" s="3">
        <v>2.9073445897015602</v>
      </c>
      <c r="L264" s="3">
        <v>0.32700000000000001</v>
      </c>
      <c r="M264" s="3">
        <v>0.215</v>
      </c>
      <c r="N264" s="3">
        <v>0.11700000000000001</v>
      </c>
      <c r="O264" s="3">
        <v>0.129</v>
      </c>
      <c r="P264" s="3">
        <v>0.14499999999999999</v>
      </c>
      <c r="Q264" s="3"/>
    </row>
    <row r="265" spans="1:17" x14ac:dyDescent="0.25">
      <c r="A265" s="3" t="s">
        <v>77</v>
      </c>
      <c r="B265" s="3" t="s">
        <v>45</v>
      </c>
      <c r="C265" s="3">
        <v>2015</v>
      </c>
      <c r="D265" s="3">
        <v>7.226</v>
      </c>
      <c r="E265" s="3">
        <v>0.95577999999999996</v>
      </c>
      <c r="F265" s="3">
        <v>0.80195045471191395</v>
      </c>
      <c r="G265" s="3">
        <v>-2.15755295753479</v>
      </c>
      <c r="H265" s="3">
        <v>3.1853954792022701</v>
      </c>
      <c r="I265" s="3">
        <v>1.81223320960998</v>
      </c>
      <c r="J265" s="3">
        <v>1.29379117488861</v>
      </c>
      <c r="K265" s="3">
        <v>3.9553011719814601</v>
      </c>
      <c r="L265" s="3">
        <v>1.2378800000000001</v>
      </c>
      <c r="M265" s="3">
        <v>0.86026999999999998</v>
      </c>
      <c r="N265" s="3">
        <v>0.63375999999999999</v>
      </c>
      <c r="O265" s="3">
        <v>0.25496999999999997</v>
      </c>
      <c r="P265" s="3">
        <v>0.10582999999999999</v>
      </c>
      <c r="Q265" s="3"/>
    </row>
    <row r="266" spans="1:17" x14ac:dyDescent="0.25">
      <c r="A266" s="3" t="s">
        <v>77</v>
      </c>
      <c r="B266" s="3" t="s">
        <v>45</v>
      </c>
      <c r="C266" s="3">
        <v>2016</v>
      </c>
      <c r="D266" s="3">
        <v>7.0869999999999997</v>
      </c>
      <c r="E266" s="3">
        <v>1.0687899999999999</v>
      </c>
      <c r="F266" s="3">
        <v>-1.7555236816406201E-2</v>
      </c>
      <c r="G266" s="3">
        <v>1.14804315567016</v>
      </c>
      <c r="H266" s="3">
        <v>-0.81352227926254195</v>
      </c>
      <c r="I266" s="3">
        <v>0.14393787086009899</v>
      </c>
      <c r="J266" s="3">
        <v>-1.0575529336929299</v>
      </c>
      <c r="K266" s="3">
        <v>1.95903642255619</v>
      </c>
      <c r="L266" s="3">
        <v>1.02152</v>
      </c>
      <c r="M266" s="3">
        <v>0.76146000000000003</v>
      </c>
      <c r="N266" s="3">
        <v>0.55225000000000002</v>
      </c>
      <c r="O266" s="3">
        <v>0.22553000000000001</v>
      </c>
      <c r="P266" s="3">
        <v>0.10546999999999999</v>
      </c>
      <c r="Q266" s="3"/>
    </row>
    <row r="267" spans="1:17" x14ac:dyDescent="0.25">
      <c r="A267" s="3" t="s">
        <v>77</v>
      </c>
      <c r="B267" s="3" t="s">
        <v>45</v>
      </c>
      <c r="C267" s="3">
        <v>2017</v>
      </c>
      <c r="D267" s="3">
        <v>7.0789999960000003</v>
      </c>
      <c r="E267" s="3">
        <v>1.109706283</v>
      </c>
      <c r="F267" s="3">
        <v>1.6259999999999999</v>
      </c>
      <c r="G267" s="3">
        <v>1.23162317276</v>
      </c>
      <c r="H267" s="3">
        <v>1.6839561462402299</v>
      </c>
      <c r="I267" s="3">
        <v>1.2417688369750901</v>
      </c>
      <c r="J267" s="3">
        <v>2.3196337223052899</v>
      </c>
      <c r="K267" s="3">
        <v>2.85843593462317</v>
      </c>
      <c r="L267" s="3">
        <v>1.416403651</v>
      </c>
      <c r="M267" s="3">
        <v>0.75950926500000004</v>
      </c>
      <c r="N267" s="3">
        <v>0.58013165</v>
      </c>
      <c r="O267" s="3">
        <v>0.21461322899999999</v>
      </c>
      <c r="P267" s="3">
        <v>0.100106589</v>
      </c>
      <c r="Q267" s="3"/>
    </row>
    <row r="268" spans="1:17" x14ac:dyDescent="0.25">
      <c r="A268" s="3" t="s">
        <v>77</v>
      </c>
      <c r="B268" s="3" t="s">
        <v>45</v>
      </c>
      <c r="C268" s="3">
        <v>2018</v>
      </c>
      <c r="D268" s="3">
        <v>7.0720000000000001</v>
      </c>
      <c r="E268" s="3">
        <v>1.01</v>
      </c>
      <c r="F268" s="3">
        <v>2.2200000000000002</v>
      </c>
      <c r="G268" s="3">
        <v>4.3375954627990696</v>
      </c>
      <c r="H268" s="3">
        <v>1.6329941749572701</v>
      </c>
      <c r="I268" s="3">
        <v>2.0965051651000901</v>
      </c>
      <c r="J268" s="3">
        <v>3.2998807430267298</v>
      </c>
      <c r="K268" s="3">
        <v>2.6139999999999999</v>
      </c>
      <c r="L268" s="3">
        <v>1.4590000000000001</v>
      </c>
      <c r="M268" s="3">
        <v>0.81699999999999995</v>
      </c>
      <c r="N268" s="3">
        <v>0.63200000000000001</v>
      </c>
      <c r="O268" s="3">
        <v>0.14299999999999999</v>
      </c>
      <c r="P268" s="3">
        <v>0.10100000000000001</v>
      </c>
      <c r="Q268" s="3"/>
    </row>
    <row r="269" spans="1:17" x14ac:dyDescent="0.25">
      <c r="A269" s="3" t="s">
        <v>77</v>
      </c>
      <c r="B269" s="3" t="s">
        <v>45</v>
      </c>
      <c r="C269" s="3">
        <v>2019</v>
      </c>
      <c r="D269" s="3">
        <v>7.1669999999999998</v>
      </c>
      <c r="E269" s="3">
        <v>1.034</v>
      </c>
      <c r="F269" s="3">
        <v>2.0969998836517298</v>
      </c>
      <c r="G269" s="3">
        <v>-1.01177501678466</v>
      </c>
      <c r="H269" s="3">
        <v>0.79868286848068204</v>
      </c>
      <c r="I269" s="3">
        <v>2.3792583942413299</v>
      </c>
      <c r="J269" s="3">
        <v>2.60442042350769</v>
      </c>
      <c r="K269" s="3">
        <v>2.2111992515640999</v>
      </c>
      <c r="L269" s="3">
        <v>1.4410000000000001</v>
      </c>
      <c r="M269" s="3">
        <v>0.96299999999999997</v>
      </c>
      <c r="N269" s="3">
        <v>0.55800000000000005</v>
      </c>
      <c r="O269" s="3">
        <v>0.14399999999999999</v>
      </c>
      <c r="P269" s="3">
        <v>9.2999999999999999E-2</v>
      </c>
      <c r="Q269" s="3"/>
    </row>
    <row r="270" spans="1:17" x14ac:dyDescent="0.25">
      <c r="A270" s="3" t="s">
        <v>77</v>
      </c>
      <c r="B270" s="3" t="s">
        <v>45</v>
      </c>
      <c r="C270" s="3">
        <v>2020</v>
      </c>
      <c r="D270" s="3">
        <v>7.1213998790000002</v>
      </c>
      <c r="E270" s="3">
        <v>0.98110771200000002</v>
      </c>
      <c r="F270" s="3">
        <v>0.72491147813100099</v>
      </c>
      <c r="G270" s="3">
        <v>1.9127754194461299</v>
      </c>
      <c r="H270" s="3">
        <v>0.48479583859443598</v>
      </c>
      <c r="I270" s="3">
        <v>1.310271</v>
      </c>
      <c r="J270" s="3">
        <v>0.135368481278419</v>
      </c>
      <c r="K270" s="3">
        <v>0.52439384838344705</v>
      </c>
      <c r="L270" s="3">
        <v>1.374853611</v>
      </c>
      <c r="M270" s="3">
        <v>0.93963533600000004</v>
      </c>
      <c r="N270" s="3">
        <v>0.64501774300000003</v>
      </c>
      <c r="O270" s="3">
        <v>0.131266311</v>
      </c>
      <c r="P270" s="3">
        <v>9.6362091999999996E-2</v>
      </c>
      <c r="Q270" s="3"/>
    </row>
    <row r="271" spans="1:17" x14ac:dyDescent="0.25">
      <c r="A271" s="3" t="s">
        <v>77</v>
      </c>
      <c r="B271" s="3" t="s">
        <v>45</v>
      </c>
      <c r="C271" s="3">
        <v>2021</v>
      </c>
      <c r="D271" s="3">
        <v>7.069</v>
      </c>
      <c r="E271" s="3">
        <v>1.1339999999999999</v>
      </c>
      <c r="F271" s="3">
        <v>1.726478</v>
      </c>
      <c r="G271" s="3">
        <v>7.07</v>
      </c>
      <c r="H271" s="3">
        <v>2.2410000000000001</v>
      </c>
      <c r="I271" s="3">
        <v>0.88400000000000001</v>
      </c>
      <c r="J271" s="3">
        <v>2.7372126456762498</v>
      </c>
      <c r="K271" s="3">
        <v>2.0291400796983199</v>
      </c>
      <c r="L271" s="3">
        <v>0.96599999999999997</v>
      </c>
      <c r="M271" s="3">
        <v>0.72199999999999998</v>
      </c>
      <c r="N271" s="3">
        <v>0.67300000000000004</v>
      </c>
      <c r="O271" s="3">
        <v>0.105</v>
      </c>
      <c r="P271" s="3">
        <v>8.3000000000000004E-2</v>
      </c>
      <c r="Q271" s="3"/>
    </row>
    <row r="272" spans="1:17" x14ac:dyDescent="0.25">
      <c r="A272" s="3" t="s">
        <v>77</v>
      </c>
      <c r="B272" s="3" t="s">
        <v>45</v>
      </c>
      <c r="C272" s="3">
        <v>2022</v>
      </c>
      <c r="D272" s="3">
        <v>6.5819999999999999</v>
      </c>
      <c r="E272" s="3">
        <v>1.5840000000000001</v>
      </c>
      <c r="F272" s="3">
        <v>8.2747749023266195</v>
      </c>
      <c r="G272" s="5"/>
      <c r="H272" s="3">
        <v>14.9596153878487</v>
      </c>
      <c r="I272" s="3">
        <v>4.5411307332809496</v>
      </c>
      <c r="J272" s="3">
        <v>8.9247554363487502</v>
      </c>
      <c r="K272" s="3">
        <v>5.4504069793110501</v>
      </c>
      <c r="L272" s="3">
        <v>1.054</v>
      </c>
      <c r="M272" s="3">
        <v>0.74399999999999999</v>
      </c>
      <c r="N272" s="3">
        <v>0.66100000000000003</v>
      </c>
      <c r="O272" s="3">
        <v>8.8999999999999996E-2</v>
      </c>
      <c r="P272" s="3">
        <v>0.10199999999999999</v>
      </c>
      <c r="Q272" s="3"/>
    </row>
    <row r="273" spans="1:17" x14ac:dyDescent="0.25">
      <c r="A273" s="3" t="s">
        <v>77</v>
      </c>
      <c r="B273" s="3" t="s">
        <v>45</v>
      </c>
      <c r="C273" s="3">
        <v>2023</v>
      </c>
      <c r="D273" s="3">
        <v>6.609</v>
      </c>
      <c r="E273" s="3">
        <v>1.587</v>
      </c>
      <c r="F273" s="3">
        <v>0.52519350869345505</v>
      </c>
      <c r="G273" s="3">
        <v>-9.9013138472684101</v>
      </c>
      <c r="H273" s="3">
        <v>3.3826328891492099</v>
      </c>
      <c r="I273" s="3">
        <v>1.03909777872306</v>
      </c>
      <c r="J273" s="3">
        <v>-2.2258532207336499</v>
      </c>
      <c r="K273" s="3">
        <v>-0.128822273492358</v>
      </c>
      <c r="L273" s="3">
        <v>1.34</v>
      </c>
      <c r="M273" s="3">
        <v>0.503</v>
      </c>
      <c r="N273" s="3">
        <v>0.68300000000000005</v>
      </c>
      <c r="O273" s="3">
        <v>9.9000000000000005E-2</v>
      </c>
      <c r="P273" s="3">
        <v>0.11600000000000001</v>
      </c>
      <c r="Q273" s="3"/>
    </row>
    <row r="274" spans="1:17" x14ac:dyDescent="0.25">
      <c r="A274" s="3" t="s">
        <v>78</v>
      </c>
      <c r="B274" s="3" t="s">
        <v>39</v>
      </c>
      <c r="C274" s="3">
        <v>2015</v>
      </c>
      <c r="D274" s="3">
        <v>5.7590000000000003</v>
      </c>
      <c r="E274" s="3">
        <v>1.0825400000000001</v>
      </c>
      <c r="F274" s="3">
        <v>-0.46123450994491499</v>
      </c>
      <c r="G274" s="3">
        <v>-5.9</v>
      </c>
      <c r="H274" s="3">
        <v>0.39316973090171797</v>
      </c>
      <c r="I274" s="3">
        <v>0.73029464483261097</v>
      </c>
      <c r="J274" s="3">
        <v>-3.6840839385986301</v>
      </c>
      <c r="K274" s="3">
        <v>8.3068947226196094E-2</v>
      </c>
      <c r="L274" s="3">
        <v>0.79623999999999995</v>
      </c>
      <c r="M274" s="3">
        <v>0.78805000000000003</v>
      </c>
      <c r="N274" s="3">
        <v>0.25883</v>
      </c>
      <c r="O274" s="3">
        <v>5.4440000000000002E-2</v>
      </c>
      <c r="P274" s="3">
        <v>2.4299999999999999E-2</v>
      </c>
      <c r="Q274" s="3"/>
    </row>
    <row r="275" spans="1:17" x14ac:dyDescent="0.25">
      <c r="A275" s="3" t="s">
        <v>78</v>
      </c>
      <c r="B275" s="3" t="s">
        <v>39</v>
      </c>
      <c r="C275" s="3">
        <v>2016</v>
      </c>
      <c r="D275" s="3">
        <v>5.4880000000000004</v>
      </c>
      <c r="E275" s="3">
        <v>1.18649</v>
      </c>
      <c r="F275" s="3">
        <v>-1.12009608745574</v>
      </c>
      <c r="G275" s="3">
        <v>-5.7</v>
      </c>
      <c r="H275" s="3">
        <v>-0.474958896636962</v>
      </c>
      <c r="I275" s="3">
        <v>0.141666665673255</v>
      </c>
      <c r="J275" s="3">
        <v>-3.9666674137115399</v>
      </c>
      <c r="K275" s="3">
        <v>-9.7999999999998894E-2</v>
      </c>
      <c r="L275" s="3">
        <v>0.60809000000000002</v>
      </c>
      <c r="M275" s="3">
        <v>0.70523999999999998</v>
      </c>
      <c r="N275" s="3">
        <v>0.23907</v>
      </c>
      <c r="O275" s="3">
        <v>0.18434</v>
      </c>
      <c r="P275" s="3">
        <v>4.002E-2</v>
      </c>
      <c r="Q275" s="3"/>
    </row>
    <row r="276" spans="1:17" x14ac:dyDescent="0.25">
      <c r="A276" s="3" t="s">
        <v>78</v>
      </c>
      <c r="B276" s="3" t="s">
        <v>39</v>
      </c>
      <c r="C276" s="3">
        <v>2017</v>
      </c>
      <c r="D276" s="3">
        <v>5.2930002209999998</v>
      </c>
      <c r="E276" s="3">
        <v>1.2225562329999999</v>
      </c>
      <c r="F276" s="3">
        <v>1.129</v>
      </c>
      <c r="G276" s="3">
        <v>-0.1</v>
      </c>
      <c r="H276" s="3">
        <v>2.9135982990264799</v>
      </c>
      <c r="I276" s="3">
        <v>0.70733129978179898</v>
      </c>
      <c r="J276" s="3">
        <v>2.01318955421447</v>
      </c>
      <c r="K276" s="3">
        <v>1.16213889611819</v>
      </c>
      <c r="L276" s="3">
        <v>0.96798300699999995</v>
      </c>
      <c r="M276" s="3">
        <v>0.70128852100000005</v>
      </c>
      <c r="N276" s="3">
        <v>0.25577229299999998</v>
      </c>
      <c r="O276" s="3">
        <v>0.24800297600000001</v>
      </c>
      <c r="P276" s="3">
        <v>4.310311E-2</v>
      </c>
      <c r="Q276" s="3"/>
    </row>
    <row r="277" spans="1:17" x14ac:dyDescent="0.25">
      <c r="A277" s="3" t="s">
        <v>78</v>
      </c>
      <c r="B277" s="3" t="s">
        <v>39</v>
      </c>
      <c r="C277" s="3">
        <v>2018</v>
      </c>
      <c r="D277" s="3">
        <v>5.3209999999999997</v>
      </c>
      <c r="E277" s="3">
        <v>1.115</v>
      </c>
      <c r="F277" s="3">
        <v>1.5</v>
      </c>
      <c r="G277" s="3">
        <v>5.6</v>
      </c>
      <c r="H277" s="3">
        <v>0.99251145124435403</v>
      </c>
      <c r="I277" s="3">
        <v>0.85936206579208296</v>
      </c>
      <c r="J277" s="3">
        <v>2.1180677413940399</v>
      </c>
      <c r="K277" s="3">
        <v>1.99974273472982</v>
      </c>
      <c r="L277" s="3">
        <v>1.161</v>
      </c>
      <c r="M277" s="3">
        <v>0.73699999999999999</v>
      </c>
      <c r="N277" s="3">
        <v>0.38</v>
      </c>
      <c r="O277" s="3">
        <v>0.12</v>
      </c>
      <c r="P277" s="3">
        <v>3.9E-2</v>
      </c>
      <c r="Q277" s="3"/>
    </row>
    <row r="278" spans="1:17" x14ac:dyDescent="0.25">
      <c r="A278" s="3" t="s">
        <v>78</v>
      </c>
      <c r="B278" s="3" t="s">
        <v>39</v>
      </c>
      <c r="C278" s="3">
        <v>2019</v>
      </c>
      <c r="D278" s="3">
        <v>5.4320000000000004</v>
      </c>
      <c r="E278" s="3">
        <v>1.155</v>
      </c>
      <c r="F278" s="3">
        <v>0.77200001478195102</v>
      </c>
      <c r="G278" s="3">
        <v>0.9</v>
      </c>
      <c r="H278" s="3">
        <v>-0.120831318199634</v>
      </c>
      <c r="I278" s="3">
        <v>0.90938884019851596</v>
      </c>
      <c r="J278" s="3">
        <v>0.69970780611038197</v>
      </c>
      <c r="K278" s="3">
        <v>1.4997477785107201</v>
      </c>
      <c r="L278" s="3">
        <v>1.266</v>
      </c>
      <c r="M278" s="3">
        <v>0.91400000000000003</v>
      </c>
      <c r="N278" s="3">
        <v>0.29599999999999999</v>
      </c>
      <c r="O278" s="3">
        <v>0.11899999999999999</v>
      </c>
      <c r="P278" s="3">
        <v>2.1999999999999999E-2</v>
      </c>
      <c r="Q278" s="3"/>
    </row>
    <row r="279" spans="1:17" x14ac:dyDescent="0.25">
      <c r="A279" s="3" t="s">
        <v>78</v>
      </c>
      <c r="B279" s="3" t="s">
        <v>39</v>
      </c>
      <c r="C279" s="3">
        <v>2020</v>
      </c>
      <c r="D279" s="3">
        <v>5.5047001839999998</v>
      </c>
      <c r="E279" s="3">
        <v>1.1090242859999999</v>
      </c>
      <c r="F279" s="3">
        <v>0.27500000596046398</v>
      </c>
      <c r="G279" s="3">
        <v>-6.5</v>
      </c>
      <c r="H279" s="3">
        <v>1.9275747537612899</v>
      </c>
      <c r="I279" s="3">
        <v>0.99861979484558105</v>
      </c>
      <c r="J279" s="3">
        <v>-3.31706547737121</v>
      </c>
      <c r="K279" s="3">
        <v>0.99589028003440805</v>
      </c>
      <c r="L279" s="3">
        <v>1.3112648730000001</v>
      </c>
      <c r="M279" s="3">
        <v>0.90057557799999999</v>
      </c>
      <c r="N279" s="3">
        <v>0.381456882</v>
      </c>
      <c r="O279" s="3">
        <v>0.113998979</v>
      </c>
      <c r="P279" s="3">
        <v>1.2325005999999999E-2</v>
      </c>
      <c r="Q279" s="3"/>
    </row>
    <row r="280" spans="1:17" x14ac:dyDescent="0.25">
      <c r="A280" s="3" t="s">
        <v>78</v>
      </c>
      <c r="B280" s="3" t="s">
        <v>39</v>
      </c>
      <c r="C280" s="3">
        <v>2021</v>
      </c>
      <c r="D280" s="3">
        <v>5.8819999999999997</v>
      </c>
      <c r="E280" s="3">
        <v>1.2509999999999999</v>
      </c>
      <c r="F280" s="3">
        <v>2.5545069964204199</v>
      </c>
      <c r="G280" s="3">
        <v>8.8000000000000007</v>
      </c>
      <c r="H280" s="3">
        <v>1.62</v>
      </c>
      <c r="I280" s="3">
        <v>1.6077170418006199</v>
      </c>
      <c r="J280" s="3">
        <v>8.0338809034914007</v>
      </c>
      <c r="K280" s="3">
        <v>2.0349560009793102</v>
      </c>
      <c r="L280" s="3">
        <v>1.0389999999999999</v>
      </c>
      <c r="M280" s="3">
        <v>0.70299999999999996</v>
      </c>
      <c r="N280" s="3">
        <v>0.45300000000000001</v>
      </c>
      <c r="O280" s="3">
        <v>0.111</v>
      </c>
      <c r="P280" s="3">
        <v>0</v>
      </c>
      <c r="Q280" s="3"/>
    </row>
    <row r="281" spans="1:17" x14ac:dyDescent="0.25">
      <c r="A281" s="3" t="s">
        <v>78</v>
      </c>
      <c r="B281" s="3" t="s">
        <v>39</v>
      </c>
      <c r="C281" s="3">
        <v>2022</v>
      </c>
      <c r="D281" s="3">
        <v>6.125</v>
      </c>
      <c r="E281" s="3">
        <v>1.7050000000000001</v>
      </c>
      <c r="F281" s="3">
        <v>10.780580675868601</v>
      </c>
      <c r="G281" s="3">
        <v>19.2074958957616</v>
      </c>
      <c r="H281" s="3">
        <v>14.803898208493701</v>
      </c>
      <c r="I281" s="3">
        <v>9.1358101877178708</v>
      </c>
      <c r="J281" s="3">
        <v>19.9809931100021</v>
      </c>
      <c r="K281" s="3">
        <v>8.1577428488185397</v>
      </c>
      <c r="L281" s="3">
        <v>1.1830000000000001</v>
      </c>
      <c r="M281" s="3">
        <v>0.70899999999999996</v>
      </c>
      <c r="N281" s="3">
        <v>0.53500000000000003</v>
      </c>
      <c r="O281" s="3">
        <v>0.109</v>
      </c>
      <c r="P281" s="3">
        <v>0</v>
      </c>
      <c r="Q281" s="3"/>
    </row>
    <row r="282" spans="1:17" x14ac:dyDescent="0.25">
      <c r="A282" s="3" t="s">
        <v>78</v>
      </c>
      <c r="B282" s="3" t="s">
        <v>39</v>
      </c>
      <c r="C282" s="3">
        <v>2023</v>
      </c>
      <c r="D282" s="3">
        <v>6.125</v>
      </c>
      <c r="E282" s="3">
        <v>1.7270000000000001</v>
      </c>
      <c r="F282" s="3">
        <v>7.9412817758683003</v>
      </c>
      <c r="G282" s="3">
        <v>0.37571082274412099</v>
      </c>
      <c r="H282" s="3">
        <v>12.686466872731801</v>
      </c>
      <c r="I282" s="3">
        <v>7.6318326781873802</v>
      </c>
      <c r="J282" s="3">
        <v>3.9273927392738002</v>
      </c>
      <c r="K282" s="3">
        <v>8.6553823924545608</v>
      </c>
      <c r="L282" s="3">
        <v>1.4550000000000001</v>
      </c>
      <c r="M282" s="3">
        <v>0.47499999999999998</v>
      </c>
      <c r="N282" s="3">
        <v>0.5</v>
      </c>
      <c r="O282" s="3">
        <v>8.6999999999999994E-2</v>
      </c>
      <c r="P282" s="3">
        <v>3.0000000000000001E-3</v>
      </c>
      <c r="Q282" s="3"/>
    </row>
    <row r="283" spans="1:17" x14ac:dyDescent="0.25">
      <c r="A283" s="3" t="s">
        <v>79</v>
      </c>
      <c r="B283" s="3" t="s">
        <v>50</v>
      </c>
      <c r="C283" s="3">
        <v>2015</v>
      </c>
      <c r="D283" s="3">
        <v>5.6890000000000001</v>
      </c>
      <c r="E283" s="3">
        <v>1.2081299999999999</v>
      </c>
      <c r="F283" s="3">
        <v>-2.09847855567932</v>
      </c>
      <c r="G283" s="3">
        <v>-14.8</v>
      </c>
      <c r="H283" s="3">
        <v>-0.31070002913474998</v>
      </c>
      <c r="I283" s="3">
        <v>-0.33884791708192402</v>
      </c>
      <c r="J283" s="3">
        <v>-5.1387557983398402</v>
      </c>
      <c r="K283" s="3">
        <v>-0.59617536666766002</v>
      </c>
      <c r="L283" s="3">
        <v>0.89317999999999997</v>
      </c>
      <c r="M283" s="3">
        <v>0.92356000000000005</v>
      </c>
      <c r="N283" s="3">
        <v>0.40672000000000003</v>
      </c>
      <c r="O283" s="3">
        <v>0.30637999999999999</v>
      </c>
      <c r="P283" s="3">
        <v>6.1460000000000001E-2</v>
      </c>
      <c r="Q283" s="3"/>
    </row>
    <row r="284" spans="1:17" x14ac:dyDescent="0.25">
      <c r="A284" s="3" t="s">
        <v>79</v>
      </c>
      <c r="B284" s="3" t="s">
        <v>50</v>
      </c>
      <c r="C284" s="3">
        <v>2016</v>
      </c>
      <c r="D284" s="3">
        <v>5.5460000000000003</v>
      </c>
      <c r="E284" s="3">
        <v>1.31857</v>
      </c>
      <c r="F284" s="3">
        <v>-1.4275811910629199</v>
      </c>
      <c r="G284" s="3">
        <v>-9.5</v>
      </c>
      <c r="H284" s="3">
        <v>-0.26000213623046797</v>
      </c>
      <c r="I284" s="3">
        <v>-0.65999999999999603</v>
      </c>
      <c r="J284" s="3">
        <v>-4.1169881820678702</v>
      </c>
      <c r="K284" s="3">
        <v>-0.55691158156911302</v>
      </c>
      <c r="L284" s="3">
        <v>0.70696999999999999</v>
      </c>
      <c r="M284" s="3">
        <v>0.8488</v>
      </c>
      <c r="N284" s="3">
        <v>0.29507</v>
      </c>
      <c r="O284" s="3">
        <v>0.27905999999999997</v>
      </c>
      <c r="P284" s="3">
        <v>5.228E-2</v>
      </c>
      <c r="Q284" s="3"/>
    </row>
    <row r="285" spans="1:17" x14ac:dyDescent="0.25">
      <c r="A285" s="3" t="s">
        <v>79</v>
      </c>
      <c r="B285" s="3" t="s">
        <v>50</v>
      </c>
      <c r="C285" s="3">
        <v>2017</v>
      </c>
      <c r="D285" s="3">
        <v>5.6209998130000001</v>
      </c>
      <c r="E285" s="3">
        <v>1.355938077</v>
      </c>
      <c r="F285" s="3">
        <v>0.68100000000000005</v>
      </c>
      <c r="G285" s="3">
        <v>8.4</v>
      </c>
      <c r="H285" s="3">
        <v>-0.29159066081047003</v>
      </c>
      <c r="I285" s="3">
        <v>-3.0199315482183499E-2</v>
      </c>
      <c r="J285" s="3">
        <v>3.0855948925018302</v>
      </c>
      <c r="K285" s="3">
        <v>1.0799871764045801</v>
      </c>
      <c r="L285" s="3">
        <v>1.1313632730000001</v>
      </c>
      <c r="M285" s="3">
        <v>0.84471470100000001</v>
      </c>
      <c r="N285" s="3">
        <v>0.35511153899999998</v>
      </c>
      <c r="O285" s="3">
        <v>0.27125430099999998</v>
      </c>
      <c r="P285" s="3">
        <v>4.1237976000000003E-2</v>
      </c>
    </row>
    <row r="286" spans="1:17" x14ac:dyDescent="0.25">
      <c r="A286" s="3" t="s">
        <v>79</v>
      </c>
      <c r="B286" s="3" t="s">
        <v>50</v>
      </c>
      <c r="C286" s="3">
        <v>2018</v>
      </c>
      <c r="D286" s="3">
        <v>5.835</v>
      </c>
      <c r="E286" s="3">
        <v>1.2290000000000001</v>
      </c>
      <c r="F286" s="3">
        <v>1.43</v>
      </c>
      <c r="G286" s="3">
        <v>7.8</v>
      </c>
      <c r="H286" s="3">
        <v>0.72650551795959395</v>
      </c>
      <c r="I286" s="3">
        <v>6.0416876447489901E-2</v>
      </c>
      <c r="J286" s="3">
        <v>2.3271691799163801</v>
      </c>
      <c r="K286" s="3">
        <v>1.2191012349594501</v>
      </c>
      <c r="L286" s="3">
        <v>1.2110000000000001</v>
      </c>
      <c r="M286" s="3">
        <v>0.90900000000000003</v>
      </c>
      <c r="N286" s="3">
        <v>0.495</v>
      </c>
      <c r="O286" s="3">
        <v>0.17899999999999999</v>
      </c>
      <c r="P286" s="3">
        <v>0.154</v>
      </c>
      <c r="Q286" s="3"/>
    </row>
    <row r="287" spans="1:17" x14ac:dyDescent="0.25">
      <c r="A287" s="3" t="s">
        <v>79</v>
      </c>
      <c r="B287" s="3" t="s">
        <v>50</v>
      </c>
      <c r="C287" s="3">
        <v>2018</v>
      </c>
      <c r="D287" s="3">
        <v>5.7619999999999996</v>
      </c>
      <c r="E287" s="3">
        <v>1.2290000000000001</v>
      </c>
      <c r="F287" s="3">
        <v>1.43</v>
      </c>
      <c r="G287" s="3">
        <v>7.8</v>
      </c>
      <c r="H287" s="3">
        <v>0.72650551795959395</v>
      </c>
      <c r="I287" s="3">
        <v>6.0416876447489901E-2</v>
      </c>
      <c r="J287" s="3">
        <v>2.3271691799163801</v>
      </c>
      <c r="K287" s="3">
        <v>1.2191012349594501</v>
      </c>
      <c r="L287" s="3">
        <v>1.1910000000000001</v>
      </c>
      <c r="M287" s="3">
        <v>0.90900000000000003</v>
      </c>
      <c r="N287" s="3">
        <v>0.42299999999999999</v>
      </c>
      <c r="O287" s="3">
        <v>0.20200000000000001</v>
      </c>
      <c r="P287" s="3">
        <v>3.5000000000000003E-2</v>
      </c>
      <c r="Q287" s="3"/>
    </row>
    <row r="288" spans="1:17" x14ac:dyDescent="0.25">
      <c r="A288" s="3" t="s">
        <v>79</v>
      </c>
      <c r="B288" s="3" t="s">
        <v>50</v>
      </c>
      <c r="C288" s="3">
        <v>2019</v>
      </c>
      <c r="D288" s="3">
        <v>6.0460000000000003</v>
      </c>
      <c r="E288" s="3">
        <v>1.2629999999999999</v>
      </c>
      <c r="F288" s="3">
        <v>0.55599999427795399</v>
      </c>
      <c r="G288" s="3">
        <v>-2</v>
      </c>
      <c r="H288" s="3">
        <v>0.44610962271690302</v>
      </c>
      <c r="I288" s="3">
        <v>0.63399416322833302</v>
      </c>
      <c r="J288" s="3">
        <v>2.4555039405822701</v>
      </c>
      <c r="K288" s="3">
        <v>0.88323998276604998</v>
      </c>
      <c r="L288" s="3">
        <v>1.2230000000000001</v>
      </c>
      <c r="M288" s="3">
        <v>1.042</v>
      </c>
      <c r="N288" s="3">
        <v>0.40600000000000003</v>
      </c>
      <c r="O288" s="3">
        <v>0.19</v>
      </c>
      <c r="P288" s="3">
        <v>4.1000000000000002E-2</v>
      </c>
      <c r="Q288" s="3"/>
    </row>
    <row r="289" spans="1:17" x14ac:dyDescent="0.25">
      <c r="A289" s="3" t="s">
        <v>79</v>
      </c>
      <c r="B289" s="3" t="s">
        <v>50</v>
      </c>
      <c r="C289" s="3">
        <v>2019</v>
      </c>
      <c r="D289" s="3">
        <v>5.718</v>
      </c>
      <c r="E289" s="3">
        <v>1.2629999999999999</v>
      </c>
      <c r="F289" s="3">
        <v>0.55599999427795399</v>
      </c>
      <c r="G289" s="3">
        <v>-2</v>
      </c>
      <c r="H289" s="3">
        <v>0.44610962271690302</v>
      </c>
      <c r="I289" s="3">
        <v>0.63399416322833302</v>
      </c>
      <c r="J289" s="3">
        <v>2.4555039405822701</v>
      </c>
      <c r="K289" s="3">
        <v>0.88323998276604998</v>
      </c>
      <c r="L289" s="3">
        <v>1.252</v>
      </c>
      <c r="M289" s="3">
        <v>1.042</v>
      </c>
      <c r="N289" s="3">
        <v>0.41699999999999998</v>
      </c>
      <c r="O289" s="3">
        <v>0.191</v>
      </c>
      <c r="P289" s="3">
        <v>0.16200000000000001</v>
      </c>
      <c r="Q289" s="3"/>
    </row>
    <row r="290" spans="1:17" x14ac:dyDescent="0.25">
      <c r="A290" s="3" t="s">
        <v>79</v>
      </c>
      <c r="B290" s="3" t="s">
        <v>50</v>
      </c>
      <c r="C290" s="3">
        <v>2020</v>
      </c>
      <c r="D290" s="3">
        <v>6.1589999200000003</v>
      </c>
      <c r="E290" s="3">
        <v>1.21279943</v>
      </c>
      <c r="F290" s="3">
        <v>-0.63842279797963897</v>
      </c>
      <c r="G290" s="3">
        <v>-9.5</v>
      </c>
      <c r="H290" s="3">
        <v>1.22369084375777</v>
      </c>
      <c r="I290" s="3">
        <v>-0.62000000000000399</v>
      </c>
      <c r="J290" s="3">
        <v>-2.5157261891598002</v>
      </c>
      <c r="K290" s="3">
        <v>-0.70370586065652696</v>
      </c>
      <c r="L290" s="3">
        <v>1.149170756</v>
      </c>
      <c r="M290" s="3">
        <v>1.0261245969999999</v>
      </c>
      <c r="N290" s="3">
        <v>0.45938587199999997</v>
      </c>
      <c r="O290" s="3">
        <v>0.22793233399999999</v>
      </c>
      <c r="P290" s="3">
        <v>5.1207144000000003E-2</v>
      </c>
      <c r="Q290" s="3"/>
    </row>
    <row r="291" spans="1:17" x14ac:dyDescent="0.25">
      <c r="A291" s="3" t="s">
        <v>79</v>
      </c>
      <c r="B291" s="3" t="s">
        <v>50</v>
      </c>
      <c r="C291" s="3">
        <v>2021</v>
      </c>
      <c r="D291" s="3">
        <v>6.2229999999999999</v>
      </c>
      <c r="E291" s="3">
        <v>1.377</v>
      </c>
      <c r="F291" s="3">
        <v>0.49199999999999999</v>
      </c>
      <c r="G291" s="3">
        <v>14.3</v>
      </c>
      <c r="H291" s="3">
        <v>-0.38</v>
      </c>
      <c r="I291" s="3">
        <v>1.0263634534111501</v>
      </c>
      <c r="J291" s="3">
        <v>6.5665731727437704</v>
      </c>
      <c r="K291" s="3">
        <v>2.8711448707811802</v>
      </c>
      <c r="L291" s="3">
        <v>0.76500000000000001</v>
      </c>
      <c r="M291" s="3">
        <v>0.80100000000000005</v>
      </c>
      <c r="N291" s="3">
        <v>0.46400000000000002</v>
      </c>
      <c r="O291" s="3">
        <v>0.17799999999999999</v>
      </c>
      <c r="P291" s="3">
        <v>6.0999999999999999E-2</v>
      </c>
      <c r="Q291" s="3"/>
    </row>
    <row r="292" spans="1:17" x14ac:dyDescent="0.25">
      <c r="A292" s="3" t="s">
        <v>79</v>
      </c>
      <c r="B292" s="3" t="s">
        <v>50</v>
      </c>
      <c r="C292" s="3">
        <v>2022</v>
      </c>
      <c r="D292" s="3">
        <v>6.2210000000000001</v>
      </c>
      <c r="E292" s="3">
        <v>1.8149999999999999</v>
      </c>
      <c r="F292" s="3">
        <v>8.3954829799333996</v>
      </c>
      <c r="G292" s="3">
        <v>32.0830204306924</v>
      </c>
      <c r="H292" s="3">
        <v>7.9407799112591402</v>
      </c>
      <c r="I292" s="3">
        <v>5.3371625883993303</v>
      </c>
      <c r="J292" s="3">
        <v>22.841365763779599</v>
      </c>
      <c r="K292" s="3">
        <v>6.07181332621753</v>
      </c>
      <c r="L292" s="3">
        <v>0.90900000000000003</v>
      </c>
      <c r="M292" s="3">
        <v>0.81899999999999995</v>
      </c>
      <c r="N292" s="3">
        <v>0.44800000000000001</v>
      </c>
      <c r="O292" s="3">
        <v>0.123</v>
      </c>
      <c r="P292" s="3">
        <v>6.2E-2</v>
      </c>
      <c r="Q292" s="3"/>
    </row>
    <row r="293" spans="1:17" x14ac:dyDescent="0.25">
      <c r="A293" s="3" t="s">
        <v>79</v>
      </c>
      <c r="B293" s="3" t="s">
        <v>50</v>
      </c>
      <c r="C293" s="3">
        <v>2023</v>
      </c>
      <c r="D293" s="3">
        <v>6.13</v>
      </c>
      <c r="E293" s="3">
        <v>1.8240000000000001</v>
      </c>
      <c r="F293" s="3">
        <v>3.54134188751663</v>
      </c>
      <c r="G293" s="3">
        <v>-0.64038207129598701</v>
      </c>
      <c r="H293" s="3">
        <v>7.73764215571717</v>
      </c>
      <c r="I293" s="3">
        <v>4.4497502088159404</v>
      </c>
      <c r="J293" s="3">
        <v>4.9549265586581104</v>
      </c>
      <c r="K293" s="3">
        <v>4.5692919830566998</v>
      </c>
      <c r="L293" s="3">
        <v>1.224</v>
      </c>
      <c r="M293" s="3">
        <v>0.57999999999999996</v>
      </c>
      <c r="N293" s="3">
        <v>0.45500000000000002</v>
      </c>
      <c r="O293" s="3">
        <v>0.104</v>
      </c>
      <c r="P293" s="3">
        <v>0.05</v>
      </c>
      <c r="Q293" s="3"/>
    </row>
    <row r="294" spans="1:17" x14ac:dyDescent="0.25">
      <c r="A294" s="3" t="s">
        <v>80</v>
      </c>
      <c r="B294" s="3" t="s">
        <v>39</v>
      </c>
      <c r="C294" s="3">
        <v>2015</v>
      </c>
      <c r="D294" s="3">
        <v>6.5049999999999999</v>
      </c>
      <c r="E294" s="3">
        <v>1.1789799999999999</v>
      </c>
      <c r="F294" s="3">
        <v>0.30936557054519598</v>
      </c>
      <c r="G294" s="3">
        <v>1.0443859100341699</v>
      </c>
      <c r="H294" s="3">
        <v>-1.10451900959014</v>
      </c>
      <c r="I294" s="3">
        <v>0.15181332826614299</v>
      </c>
      <c r="J294" s="3">
        <v>-3.1956093311309801</v>
      </c>
      <c r="K294" s="3">
        <v>0.99275881919266795</v>
      </c>
      <c r="L294" s="3">
        <v>1.2064299999999999</v>
      </c>
      <c r="M294" s="3">
        <v>0.84482999999999997</v>
      </c>
      <c r="N294" s="3">
        <v>0.46364</v>
      </c>
      <c r="O294" s="3">
        <v>0.10686</v>
      </c>
      <c r="P294" s="3">
        <v>2.6519999999999998E-2</v>
      </c>
      <c r="Q294" s="3"/>
    </row>
    <row r="295" spans="1:17" x14ac:dyDescent="0.25">
      <c r="A295" s="3" t="s">
        <v>80</v>
      </c>
      <c r="B295" s="3" t="s">
        <v>39</v>
      </c>
      <c r="C295" s="3">
        <v>2016</v>
      </c>
      <c r="D295" s="3">
        <v>6.5960000000000001</v>
      </c>
      <c r="E295" s="3">
        <v>1.30915</v>
      </c>
      <c r="F295" s="3">
        <v>0.68350523710250799</v>
      </c>
      <c r="G295" s="3">
        <v>0.60014849901199296</v>
      </c>
      <c r="H295" s="3">
        <v>-0.93348234891891402</v>
      </c>
      <c r="I295" s="3">
        <v>0.50591623783111495</v>
      </c>
      <c r="J295" s="3">
        <v>-3.2510964870452801</v>
      </c>
      <c r="K295" s="3">
        <v>1.141</v>
      </c>
      <c r="L295" s="3">
        <v>1.00793</v>
      </c>
      <c r="M295" s="3">
        <v>0.76375999999999999</v>
      </c>
      <c r="N295" s="3">
        <v>0.41417999999999999</v>
      </c>
      <c r="O295" s="3">
        <v>9.9290000000000003E-2</v>
      </c>
      <c r="P295" s="3">
        <v>3.986E-2</v>
      </c>
      <c r="Q295" s="3"/>
    </row>
    <row r="296" spans="1:17" x14ac:dyDescent="0.25">
      <c r="A296" s="3" t="s">
        <v>80</v>
      </c>
      <c r="B296" s="3" t="s">
        <v>39</v>
      </c>
      <c r="C296" s="3">
        <v>2017</v>
      </c>
      <c r="D296" s="3">
        <v>6.6090002060000002</v>
      </c>
      <c r="E296" s="3">
        <v>1.352682352</v>
      </c>
      <c r="F296" s="3">
        <v>2.4510000000000001</v>
      </c>
      <c r="G296" s="3">
        <v>1.6488519906997601</v>
      </c>
      <c r="H296" s="3">
        <v>5.1825656890869096</v>
      </c>
      <c r="I296" s="3">
        <v>2.5668451786041202</v>
      </c>
      <c r="J296" s="3">
        <v>1.8352723121643</v>
      </c>
      <c r="K296" s="3">
        <v>1.3070861470620101</v>
      </c>
      <c r="L296" s="3">
        <v>1.433885217</v>
      </c>
      <c r="M296" s="3">
        <v>0.75444400300000003</v>
      </c>
      <c r="N296" s="3">
        <v>0.49094617400000001</v>
      </c>
      <c r="O296" s="3">
        <v>8.8106759000000007E-2</v>
      </c>
      <c r="P296" s="3">
        <v>3.6872927E-2</v>
      </c>
      <c r="Q296" s="3"/>
    </row>
    <row r="297" spans="1:17" x14ac:dyDescent="0.25">
      <c r="A297" s="3" t="s">
        <v>80</v>
      </c>
      <c r="B297" s="3" t="s">
        <v>39</v>
      </c>
      <c r="C297" s="3">
        <v>2018</v>
      </c>
      <c r="D297" s="3">
        <v>6.7110000000000003</v>
      </c>
      <c r="E297" s="3">
        <v>1.2330000000000001</v>
      </c>
      <c r="F297" s="3">
        <v>2.15</v>
      </c>
      <c r="G297" s="3">
        <v>2.95891904830932</v>
      </c>
      <c r="H297" s="3">
        <v>1.3117920160293499</v>
      </c>
      <c r="I297" s="3">
        <v>1.85783696174621</v>
      </c>
      <c r="J297" s="3">
        <v>2.04754590988159</v>
      </c>
      <c r="K297" s="3">
        <v>2.5687321276948798</v>
      </c>
      <c r="L297" s="3">
        <v>1.4890000000000001</v>
      </c>
      <c r="M297" s="3">
        <v>0.85399999999999998</v>
      </c>
      <c r="N297" s="3">
        <v>0.54300000000000004</v>
      </c>
      <c r="O297" s="3">
        <v>6.4000000000000001E-2</v>
      </c>
      <c r="P297" s="3">
        <v>3.4000000000000002E-2</v>
      </c>
      <c r="Q297" s="3"/>
    </row>
    <row r="298" spans="1:17" x14ac:dyDescent="0.25">
      <c r="A298" s="3" t="s">
        <v>80</v>
      </c>
      <c r="B298" s="3" t="s">
        <v>39</v>
      </c>
      <c r="C298" s="3">
        <v>2019</v>
      </c>
      <c r="D298" s="3">
        <v>6.8520000000000003</v>
      </c>
      <c r="E298" s="3">
        <v>1.2689999999999999</v>
      </c>
      <c r="F298" s="3">
        <v>2.8559999465942298</v>
      </c>
      <c r="G298" s="3">
        <v>5.0562257766723597</v>
      </c>
      <c r="H298" s="3">
        <v>2.81856942176818</v>
      </c>
      <c r="I298" s="3">
        <v>2.2161693572997998</v>
      </c>
      <c r="J298" s="3">
        <v>2.56196737289428</v>
      </c>
      <c r="K298" s="3">
        <v>3.8660259764974501</v>
      </c>
      <c r="L298" s="3">
        <v>1.4870000000000001</v>
      </c>
      <c r="M298" s="3">
        <v>0.92</v>
      </c>
      <c r="N298" s="3">
        <v>0.45700000000000002</v>
      </c>
      <c r="O298" s="3">
        <v>4.5999999999999999E-2</v>
      </c>
      <c r="P298" s="3">
        <v>3.5999999999999997E-2</v>
      </c>
      <c r="Q298" s="3"/>
    </row>
    <row r="299" spans="1:17" x14ac:dyDescent="0.25">
      <c r="A299" s="3" t="s">
        <v>80</v>
      </c>
      <c r="B299" s="3" t="s">
        <v>39</v>
      </c>
      <c r="C299" s="3">
        <v>2020</v>
      </c>
      <c r="D299" s="3">
        <v>6.9109001159999996</v>
      </c>
      <c r="E299" s="3">
        <v>1.2123223540000001</v>
      </c>
      <c r="F299" s="3">
        <v>3.1612952849773999</v>
      </c>
      <c r="G299" s="3">
        <v>2.8708853148955402</v>
      </c>
      <c r="H299" s="3">
        <v>4.53812503814697</v>
      </c>
      <c r="I299" s="3">
        <v>3.6316269999999999</v>
      </c>
      <c r="J299" s="3">
        <v>0.113171607255935</v>
      </c>
      <c r="K299" s="3">
        <v>3.2191868667436099</v>
      </c>
      <c r="L299" s="3">
        <v>1.40528667</v>
      </c>
      <c r="M299" s="3">
        <v>0.89456444999999996</v>
      </c>
      <c r="N299" s="3">
        <v>0.505744576</v>
      </c>
      <c r="O299" s="3">
        <v>4.6325929000000002E-2</v>
      </c>
      <c r="P299" s="3">
        <v>4.9803223000000001E-2</v>
      </c>
      <c r="Q299" s="3"/>
    </row>
    <row r="300" spans="1:17" x14ac:dyDescent="0.25">
      <c r="A300" s="3" t="s">
        <v>80</v>
      </c>
      <c r="B300" s="3" t="s">
        <v>39</v>
      </c>
      <c r="C300" s="3">
        <v>2021</v>
      </c>
      <c r="D300" s="3">
        <v>6.9649999999999999</v>
      </c>
      <c r="E300" s="3">
        <v>1.37</v>
      </c>
      <c r="F300" s="3">
        <v>3.839845</v>
      </c>
      <c r="G300" s="3">
        <v>1.3940589999999999</v>
      </c>
      <c r="H300" s="3">
        <v>0.80100000000000005</v>
      </c>
      <c r="I300" s="3">
        <v>4.99</v>
      </c>
      <c r="J300" s="3">
        <v>5.75</v>
      </c>
      <c r="K300" s="3">
        <v>3.3317002737171002</v>
      </c>
      <c r="L300" s="3">
        <v>1.0900000000000001</v>
      </c>
      <c r="M300" s="3">
        <v>0.70299999999999996</v>
      </c>
      <c r="N300" s="3">
        <v>0.57999999999999996</v>
      </c>
      <c r="O300" s="3">
        <v>5.1999999999999998E-2</v>
      </c>
      <c r="P300" s="3">
        <v>4.5999999999999999E-2</v>
      </c>
      <c r="Q300" s="3"/>
    </row>
    <row r="301" spans="1:17" x14ac:dyDescent="0.25">
      <c r="A301" s="3" t="s">
        <v>81</v>
      </c>
      <c r="B301" s="3" t="s">
        <v>50</v>
      </c>
      <c r="C301" s="3">
        <v>2015</v>
      </c>
      <c r="D301" s="3">
        <v>7.5270000000000001</v>
      </c>
      <c r="E301" s="3">
        <v>1.32548</v>
      </c>
      <c r="F301" s="3">
        <v>0.45203107595443698</v>
      </c>
      <c r="G301" s="3">
        <v>5.0028067082166602E-2</v>
      </c>
      <c r="H301" s="3">
        <v>1.0355294942855799</v>
      </c>
      <c r="I301" s="3">
        <v>-19.07710647583</v>
      </c>
      <c r="J301" s="3">
        <v>-3.6838078498840301</v>
      </c>
      <c r="K301" s="3">
        <v>0.43230684263649399</v>
      </c>
      <c r="L301" s="3">
        <v>1.3605799999999999</v>
      </c>
      <c r="M301" s="3">
        <v>0.87463999999999997</v>
      </c>
      <c r="N301" s="3">
        <v>0.64937999999999996</v>
      </c>
      <c r="O301" s="3">
        <v>0.34139000000000003</v>
      </c>
      <c r="P301" s="3">
        <v>0.48357</v>
      </c>
      <c r="Q301" s="3"/>
    </row>
    <row r="302" spans="1:17" x14ac:dyDescent="0.25">
      <c r="A302" s="3" t="s">
        <v>81</v>
      </c>
      <c r="B302" s="3" t="s">
        <v>50</v>
      </c>
      <c r="C302" s="3">
        <v>2016</v>
      </c>
      <c r="D302" s="3">
        <v>7.5259999999999998</v>
      </c>
      <c r="E302" s="3">
        <v>1.4417800000000001</v>
      </c>
      <c r="F302" s="3">
        <v>0.25</v>
      </c>
      <c r="G302" s="3">
        <v>0.80833435058593694</v>
      </c>
      <c r="H302" s="3">
        <v>9.9990144371986306E-2</v>
      </c>
      <c r="I302" s="3">
        <v>2.0545072555541899</v>
      </c>
      <c r="J302" s="3">
        <v>-1.3998520374298</v>
      </c>
      <c r="K302" s="3">
        <v>0.25314775485437802</v>
      </c>
      <c r="L302" s="3">
        <v>1.16374</v>
      </c>
      <c r="M302" s="3">
        <v>0.79503999999999997</v>
      </c>
      <c r="N302" s="3">
        <v>0.57940999999999998</v>
      </c>
      <c r="O302" s="3">
        <v>0.36170999999999998</v>
      </c>
      <c r="P302" s="3">
        <v>0.44452999999999998</v>
      </c>
      <c r="Q302" s="3"/>
    </row>
    <row r="303" spans="1:17" x14ac:dyDescent="0.25">
      <c r="A303" s="3" t="s">
        <v>81</v>
      </c>
      <c r="B303" s="3" t="s">
        <v>50</v>
      </c>
      <c r="C303" s="3">
        <v>2017</v>
      </c>
      <c r="D303" s="3">
        <v>7.521999836</v>
      </c>
      <c r="E303" s="3">
        <v>1.482383013</v>
      </c>
      <c r="F303" s="3">
        <v>1.0580000000000001</v>
      </c>
      <c r="G303" s="3">
        <v>1.23171234130859</v>
      </c>
      <c r="H303" s="3">
        <v>2.8052954673767001</v>
      </c>
      <c r="I303" s="3">
        <v>14.472062110900801</v>
      </c>
      <c r="J303" s="3">
        <v>2.50146007537841</v>
      </c>
      <c r="K303" s="3">
        <v>1.1878304126197501</v>
      </c>
      <c r="L303" s="3">
        <v>1.551121593</v>
      </c>
      <c r="M303" s="3">
        <v>0.79256552499999999</v>
      </c>
      <c r="N303" s="3">
        <v>0.62600672199999996</v>
      </c>
      <c r="O303" s="3">
        <v>0.35528048899999998</v>
      </c>
      <c r="P303" s="3">
        <v>0.40077006799999998</v>
      </c>
      <c r="Q303" s="3"/>
    </row>
    <row r="304" spans="1:17" x14ac:dyDescent="0.25">
      <c r="A304" s="3" t="s">
        <v>81</v>
      </c>
      <c r="B304" s="3" t="s">
        <v>50</v>
      </c>
      <c r="C304" s="3">
        <v>2018</v>
      </c>
      <c r="D304" s="3">
        <v>7.5549999999999997</v>
      </c>
      <c r="E304" s="3">
        <v>1.351</v>
      </c>
      <c r="F304" s="3">
        <v>0.81</v>
      </c>
      <c r="G304" s="3">
        <v>1.17589116096496</v>
      </c>
      <c r="H304" s="3">
        <v>4.0490768849849701E-2</v>
      </c>
      <c r="I304" s="3">
        <v>0.64981931447982699</v>
      </c>
      <c r="J304" s="3">
        <v>4.3037323951721103</v>
      </c>
      <c r="K304" s="3">
        <v>0.57385859152295904</v>
      </c>
      <c r="L304" s="3">
        <v>1.59</v>
      </c>
      <c r="M304" s="3">
        <v>0.86799999999999999</v>
      </c>
      <c r="N304" s="3">
        <v>0.68300000000000005</v>
      </c>
      <c r="O304" s="3">
        <v>0.28399999999999997</v>
      </c>
      <c r="P304" s="3">
        <v>0.40799999999999997</v>
      </c>
    </row>
    <row r="305" spans="1:17" x14ac:dyDescent="0.25">
      <c r="A305" s="3" t="s">
        <v>81</v>
      </c>
      <c r="B305" s="3" t="s">
        <v>50</v>
      </c>
      <c r="C305" s="3">
        <v>2019</v>
      </c>
      <c r="D305" s="3">
        <v>7.6</v>
      </c>
      <c r="E305" s="3">
        <v>1.383</v>
      </c>
      <c r="F305" s="3">
        <v>0.72899997234344405</v>
      </c>
      <c r="G305" s="3">
        <v>-0.29168531298637301</v>
      </c>
      <c r="H305" s="3">
        <v>1.3921489715576101</v>
      </c>
      <c r="I305" s="3">
        <v>0.76425480842590299</v>
      </c>
      <c r="J305" s="3">
        <v>-0.64815694093704201</v>
      </c>
      <c r="K305" s="3">
        <v>0.742502950496711</v>
      </c>
      <c r="L305" s="3">
        <v>1.573</v>
      </c>
      <c r="M305" s="3">
        <v>0.996</v>
      </c>
      <c r="N305" s="3">
        <v>0.59199999999999997</v>
      </c>
      <c r="O305" s="3">
        <v>0.252</v>
      </c>
      <c r="P305" s="3">
        <v>0.41</v>
      </c>
      <c r="Q305" s="3"/>
    </row>
    <row r="306" spans="1:17" x14ac:dyDescent="0.25">
      <c r="A306" s="3" t="s">
        <v>81</v>
      </c>
      <c r="B306" s="3" t="s">
        <v>50</v>
      </c>
      <c r="C306" s="3">
        <v>2020</v>
      </c>
      <c r="D306" s="3">
        <v>7.6455998420000002</v>
      </c>
      <c r="E306" s="3">
        <v>1.3269485240000001</v>
      </c>
      <c r="F306" s="3">
        <v>0.42071197411002598</v>
      </c>
      <c r="G306" s="3">
        <v>0.25626651717786397</v>
      </c>
      <c r="H306" s="3">
        <v>0.63895510689115298</v>
      </c>
      <c r="I306" s="3">
        <v>0.93357840000000003</v>
      </c>
      <c r="J306" s="3">
        <v>-2.7368923542055601</v>
      </c>
      <c r="K306" s="3">
        <v>2.0450520256807598</v>
      </c>
      <c r="L306" s="3">
        <v>1.5034492020000001</v>
      </c>
      <c r="M306" s="3">
        <v>0.97933256599999996</v>
      </c>
      <c r="N306" s="3">
        <v>0.66503989699999999</v>
      </c>
      <c r="O306" s="3">
        <v>0.24279339599999999</v>
      </c>
      <c r="P306" s="3">
        <v>0.49526032800000003</v>
      </c>
      <c r="Q306" s="3"/>
    </row>
    <row r="307" spans="1:17" x14ac:dyDescent="0.25">
      <c r="A307" s="3" t="s">
        <v>81</v>
      </c>
      <c r="B307" s="3" t="s">
        <v>50</v>
      </c>
      <c r="C307" s="3">
        <v>2021</v>
      </c>
      <c r="D307" s="3">
        <v>7.62</v>
      </c>
      <c r="E307" s="3">
        <v>1.502</v>
      </c>
      <c r="F307" s="3">
        <v>1.8530450000000001</v>
      </c>
      <c r="G307" s="3">
        <v>11.53909</v>
      </c>
      <c r="H307" s="3">
        <v>0.57899999999999996</v>
      </c>
      <c r="I307" s="3">
        <v>1.2</v>
      </c>
      <c r="J307" s="3">
        <v>13.6359918200412</v>
      </c>
      <c r="K307" s="3">
        <v>2.7666081934850602</v>
      </c>
      <c r="L307" s="3">
        <v>1.1080000000000001</v>
      </c>
      <c r="M307" s="3">
        <v>0.76300000000000001</v>
      </c>
      <c r="N307" s="3">
        <v>0.68600000000000005</v>
      </c>
      <c r="O307" s="3">
        <v>0.20799999999999999</v>
      </c>
      <c r="P307" s="3">
        <v>0.48499999999999999</v>
      </c>
      <c r="Q307" s="3"/>
    </row>
    <row r="308" spans="1:17" x14ac:dyDescent="0.25">
      <c r="A308" s="3" t="s">
        <v>81</v>
      </c>
      <c r="B308" s="3" t="s">
        <v>50</v>
      </c>
      <c r="C308" s="3">
        <v>2022</v>
      </c>
      <c r="D308" s="3">
        <v>7.6360000000000001</v>
      </c>
      <c r="E308" s="3">
        <v>1.9530000000000001</v>
      </c>
      <c r="F308" s="3">
        <v>7.6965669999999999</v>
      </c>
      <c r="G308" s="3">
        <v>41.564893969781203</v>
      </c>
      <c r="H308" s="3">
        <v>11.514200000000001</v>
      </c>
      <c r="I308" s="3">
        <v>4.0315689532399697</v>
      </c>
      <c r="J308" s="3">
        <v>28.879930895479301</v>
      </c>
      <c r="K308" s="3">
        <v>7.0451443935950602</v>
      </c>
      <c r="L308" s="3">
        <v>1.2430000000000001</v>
      </c>
      <c r="M308" s="3">
        <v>0.77700000000000002</v>
      </c>
      <c r="N308" s="3">
        <v>0.71899999999999997</v>
      </c>
      <c r="O308" s="3">
        <v>0.188</v>
      </c>
      <c r="P308" s="3">
        <v>0.53200000000000003</v>
      </c>
      <c r="Q308" s="3"/>
    </row>
    <row r="309" spans="1:17" x14ac:dyDescent="0.25">
      <c r="A309" s="3" t="s">
        <v>81</v>
      </c>
      <c r="B309" s="3" t="s">
        <v>50</v>
      </c>
      <c r="C309" s="3">
        <v>2023</v>
      </c>
      <c r="D309" s="3">
        <v>7.5860000000000003</v>
      </c>
      <c r="E309" s="3">
        <v>1.9490000000000001</v>
      </c>
      <c r="F309" s="3">
        <v>3.3051781123760602</v>
      </c>
      <c r="G309" s="3">
        <v>-10.9338234816053</v>
      </c>
      <c r="H309" s="3">
        <v>8.3946558400723692</v>
      </c>
      <c r="I309" s="3">
        <v>4.3117186088156503</v>
      </c>
      <c r="J309" s="3">
        <v>-0.29602323503133599</v>
      </c>
      <c r="K309" s="3">
        <v>-3.08579268920312</v>
      </c>
      <c r="L309" s="3">
        <v>1.548</v>
      </c>
      <c r="M309" s="3">
        <v>0.53700000000000003</v>
      </c>
      <c r="N309" s="3">
        <v>0.73399999999999999</v>
      </c>
      <c r="O309" s="3">
        <v>0.20799999999999999</v>
      </c>
      <c r="P309" s="3">
        <v>0.52500000000000002</v>
      </c>
      <c r="Q309" s="3"/>
    </row>
    <row r="310" spans="1:17" x14ac:dyDescent="0.25">
      <c r="A310" s="3" t="s">
        <v>82</v>
      </c>
      <c r="B310" s="3" t="s">
        <v>43</v>
      </c>
      <c r="C310" s="3">
        <v>2015</v>
      </c>
      <c r="D310" s="3">
        <v>4.3689999999999998</v>
      </c>
      <c r="E310" s="3">
        <v>0.44024999999999997</v>
      </c>
      <c r="F310" s="3">
        <v>2.1040000915527299</v>
      </c>
      <c r="G310" s="3">
        <v>-2.5999999046325599</v>
      </c>
      <c r="H310" s="3">
        <v>3.1199998855590798</v>
      </c>
      <c r="I310" s="3">
        <v>1.9761870500000001</v>
      </c>
      <c r="J310" s="5"/>
      <c r="K310" s="3">
        <v>2.4799668416689702</v>
      </c>
      <c r="L310" s="3">
        <v>0.59206999999999999</v>
      </c>
      <c r="M310" s="3">
        <v>0.36291000000000001</v>
      </c>
      <c r="N310" s="3">
        <v>0.46073999999999998</v>
      </c>
      <c r="O310" s="3">
        <v>0.18093000000000001</v>
      </c>
      <c r="P310" s="3">
        <v>0.28105000000000002</v>
      </c>
      <c r="Q310" s="3"/>
    </row>
    <row r="311" spans="1:17" x14ac:dyDescent="0.25">
      <c r="A311" s="3" t="s">
        <v>83</v>
      </c>
      <c r="B311" s="3" t="s">
        <v>45</v>
      </c>
      <c r="C311" s="3">
        <v>2015</v>
      </c>
      <c r="D311" s="3">
        <v>4.8849999999999998</v>
      </c>
      <c r="E311" s="3">
        <v>0.89537</v>
      </c>
      <c r="F311" s="3">
        <v>0.846721231937408</v>
      </c>
      <c r="G311" s="3">
        <v>-4.4753465652465803</v>
      </c>
      <c r="H311" s="3">
        <v>6.7362551689147896</v>
      </c>
      <c r="I311" s="3">
        <v>2.23233890533447</v>
      </c>
      <c r="J311" s="5"/>
      <c r="K311" s="3">
        <v>2.4720439533965402</v>
      </c>
      <c r="L311" s="3">
        <v>1.1720200000000001</v>
      </c>
      <c r="M311" s="3">
        <v>0.66825000000000001</v>
      </c>
      <c r="N311" s="3">
        <v>0.57672000000000001</v>
      </c>
      <c r="O311" s="3">
        <v>0.21684</v>
      </c>
      <c r="P311" s="3">
        <v>0.14233999999999999</v>
      </c>
      <c r="Q311" s="3"/>
    </row>
    <row r="312" spans="1:17" x14ac:dyDescent="0.25">
      <c r="A312" s="3" t="s">
        <v>83</v>
      </c>
      <c r="B312" s="3" t="s">
        <v>45</v>
      </c>
      <c r="C312" s="3">
        <v>2016</v>
      </c>
      <c r="D312" s="3">
        <v>5.1550000000000002</v>
      </c>
      <c r="E312" s="3">
        <v>1.0278700000000001</v>
      </c>
      <c r="F312" s="3">
        <v>1.6253967285156199</v>
      </c>
      <c r="G312" s="3">
        <v>1.9950090646743699</v>
      </c>
      <c r="H312" s="3">
        <v>2.1500055789947501</v>
      </c>
      <c r="I312" s="3">
        <v>1.6841397285461399</v>
      </c>
      <c r="J312" s="5"/>
      <c r="K312" s="3">
        <v>1.9937959183673399</v>
      </c>
      <c r="L312" s="3">
        <v>0.99495999999999996</v>
      </c>
      <c r="M312" s="3">
        <v>0.57669000000000004</v>
      </c>
      <c r="N312" s="3">
        <v>0.52259</v>
      </c>
      <c r="O312" s="3">
        <v>0.21285999999999999</v>
      </c>
      <c r="P312" s="3">
        <v>0.12372</v>
      </c>
      <c r="Q312" s="3"/>
    </row>
    <row r="313" spans="1:17" x14ac:dyDescent="0.25">
      <c r="A313" s="3" t="s">
        <v>83</v>
      </c>
      <c r="B313" s="3" t="s">
        <v>45</v>
      </c>
      <c r="C313" s="3">
        <v>2017</v>
      </c>
      <c r="D313" s="3">
        <v>5.2300000190000002</v>
      </c>
      <c r="E313" s="3">
        <v>1.0793738369999999</v>
      </c>
      <c r="F313" s="3">
        <v>3.28</v>
      </c>
      <c r="G313" s="3">
        <v>5.3222408294677699</v>
      </c>
      <c r="H313" s="3">
        <v>2.3134202957153298</v>
      </c>
      <c r="I313" s="3">
        <v>2.1823155879974299</v>
      </c>
      <c r="J313" s="5"/>
      <c r="K313" s="3">
        <v>4.1811266631663804</v>
      </c>
      <c r="L313" s="3">
        <v>1.4024167059999999</v>
      </c>
      <c r="M313" s="3">
        <v>0.57487374499999999</v>
      </c>
      <c r="N313" s="3">
        <v>0.55258983399999995</v>
      </c>
      <c r="O313" s="3">
        <v>0.18696784999999999</v>
      </c>
      <c r="P313" s="3">
        <v>0.113945253</v>
      </c>
      <c r="Q313" s="3"/>
    </row>
    <row r="314" spans="1:17" x14ac:dyDescent="0.25">
      <c r="A314" s="3" t="s">
        <v>83</v>
      </c>
      <c r="B314" s="3" t="s">
        <v>45</v>
      </c>
      <c r="C314" s="3">
        <v>2018</v>
      </c>
      <c r="D314" s="3">
        <v>5.3019999999999996</v>
      </c>
      <c r="E314" s="3">
        <v>0.98199999999999998</v>
      </c>
      <c r="F314" s="3">
        <v>3.56</v>
      </c>
      <c r="G314" s="3">
        <v>3.8987352848052899</v>
      </c>
      <c r="H314" s="3">
        <v>3.6090672016143799</v>
      </c>
      <c r="I314" s="3">
        <v>2.57506871223449</v>
      </c>
      <c r="J314" s="5"/>
      <c r="K314" s="3">
        <v>4.1214937188091403</v>
      </c>
      <c r="L314" s="3">
        <v>1.4410000000000001</v>
      </c>
      <c r="M314" s="3">
        <v>0.61399999999999999</v>
      </c>
      <c r="N314" s="3">
        <v>0.57799999999999996</v>
      </c>
      <c r="O314" s="3">
        <v>0.12</v>
      </c>
      <c r="P314" s="3">
        <v>0.106</v>
      </c>
      <c r="Q314" s="3"/>
    </row>
    <row r="315" spans="1:17" x14ac:dyDescent="0.25">
      <c r="A315" s="3" t="s">
        <v>83</v>
      </c>
      <c r="B315" s="3" t="s">
        <v>45</v>
      </c>
      <c r="C315" s="3">
        <v>2019</v>
      </c>
      <c r="D315" s="3">
        <v>5.4249999999999998</v>
      </c>
      <c r="E315" s="3">
        <v>1.0149999999999999</v>
      </c>
      <c r="F315" s="3">
        <v>1.8109999895095801</v>
      </c>
      <c r="G315" s="3">
        <v>-2.25208091735839</v>
      </c>
      <c r="H315" s="3">
        <v>3.7522313594818102</v>
      </c>
      <c r="I315" s="3">
        <v>2.1416559219360298</v>
      </c>
      <c r="J315" s="5"/>
      <c r="K315" s="3">
        <v>2.5257652850413899</v>
      </c>
      <c r="L315" s="3">
        <v>1.401</v>
      </c>
      <c r="M315" s="3">
        <v>0.77900000000000003</v>
      </c>
      <c r="N315" s="3">
        <v>0.497</v>
      </c>
      <c r="O315" s="3">
        <v>0.113</v>
      </c>
      <c r="P315" s="3">
        <v>0.10100000000000001</v>
      </c>
      <c r="Q315" s="3"/>
    </row>
    <row r="316" spans="1:17" x14ac:dyDescent="0.25">
      <c r="A316" s="3" t="s">
        <v>83</v>
      </c>
      <c r="B316" s="3" t="s">
        <v>45</v>
      </c>
      <c r="C316" s="3">
        <v>2020</v>
      </c>
      <c r="D316" s="3">
        <v>5.6891999240000004</v>
      </c>
      <c r="E316" s="3">
        <v>0.98319184800000003</v>
      </c>
      <c r="F316" s="3">
        <v>3.7810317945783098</v>
      </c>
      <c r="G316" s="3">
        <v>2.2038907650097799</v>
      </c>
      <c r="H316" s="3">
        <v>6.3536009788513104</v>
      </c>
      <c r="I316" s="3">
        <v>3.6283648014068599</v>
      </c>
      <c r="J316" s="5"/>
      <c r="K316" s="3">
        <v>4.4814701801454202</v>
      </c>
      <c r="L316" s="3">
        <v>1.328888893</v>
      </c>
      <c r="M316" s="3">
        <v>0.741901696</v>
      </c>
      <c r="N316" s="3">
        <v>0.56287390000000004</v>
      </c>
      <c r="O316" s="3">
        <v>0.112196781</v>
      </c>
      <c r="P316" s="3">
        <v>0.11594568199999999</v>
      </c>
      <c r="Q316" s="3"/>
    </row>
    <row r="317" spans="1:17" x14ac:dyDescent="0.25">
      <c r="A317" s="3" t="s">
        <v>83</v>
      </c>
      <c r="B317" s="3" t="s">
        <v>45</v>
      </c>
      <c r="C317" s="3">
        <v>2021</v>
      </c>
      <c r="D317" s="3">
        <v>5.5449999999999999</v>
      </c>
      <c r="E317" s="3">
        <v>1.1060000000000001</v>
      </c>
      <c r="F317" s="3">
        <v>8.2429207544779199</v>
      </c>
      <c r="G317" s="3">
        <v>6.47</v>
      </c>
      <c r="H317" s="3">
        <v>9.8699999999999992</v>
      </c>
      <c r="I317" s="3">
        <v>5.9243627937768801</v>
      </c>
      <c r="J317" s="5"/>
      <c r="K317" s="3">
        <v>7.7771581192044899</v>
      </c>
      <c r="L317" s="3">
        <v>0.879</v>
      </c>
      <c r="M317" s="3">
        <v>0.55500000000000005</v>
      </c>
      <c r="N317" s="3">
        <v>0.58099999999999996</v>
      </c>
      <c r="O317" s="3">
        <v>0.10100000000000001</v>
      </c>
      <c r="P317" s="3">
        <v>0.14399999999999999</v>
      </c>
      <c r="Q317" s="3"/>
    </row>
    <row r="318" spans="1:17" x14ac:dyDescent="0.25">
      <c r="A318" s="3" t="s">
        <v>83</v>
      </c>
      <c r="B318" s="3" t="s">
        <v>45</v>
      </c>
      <c r="C318" s="3">
        <v>2022</v>
      </c>
      <c r="D318" s="3">
        <v>5.7370000000000001</v>
      </c>
      <c r="E318" s="3">
        <v>1.538</v>
      </c>
      <c r="F318" s="3">
        <v>8.8110920927958105</v>
      </c>
      <c r="G318" s="3">
        <v>10.903401135247099</v>
      </c>
      <c r="H318" s="3">
        <v>10.645691611314</v>
      </c>
      <c r="I318" s="3">
        <v>6.9897891422722997</v>
      </c>
      <c r="J318" s="5"/>
      <c r="K318" s="3">
        <v>10.7537263586474</v>
      </c>
      <c r="L318" s="3">
        <v>1.0029999999999999</v>
      </c>
      <c r="M318" s="3">
        <v>0.57699999999999996</v>
      </c>
      <c r="N318" s="3">
        <v>0.60599999999999998</v>
      </c>
      <c r="O318" s="3">
        <v>8.4000000000000005E-2</v>
      </c>
      <c r="P318" s="3">
        <v>0.17899999999999999</v>
      </c>
      <c r="Q318" s="3"/>
    </row>
    <row r="319" spans="1:17" x14ac:dyDescent="0.25">
      <c r="A319" s="3" t="s">
        <v>83</v>
      </c>
      <c r="B319" s="3" t="s">
        <v>45</v>
      </c>
      <c r="C319" s="3">
        <v>2023</v>
      </c>
      <c r="D319" s="3">
        <v>5.569</v>
      </c>
      <c r="E319" s="3">
        <v>1.536</v>
      </c>
      <c r="F319" s="3">
        <v>4.78561281021135</v>
      </c>
      <c r="G319" s="3">
        <v>-0.58006939096363896</v>
      </c>
      <c r="H319" s="3">
        <v>7.8062462669294002</v>
      </c>
      <c r="I319" s="3">
        <v>5.2984388006951697</v>
      </c>
      <c r="J319" s="5"/>
      <c r="K319" s="3">
        <v>6.4996829186711498</v>
      </c>
      <c r="L319" s="3">
        <v>1.2270000000000001</v>
      </c>
      <c r="M319" s="3">
        <v>0.35099999999999998</v>
      </c>
      <c r="N319" s="3">
        <v>0.623</v>
      </c>
      <c r="O319" s="3">
        <v>8.3000000000000004E-2</v>
      </c>
      <c r="P319" s="3">
        <v>0.19500000000000001</v>
      </c>
      <c r="Q319" s="3"/>
    </row>
    <row r="320" spans="1:17" x14ac:dyDescent="0.25">
      <c r="A320" s="3" t="s">
        <v>84</v>
      </c>
      <c r="B320" s="3" t="s">
        <v>45</v>
      </c>
      <c r="C320" s="3">
        <v>2015</v>
      </c>
      <c r="D320" s="3">
        <v>5.9749999999999996</v>
      </c>
      <c r="E320" s="3">
        <v>0.86402000000000001</v>
      </c>
      <c r="F320" s="3">
        <v>3.9691102504730198</v>
      </c>
      <c r="G320" s="3">
        <v>5.5262689590454102</v>
      </c>
      <c r="H320" s="3">
        <v>4.2099895477294904</v>
      </c>
      <c r="I320" s="5"/>
      <c r="J320" s="3">
        <v>1.9709715843200599</v>
      </c>
      <c r="K320" s="3">
        <v>-2.4912994038799301</v>
      </c>
      <c r="L320" s="3">
        <v>0.99902999999999997</v>
      </c>
      <c r="M320" s="3">
        <v>0.79074999999999995</v>
      </c>
      <c r="N320" s="3">
        <v>0.48574000000000001</v>
      </c>
      <c r="O320" s="3">
        <v>0.11541</v>
      </c>
      <c r="P320" s="3">
        <v>0.18090000000000001</v>
      </c>
      <c r="Q320" s="3"/>
    </row>
    <row r="321" spans="1:17" x14ac:dyDescent="0.25">
      <c r="A321" s="3" t="s">
        <v>84</v>
      </c>
      <c r="B321" s="3" t="s">
        <v>45</v>
      </c>
      <c r="C321" s="3">
        <v>2016</v>
      </c>
      <c r="D321" s="3">
        <v>5.976</v>
      </c>
      <c r="E321" s="3">
        <v>0.97306000000000004</v>
      </c>
      <c r="F321" s="3">
        <v>1.73001325130462</v>
      </c>
      <c r="G321" s="3">
        <v>3.46393370628356</v>
      </c>
      <c r="H321" s="3">
        <v>2.5358130931854199</v>
      </c>
      <c r="I321" s="5"/>
      <c r="J321" s="3">
        <v>5.4906703531741999E-2</v>
      </c>
      <c r="K321" s="3">
        <v>1.9019011944307</v>
      </c>
      <c r="L321" s="3">
        <v>0.85973999999999995</v>
      </c>
      <c r="M321" s="3">
        <v>0.68613000000000002</v>
      </c>
      <c r="N321" s="3">
        <v>0.4027</v>
      </c>
      <c r="O321" s="3">
        <v>0.10074</v>
      </c>
      <c r="P321" s="3">
        <v>0.18037</v>
      </c>
      <c r="Q321" s="3"/>
    </row>
    <row r="322" spans="1:17" x14ac:dyDescent="0.25">
      <c r="A322" s="3" t="s">
        <v>84</v>
      </c>
      <c r="B322" s="3" t="s">
        <v>45</v>
      </c>
      <c r="C322" s="3">
        <v>2017</v>
      </c>
      <c r="D322" s="3">
        <v>6.0079998970000004</v>
      </c>
      <c r="E322" s="3">
        <v>1.0008203980000001</v>
      </c>
      <c r="F322" s="3">
        <v>0.41699999999999998</v>
      </c>
      <c r="G322" s="3">
        <v>2.0334718227386399</v>
      </c>
      <c r="H322" s="3">
        <v>0.499474316835403</v>
      </c>
      <c r="I322" s="5"/>
      <c r="J322" s="3">
        <v>-0.66377079486846902</v>
      </c>
      <c r="K322" s="3">
        <v>1.94616488996468</v>
      </c>
      <c r="L322" s="3">
        <v>1.286168814</v>
      </c>
      <c r="M322" s="3">
        <v>0.68563622199999996</v>
      </c>
      <c r="N322" s="3">
        <v>0.45519819900000003</v>
      </c>
      <c r="O322" s="3">
        <v>0.150112465</v>
      </c>
      <c r="P322" s="3">
        <v>0.140134647</v>
      </c>
      <c r="Q322" s="3"/>
    </row>
    <row r="323" spans="1:17" x14ac:dyDescent="0.25">
      <c r="A323" s="3" t="s">
        <v>84</v>
      </c>
      <c r="B323" s="3" t="s">
        <v>45</v>
      </c>
      <c r="C323" s="3">
        <v>2018</v>
      </c>
      <c r="D323" s="3">
        <v>5.9729999999999999</v>
      </c>
      <c r="E323" s="3">
        <v>0.88900000000000001</v>
      </c>
      <c r="F323" s="3">
        <v>-0.22</v>
      </c>
      <c r="G323" s="3">
        <v>1.4329423904418901</v>
      </c>
      <c r="H323" s="3">
        <v>-1.6311403512954701</v>
      </c>
      <c r="I323" s="5"/>
      <c r="J323" s="3">
        <v>1.31191754341125</v>
      </c>
      <c r="K323" s="3">
        <v>1.8192085014321</v>
      </c>
      <c r="L323" s="3">
        <v>1.33</v>
      </c>
      <c r="M323" s="3">
        <v>0.73599999999999999</v>
      </c>
      <c r="N323" s="3">
        <v>0.55600000000000005</v>
      </c>
      <c r="O323" s="3">
        <v>0.114</v>
      </c>
      <c r="P323" s="3">
        <v>0.12</v>
      </c>
      <c r="Q323" s="3"/>
    </row>
    <row r="324" spans="1:17" x14ac:dyDescent="0.25">
      <c r="A324" s="3" t="s">
        <v>84</v>
      </c>
      <c r="B324" s="3" t="s">
        <v>45</v>
      </c>
      <c r="C324" s="3">
        <v>2019</v>
      </c>
      <c r="D324" s="3">
        <v>6.0279999999999996</v>
      </c>
      <c r="E324" s="3">
        <v>0.91200000000000003</v>
      </c>
      <c r="F324" s="3">
        <v>0.26600000262260398</v>
      </c>
      <c r="G324" s="3">
        <v>0.806352138519287</v>
      </c>
      <c r="H324" s="3">
        <v>4.4523704797029398E-2</v>
      </c>
      <c r="I324" s="5"/>
      <c r="J324" s="3">
        <v>-0.12351156771183</v>
      </c>
      <c r="K324" s="3">
        <v>0.49511896886963502</v>
      </c>
      <c r="L324" s="3">
        <v>1.3120000000000001</v>
      </c>
      <c r="M324" s="3">
        <v>0.86799999999999999</v>
      </c>
      <c r="N324" s="3">
        <v>0.498</v>
      </c>
      <c r="O324" s="3">
        <v>0.126</v>
      </c>
      <c r="P324" s="3">
        <v>8.6999999999999994E-2</v>
      </c>
      <c r="Q324" s="3"/>
    </row>
    <row r="325" spans="1:17" x14ac:dyDescent="0.25">
      <c r="A325" s="3" t="s">
        <v>84</v>
      </c>
      <c r="B325" s="3" t="s">
        <v>45</v>
      </c>
      <c r="C325" s="3">
        <v>2020</v>
      </c>
      <c r="D325" s="3">
        <v>5.925199986</v>
      </c>
      <c r="E325" s="3">
        <v>0.85338360099999999</v>
      </c>
      <c r="F325" s="3">
        <v>-0.338872392561816</v>
      </c>
      <c r="G325" s="3">
        <v>0.38055602074751299</v>
      </c>
      <c r="H325" s="3">
        <v>0.76011693477630604</v>
      </c>
      <c r="I325" s="5"/>
      <c r="J325" s="3">
        <v>-0.95864069461822499</v>
      </c>
      <c r="K325" s="3">
        <v>-3.33439714897407</v>
      </c>
      <c r="L325" s="3">
        <v>1.221027613</v>
      </c>
      <c r="M325" s="3">
        <v>0.83883774300000002</v>
      </c>
      <c r="N325" s="3">
        <v>0.55523455099999997</v>
      </c>
      <c r="O325" s="3">
        <v>0.115006477</v>
      </c>
      <c r="P325" s="3">
        <v>8.6753383000000003E-2</v>
      </c>
      <c r="Q325" s="3"/>
    </row>
    <row r="326" spans="1:17" x14ac:dyDescent="0.25">
      <c r="A326" s="3" t="s">
        <v>84</v>
      </c>
      <c r="B326" s="3" t="s">
        <v>45</v>
      </c>
      <c r="C326" s="3">
        <v>2021</v>
      </c>
      <c r="D326" s="3">
        <v>5.7640000000000002</v>
      </c>
      <c r="E326" s="3">
        <v>0.93500000000000005</v>
      </c>
      <c r="F326" s="3">
        <v>0.13317004149676301</v>
      </c>
      <c r="G326" s="3">
        <v>0.02</v>
      </c>
      <c r="H326" s="3">
        <v>-0.85</v>
      </c>
      <c r="I326" s="5"/>
      <c r="J326" s="3">
        <v>0.87406452244739197</v>
      </c>
      <c r="K326" s="3">
        <v>2.57933093464713</v>
      </c>
      <c r="L326" s="3">
        <v>0.80600000000000005</v>
      </c>
      <c r="M326" s="3">
        <v>0.64</v>
      </c>
      <c r="N326" s="3">
        <v>0.56000000000000005</v>
      </c>
      <c r="O326" s="3">
        <v>0.107</v>
      </c>
      <c r="P326" s="3">
        <v>6.2E-2</v>
      </c>
      <c r="Q326" s="3"/>
    </row>
    <row r="327" spans="1:17" x14ac:dyDescent="0.25">
      <c r="A327" s="3" t="s">
        <v>84</v>
      </c>
      <c r="B327" s="3" t="s">
        <v>45</v>
      </c>
      <c r="C327" s="3">
        <v>2022</v>
      </c>
      <c r="D327" s="3">
        <v>5.5330000000000004</v>
      </c>
      <c r="E327" s="3">
        <v>1.3520000000000001</v>
      </c>
      <c r="F327" s="3">
        <v>3.4661697221307701</v>
      </c>
      <c r="G327" s="3">
        <v>1.5968824721368</v>
      </c>
      <c r="H327" s="3">
        <v>4.7399340368132199</v>
      </c>
      <c r="I327" s="5"/>
      <c r="J327" s="3">
        <v>6.7329007621235704</v>
      </c>
      <c r="K327" s="3">
        <v>5.2725793327908796</v>
      </c>
      <c r="L327" s="3">
        <v>0.879</v>
      </c>
      <c r="M327" s="3">
        <v>0.70799999999999996</v>
      </c>
      <c r="N327" s="3">
        <v>0.56499999999999995</v>
      </c>
      <c r="O327" s="3">
        <v>0.08</v>
      </c>
      <c r="P327" s="3">
        <v>8.3000000000000004E-2</v>
      </c>
      <c r="Q327" s="3"/>
    </row>
    <row r="328" spans="1:17" x14ac:dyDescent="0.25">
      <c r="A328" s="3" t="s">
        <v>84</v>
      </c>
      <c r="B328" s="3" t="s">
        <v>45</v>
      </c>
      <c r="C328" s="3">
        <v>2023</v>
      </c>
      <c r="D328" s="3">
        <v>5.5590000000000002</v>
      </c>
      <c r="E328" s="3">
        <v>1.343</v>
      </c>
      <c r="F328" s="3">
        <v>2.2156876423705798</v>
      </c>
      <c r="G328" s="3">
        <v>1.0146890834289499</v>
      </c>
      <c r="H328" s="3">
        <v>5.55714341649277</v>
      </c>
      <c r="I328" s="5"/>
      <c r="J328" s="5"/>
      <c r="K328" s="3">
        <v>-0.37171241111722497</v>
      </c>
      <c r="L328" s="3">
        <v>1.173</v>
      </c>
      <c r="M328" s="3">
        <v>0.47599999999999998</v>
      </c>
      <c r="N328" s="3">
        <v>0.56000000000000005</v>
      </c>
      <c r="O328" s="3">
        <v>7.9000000000000001E-2</v>
      </c>
      <c r="P328" s="3">
        <v>6.9000000000000006E-2</v>
      </c>
      <c r="Q328" s="3"/>
    </row>
    <row r="329" spans="1:17" x14ac:dyDescent="0.25">
      <c r="A329" s="3" t="s">
        <v>85</v>
      </c>
      <c r="B329" s="3" t="s">
        <v>45</v>
      </c>
      <c r="C329" s="3">
        <v>2015</v>
      </c>
      <c r="D329" s="3">
        <v>6.13</v>
      </c>
      <c r="E329" s="3">
        <v>0.76454</v>
      </c>
      <c r="F329" s="3">
        <v>-0.73140531778335505</v>
      </c>
      <c r="G329" s="3">
        <v>-2.6582772731781001</v>
      </c>
      <c r="H329" s="3">
        <v>1.3742583990096999</v>
      </c>
      <c r="I329" s="3">
        <v>0.22314892709255199</v>
      </c>
      <c r="J329" s="3">
        <v>-0.108951307833194</v>
      </c>
      <c r="K329" s="3">
        <v>1.3129999999999999</v>
      </c>
      <c r="L329" s="3">
        <v>1.0250699999999999</v>
      </c>
      <c r="M329" s="3">
        <v>0.67737000000000003</v>
      </c>
      <c r="N329" s="3">
        <v>0.40350000000000003</v>
      </c>
      <c r="O329" s="3">
        <v>0.10692</v>
      </c>
      <c r="P329" s="3">
        <v>0.11776</v>
      </c>
    </row>
    <row r="330" spans="1:17" x14ac:dyDescent="0.25">
      <c r="A330" s="3" t="s">
        <v>85</v>
      </c>
      <c r="B330" s="3" t="s">
        <v>45</v>
      </c>
      <c r="C330" s="3">
        <v>2016</v>
      </c>
      <c r="D330" s="3">
        <v>6.0679999999999996</v>
      </c>
      <c r="E330" s="3">
        <v>0.87370000000000003</v>
      </c>
      <c r="F330" s="3">
        <v>0.60954934358596802</v>
      </c>
      <c r="G330" s="3">
        <v>9.3007249832153303</v>
      </c>
      <c r="H330" s="3">
        <v>-0.56420588493347101</v>
      </c>
      <c r="I330" s="3">
        <v>-1.65804736316204E-2</v>
      </c>
      <c r="J330" s="3">
        <v>-0.88947415351867598</v>
      </c>
      <c r="K330" s="3">
        <v>0.65045946719571202</v>
      </c>
      <c r="L330" s="3">
        <v>0.80974999999999997</v>
      </c>
      <c r="M330" s="3">
        <v>0.59599999999999997</v>
      </c>
      <c r="N330" s="3">
        <v>0.37269000000000002</v>
      </c>
      <c r="O330" s="3">
        <v>8.8770000000000002E-2</v>
      </c>
      <c r="P330" s="3">
        <v>0.10613</v>
      </c>
      <c r="Q330" s="3"/>
    </row>
    <row r="331" spans="1:17" x14ac:dyDescent="0.25">
      <c r="A331" s="3" t="s">
        <v>85</v>
      </c>
      <c r="B331" s="3" t="s">
        <v>45</v>
      </c>
      <c r="C331" s="3">
        <v>2017</v>
      </c>
      <c r="D331" s="3">
        <v>6.0029997829999999</v>
      </c>
      <c r="E331" s="3">
        <v>0.909784496</v>
      </c>
      <c r="F331" s="3">
        <v>1.014</v>
      </c>
      <c r="G331" s="3">
        <v>4.8951539993286097</v>
      </c>
      <c r="H331" s="3">
        <v>0.16001431643962799</v>
      </c>
      <c r="I331" s="3">
        <v>0.115292891860008</v>
      </c>
      <c r="J331" s="3">
        <v>1.2714526653289699</v>
      </c>
      <c r="K331" s="3">
        <v>0.98360334209390798</v>
      </c>
      <c r="L331" s="3">
        <v>1.1821250919999999</v>
      </c>
      <c r="M331" s="3">
        <v>0.59601855299999995</v>
      </c>
      <c r="N331" s="3">
        <v>0.43245253</v>
      </c>
      <c r="O331" s="3">
        <v>7.8257985000000002E-2</v>
      </c>
      <c r="P331" s="3">
        <v>8.9980959999999999E-2</v>
      </c>
      <c r="Q331" s="3"/>
    </row>
    <row r="332" spans="1:17" x14ac:dyDescent="0.25">
      <c r="A332" s="3" t="s">
        <v>85</v>
      </c>
      <c r="B332" s="3" t="s">
        <v>45</v>
      </c>
      <c r="C332" s="3">
        <v>2018</v>
      </c>
      <c r="D332" s="3">
        <v>6.1669999999999998</v>
      </c>
      <c r="E332" s="3">
        <v>0.80600000000000005</v>
      </c>
      <c r="F332" s="3">
        <v>1.0900000000000001</v>
      </c>
      <c r="G332" s="3">
        <v>3.2683262825012198</v>
      </c>
      <c r="H332" s="3">
        <v>0.52953118085861195</v>
      </c>
      <c r="I332" s="3">
        <v>0.19245937466621399</v>
      </c>
      <c r="J332" s="3">
        <v>1.57195377349853</v>
      </c>
      <c r="K332" s="3">
        <v>2.0752609856761302</v>
      </c>
      <c r="L332" s="3">
        <v>1.2310000000000001</v>
      </c>
      <c r="M332" s="3">
        <v>0.63900000000000001</v>
      </c>
      <c r="N332" s="3">
        <v>0.46100000000000002</v>
      </c>
      <c r="O332" s="3">
        <v>6.5000000000000002E-2</v>
      </c>
      <c r="P332" s="3">
        <v>8.2000000000000003E-2</v>
      </c>
      <c r="Q332" s="3"/>
    </row>
    <row r="333" spans="1:17" x14ac:dyDescent="0.25">
      <c r="A333" s="3" t="s">
        <v>85</v>
      </c>
      <c r="B333" s="3" t="s">
        <v>45</v>
      </c>
      <c r="C333" s="3">
        <v>2019</v>
      </c>
      <c r="D333" s="3">
        <v>6.2530000000000001</v>
      </c>
      <c r="E333" s="3">
        <v>0.79400000000000004</v>
      </c>
      <c r="F333" s="3">
        <v>7.4000000953674303E-2</v>
      </c>
      <c r="G333" s="3">
        <v>-0.67222684621810902</v>
      </c>
      <c r="H333" s="3">
        <v>1.1568757295608501</v>
      </c>
      <c r="I333" s="3">
        <v>6.6916488111019107E-2</v>
      </c>
      <c r="J333" s="3">
        <v>0.93970918655395497</v>
      </c>
      <c r="K333" s="3">
        <v>1.0588705380926999</v>
      </c>
      <c r="L333" s="3">
        <v>1.242</v>
      </c>
      <c r="M333" s="3">
        <v>0.78900000000000003</v>
      </c>
      <c r="N333" s="3">
        <v>0.43</v>
      </c>
      <c r="O333" s="3">
        <v>9.2999999999999999E-2</v>
      </c>
      <c r="P333" s="3">
        <v>7.3999999999999996E-2</v>
      </c>
      <c r="Q333" s="3"/>
    </row>
    <row r="334" spans="1:17" x14ac:dyDescent="0.25">
      <c r="A334" s="3" t="s">
        <v>85</v>
      </c>
      <c r="B334" s="3" t="s">
        <v>45</v>
      </c>
      <c r="C334" s="3">
        <v>2020</v>
      </c>
      <c r="D334" s="3">
        <v>6.3482999800000002</v>
      </c>
      <c r="E334" s="3">
        <v>0.74894040799999995</v>
      </c>
      <c r="F334" s="3">
        <v>-0.37159021232427403</v>
      </c>
      <c r="G334" s="3">
        <v>-3.4269099235534601</v>
      </c>
      <c r="H334" s="3">
        <v>1.58203101158142</v>
      </c>
      <c r="I334" s="3">
        <v>0.32255780696868802</v>
      </c>
      <c r="J334" s="3">
        <v>-0.21412198245525299</v>
      </c>
      <c r="K334" s="3">
        <v>-0.38409037420569597</v>
      </c>
      <c r="L334" s="3">
        <v>1.149397612</v>
      </c>
      <c r="M334" s="3">
        <v>0.752730012</v>
      </c>
      <c r="N334" s="3">
        <v>0.52404391800000005</v>
      </c>
      <c r="O334" s="3">
        <v>0.11893629999999999</v>
      </c>
      <c r="P334" s="3">
        <v>0.117030352</v>
      </c>
      <c r="Q334" s="3"/>
    </row>
    <row r="335" spans="1:17" x14ac:dyDescent="0.25">
      <c r="A335" s="3" t="s">
        <v>85</v>
      </c>
      <c r="B335" s="3" t="s">
        <v>45</v>
      </c>
      <c r="C335" s="3">
        <v>2021</v>
      </c>
      <c r="D335" s="3">
        <v>6.0609999999999999</v>
      </c>
      <c r="E335" s="3">
        <v>0.84499999999999997</v>
      </c>
      <c r="F335" s="3">
        <v>3.4669258531307801</v>
      </c>
      <c r="G335" s="3">
        <v>5.78</v>
      </c>
      <c r="H335" s="3">
        <v>2.27</v>
      </c>
      <c r="I335" s="3">
        <v>2.1134105505846201</v>
      </c>
      <c r="J335" s="3">
        <v>3.08665011267242</v>
      </c>
      <c r="K335" s="3">
        <v>6.0884253211911403</v>
      </c>
      <c r="L335" s="3">
        <v>0.67500000000000004</v>
      </c>
      <c r="M335" s="3">
        <v>0.56499999999999995</v>
      </c>
      <c r="N335" s="3">
        <v>0.61499999999999999</v>
      </c>
      <c r="O335" s="3">
        <v>0.11600000000000001</v>
      </c>
      <c r="P335" s="3">
        <v>0.16</v>
      </c>
      <c r="Q335" s="3"/>
    </row>
    <row r="336" spans="1:17" x14ac:dyDescent="0.25">
      <c r="A336" s="3" t="s">
        <v>85</v>
      </c>
      <c r="B336" s="3" t="s">
        <v>45</v>
      </c>
      <c r="C336" s="3">
        <v>2022</v>
      </c>
      <c r="D336" s="3">
        <v>6.12</v>
      </c>
      <c r="E336" s="3">
        <v>1.2649999999999999</v>
      </c>
      <c r="F336" s="3">
        <v>7.1986161560986801</v>
      </c>
      <c r="G336" s="3">
        <v>2.65304431803344</v>
      </c>
      <c r="H336" s="3">
        <v>11.6008552842159</v>
      </c>
      <c r="I336" s="3">
        <v>4.87563258817835</v>
      </c>
      <c r="J336" s="3">
        <v>5.7012171302427799</v>
      </c>
      <c r="K336" s="3">
        <v>7.5765292564970199</v>
      </c>
      <c r="L336" s="3">
        <v>0.76800000000000002</v>
      </c>
      <c r="M336" s="3">
        <v>0.60699999999999998</v>
      </c>
      <c r="N336" s="3">
        <v>0.66600000000000004</v>
      </c>
      <c r="O336" s="3">
        <v>8.8999999999999996E-2</v>
      </c>
      <c r="P336" s="3">
        <v>0.21199999999999999</v>
      </c>
      <c r="Q336" s="3"/>
    </row>
    <row r="337" spans="1:17" x14ac:dyDescent="0.25">
      <c r="A337" s="3" t="s">
        <v>85</v>
      </c>
      <c r="B337" s="3" t="s">
        <v>45</v>
      </c>
      <c r="C337" s="3">
        <v>2023</v>
      </c>
      <c r="D337" s="3">
        <v>6.1219999999999999</v>
      </c>
      <c r="E337" s="3">
        <v>1.278</v>
      </c>
      <c r="F337" s="3">
        <v>4.0455469422247701</v>
      </c>
      <c r="G337" s="3">
        <v>1.4794914639274399</v>
      </c>
      <c r="H337" s="3">
        <v>7.8346714810737996</v>
      </c>
      <c r="I337" s="3">
        <v>2.68726660320712</v>
      </c>
      <c r="J337" s="5"/>
      <c r="K337" s="3">
        <v>3.2640405126804599</v>
      </c>
      <c r="L337" s="3">
        <v>1.044</v>
      </c>
      <c r="M337" s="3">
        <v>0.38300000000000001</v>
      </c>
      <c r="N337" s="3">
        <v>0.71299999999999997</v>
      </c>
      <c r="O337" s="3">
        <v>7.9000000000000001E-2</v>
      </c>
      <c r="P337" s="3">
        <v>0.222</v>
      </c>
      <c r="Q337" s="3"/>
    </row>
    <row r="338" spans="1:17" x14ac:dyDescent="0.25">
      <c r="A338" s="3" t="s">
        <v>86</v>
      </c>
      <c r="B338" s="3" t="s">
        <v>39</v>
      </c>
      <c r="C338" s="3">
        <v>2015</v>
      </c>
      <c r="D338" s="3">
        <v>5.4290000000000003</v>
      </c>
      <c r="E338" s="3">
        <v>1.15174</v>
      </c>
      <c r="F338" s="3">
        <v>-0.49232280254364003</v>
      </c>
      <c r="G338" s="3">
        <v>-1.4628152847289999</v>
      </c>
      <c r="H338" s="3">
        <v>-0.53704071044921797</v>
      </c>
      <c r="I338" s="3">
        <v>1.42130804061889</v>
      </c>
      <c r="J338" s="3">
        <v>-2.04881238937377</v>
      </c>
      <c r="K338" s="3">
        <v>1.11836916294213</v>
      </c>
      <c r="L338" s="3">
        <v>1.2279100000000001</v>
      </c>
      <c r="M338" s="3">
        <v>0.77361000000000002</v>
      </c>
      <c r="N338" s="3">
        <v>0.44888</v>
      </c>
      <c r="O338" s="3">
        <v>8.6800000000000002E-2</v>
      </c>
      <c r="P338" s="3">
        <v>0.15184</v>
      </c>
      <c r="Q338" s="3"/>
    </row>
    <row r="339" spans="1:17" x14ac:dyDescent="0.25">
      <c r="A339" s="3" t="s">
        <v>86</v>
      </c>
      <c r="B339" s="3" t="s">
        <v>39</v>
      </c>
      <c r="C339" s="3">
        <v>2016</v>
      </c>
      <c r="D339" s="3">
        <v>5.5170000000000003</v>
      </c>
      <c r="E339" s="3">
        <v>1.2796400000000001</v>
      </c>
      <c r="F339" s="3">
        <v>0.148681640625</v>
      </c>
      <c r="G339" s="3">
        <v>-1.7227818965911801</v>
      </c>
      <c r="H339" s="3">
        <v>4.0093168616294798E-2</v>
      </c>
      <c r="I339" s="3">
        <v>1.33233702182769</v>
      </c>
      <c r="J339" s="3">
        <v>-0.70831698179244995</v>
      </c>
      <c r="K339" s="3">
        <v>2.2699999999999898</v>
      </c>
      <c r="L339" s="3">
        <v>1.0516300000000001</v>
      </c>
      <c r="M339" s="3">
        <v>0.68098000000000003</v>
      </c>
      <c r="N339" s="3">
        <v>0.41510999999999998</v>
      </c>
      <c r="O339" s="3">
        <v>8.4229999999999999E-2</v>
      </c>
      <c r="P339" s="3">
        <v>0.18518999999999999</v>
      </c>
    </row>
    <row r="340" spans="1:17" x14ac:dyDescent="0.25">
      <c r="A340" s="3" t="s">
        <v>86</v>
      </c>
      <c r="B340" s="3" t="s">
        <v>39</v>
      </c>
      <c r="C340" s="3">
        <v>2017</v>
      </c>
      <c r="D340" s="3">
        <v>5.6110000610000004</v>
      </c>
      <c r="E340" s="3">
        <v>1.3208793400000001</v>
      </c>
      <c r="F340" s="3">
        <v>3.6509999999999998</v>
      </c>
      <c r="G340" s="3">
        <v>2.15070223808288</v>
      </c>
      <c r="H340" s="3">
        <v>5.71433401107788</v>
      </c>
      <c r="I340" s="3">
        <v>2.1236870288848801</v>
      </c>
      <c r="J340" s="3">
        <v>3.6005043983459402</v>
      </c>
      <c r="K340" s="3">
        <v>3.1123496626576701</v>
      </c>
      <c r="L340" s="3">
        <v>1.4766710999999999</v>
      </c>
      <c r="M340" s="3">
        <v>0.69516831599999995</v>
      </c>
      <c r="N340" s="3">
        <v>0.47913143000000002</v>
      </c>
      <c r="O340" s="3">
        <v>9.8890810999999995E-2</v>
      </c>
      <c r="P340" s="3">
        <v>0.18324892200000001</v>
      </c>
      <c r="Q340" s="3"/>
    </row>
    <row r="341" spans="1:17" x14ac:dyDescent="0.25">
      <c r="A341" s="3" t="s">
        <v>86</v>
      </c>
      <c r="B341" s="3" t="s">
        <v>39</v>
      </c>
      <c r="C341" s="3">
        <v>2018</v>
      </c>
      <c r="D341" s="3">
        <v>5.7389999999999999</v>
      </c>
      <c r="E341" s="3">
        <v>1.2</v>
      </c>
      <c r="F341" s="3">
        <v>3.44</v>
      </c>
      <c r="G341" s="3">
        <v>6.2913928031921298</v>
      </c>
      <c r="H341" s="3">
        <v>3.0641608238220202</v>
      </c>
      <c r="I341" s="3">
        <v>2.30347299575805</v>
      </c>
      <c r="J341" s="3">
        <v>2.6409564018249498</v>
      </c>
      <c r="K341" s="3">
        <v>4.1810095492778601</v>
      </c>
      <c r="L341" s="3">
        <v>1.532</v>
      </c>
      <c r="M341" s="3">
        <v>0.73699999999999999</v>
      </c>
      <c r="N341" s="3">
        <v>0.55300000000000005</v>
      </c>
      <c r="O341" s="3">
        <v>8.5999999999999993E-2</v>
      </c>
      <c r="P341" s="3">
        <v>0.17399999999999999</v>
      </c>
      <c r="Q341" s="3"/>
    </row>
    <row r="342" spans="1:17" x14ac:dyDescent="0.25">
      <c r="A342" s="3" t="s">
        <v>86</v>
      </c>
      <c r="B342" s="3" t="s">
        <v>39</v>
      </c>
      <c r="C342" s="3">
        <v>2019</v>
      </c>
      <c r="D342" s="3">
        <v>5.8929999999999998</v>
      </c>
      <c r="E342" s="3">
        <v>1.2370000000000001</v>
      </c>
      <c r="F342" s="3">
        <v>2.2679998874664302</v>
      </c>
      <c r="G342" s="3">
        <v>1.90596103668212</v>
      </c>
      <c r="H342" s="3">
        <v>2.9861361980438201</v>
      </c>
      <c r="I342" s="3">
        <v>2.1220510005950901</v>
      </c>
      <c r="J342" s="3">
        <v>-0.18943217396736101</v>
      </c>
      <c r="K342" s="3">
        <v>3.2267754091496599</v>
      </c>
      <c r="L342" s="3">
        <v>1.528</v>
      </c>
      <c r="M342" s="3">
        <v>0.874</v>
      </c>
      <c r="N342" s="3">
        <v>0.495</v>
      </c>
      <c r="O342" s="3">
        <v>0.10299999999999999</v>
      </c>
      <c r="P342" s="3">
        <v>0.161</v>
      </c>
      <c r="Q342" s="3"/>
    </row>
    <row r="343" spans="1:17" x14ac:dyDescent="0.25">
      <c r="A343" s="3" t="s">
        <v>86</v>
      </c>
      <c r="B343" s="3" t="s">
        <v>39</v>
      </c>
      <c r="C343" s="3">
        <v>2020</v>
      </c>
      <c r="D343" s="3">
        <v>6.0218000409999997</v>
      </c>
      <c r="E343" s="3">
        <v>1.192441225</v>
      </c>
      <c r="F343" s="3">
        <v>-0.44453109767990401</v>
      </c>
      <c r="G343" s="3">
        <v>-3.7223608050180599</v>
      </c>
      <c r="H343" s="3">
        <v>2.1359686851501398</v>
      </c>
      <c r="I343" s="3">
        <v>0.148737907409667</v>
      </c>
      <c r="J343" s="3">
        <v>-2.4374923706054599</v>
      </c>
      <c r="K343" s="3">
        <v>-0.44441701129559003</v>
      </c>
      <c r="L343" s="3">
        <v>1.4532325269999999</v>
      </c>
      <c r="M343" s="3">
        <v>0.842615008</v>
      </c>
      <c r="N343" s="3">
        <v>0.57666480499999995</v>
      </c>
      <c r="O343" s="3">
        <v>0.12513674799999999</v>
      </c>
      <c r="P343" s="3">
        <v>0.20176681899999999</v>
      </c>
      <c r="Q343" s="3"/>
    </row>
    <row r="344" spans="1:17" x14ac:dyDescent="0.25">
      <c r="A344" s="3" t="s">
        <v>86</v>
      </c>
      <c r="B344" s="3" t="s">
        <v>39</v>
      </c>
      <c r="C344" s="3">
        <v>2021</v>
      </c>
      <c r="D344" s="3">
        <v>6.1890000000000001</v>
      </c>
      <c r="E344" s="3">
        <v>1.3440000000000001</v>
      </c>
      <c r="F344" s="3">
        <v>4.6531669999999998</v>
      </c>
      <c r="G344" s="3">
        <v>18.43826</v>
      </c>
      <c r="H344" s="3">
        <v>1.8380000000000001</v>
      </c>
      <c r="I344" s="3">
        <v>2.7829999999999999</v>
      </c>
      <c r="J344" s="3">
        <v>12.46757457847</v>
      </c>
      <c r="K344" s="3">
        <v>5.9969060796707501</v>
      </c>
      <c r="L344" s="3">
        <v>1.079</v>
      </c>
      <c r="M344" s="3">
        <v>0.64</v>
      </c>
      <c r="N344" s="3">
        <v>0.64100000000000001</v>
      </c>
      <c r="O344" s="3">
        <v>0.11899999999999999</v>
      </c>
      <c r="P344" s="3">
        <v>0.26300000000000001</v>
      </c>
      <c r="Q344" s="3"/>
    </row>
    <row r="345" spans="1:17" x14ac:dyDescent="0.25">
      <c r="A345" s="3" t="s">
        <v>86</v>
      </c>
      <c r="B345" s="3" t="s">
        <v>39</v>
      </c>
      <c r="C345" s="3">
        <v>2022</v>
      </c>
      <c r="D345" s="3">
        <v>6.3410000000000002</v>
      </c>
      <c r="E345" s="3">
        <v>1.7929999999999999</v>
      </c>
      <c r="F345" s="3">
        <v>19.398260000000001</v>
      </c>
      <c r="G345" s="3">
        <v>64.064946244357301</v>
      </c>
      <c r="H345" s="3">
        <v>19.91215</v>
      </c>
      <c r="I345" s="3">
        <v>9.7131626235400006</v>
      </c>
      <c r="J345" s="3">
        <v>26.9568977944352</v>
      </c>
      <c r="K345" s="3">
        <v>14.2099105969628</v>
      </c>
      <c r="L345" s="3">
        <v>1.232</v>
      </c>
      <c r="M345" s="3">
        <v>0.72799999999999998</v>
      </c>
      <c r="N345" s="3">
        <v>0.68899999999999995</v>
      </c>
      <c r="O345" s="3">
        <v>0.123</v>
      </c>
      <c r="P345" s="3">
        <v>0.33300000000000002</v>
      </c>
      <c r="Q345" s="3"/>
    </row>
    <row r="346" spans="1:17" x14ac:dyDescent="0.25">
      <c r="A346" s="3" t="s">
        <v>86</v>
      </c>
      <c r="B346" s="3" t="s">
        <v>39</v>
      </c>
      <c r="C346" s="3">
        <v>2023</v>
      </c>
      <c r="D346" s="3">
        <v>6.4550000000000001</v>
      </c>
      <c r="E346" s="3">
        <v>1.798</v>
      </c>
      <c r="F346" s="3">
        <v>9.4521767035076305</v>
      </c>
      <c r="G346" s="3">
        <v>4.7258507186720697</v>
      </c>
      <c r="H346" s="3">
        <v>15.806476496309401</v>
      </c>
      <c r="I346" s="3">
        <v>8.4180709068619493</v>
      </c>
      <c r="J346" s="3">
        <v>0.85159532190325005</v>
      </c>
      <c r="K346" s="3">
        <v>8.1707069797806806</v>
      </c>
      <c r="L346" s="3">
        <v>1.526</v>
      </c>
      <c r="M346" s="3">
        <v>0.49399999999999999</v>
      </c>
      <c r="N346" s="3">
        <v>0.72799999999999998</v>
      </c>
      <c r="O346" s="3">
        <v>0.153</v>
      </c>
      <c r="P346" s="3">
        <v>0.372</v>
      </c>
      <c r="Q346" s="3"/>
    </row>
    <row r="347" spans="1:17" x14ac:dyDescent="0.25">
      <c r="A347" s="3" t="s">
        <v>87</v>
      </c>
      <c r="B347" s="3" t="s">
        <v>43</v>
      </c>
      <c r="C347" s="3">
        <v>2015</v>
      </c>
      <c r="D347" s="3">
        <v>4.5119999999999996</v>
      </c>
      <c r="E347" s="3">
        <v>0.19073000000000001</v>
      </c>
      <c r="F347" s="3">
        <v>10.084026336669901</v>
      </c>
      <c r="G347" s="3">
        <v>8.7389831542968697</v>
      </c>
      <c r="H347" s="3">
        <v>12.144578933715801</v>
      </c>
      <c r="I347" s="5"/>
      <c r="J347" s="5"/>
      <c r="K347" s="3">
        <v>10.8276897338054</v>
      </c>
      <c r="L347" s="3">
        <v>0.60406000000000004</v>
      </c>
      <c r="M347" s="3">
        <v>0.44055</v>
      </c>
      <c r="N347" s="3">
        <v>0.4345</v>
      </c>
      <c r="O347" s="3">
        <v>0.24324999999999999</v>
      </c>
      <c r="P347" s="3">
        <v>0.15048</v>
      </c>
      <c r="Q347" s="3"/>
    </row>
    <row r="348" spans="1:17" x14ac:dyDescent="0.25">
      <c r="A348" s="3" t="s">
        <v>87</v>
      </c>
      <c r="B348" s="3" t="s">
        <v>43</v>
      </c>
      <c r="C348" s="3">
        <v>2016</v>
      </c>
      <c r="D348" s="3">
        <v>4.508</v>
      </c>
      <c r="E348" s="3">
        <v>0.29282999999999998</v>
      </c>
      <c r="F348" s="3">
        <v>7.2791748046875</v>
      </c>
      <c r="G348" s="3">
        <v>12.349248886108301</v>
      </c>
      <c r="H348" s="3">
        <v>6.5172777175903303</v>
      </c>
      <c r="I348" s="5"/>
      <c r="J348" s="3">
        <v>3.04525874123844</v>
      </c>
      <c r="K348" s="3">
        <v>11.863600645187899</v>
      </c>
      <c r="L348" s="3">
        <v>0.37931999999999999</v>
      </c>
      <c r="M348" s="3">
        <v>0.34577999999999998</v>
      </c>
      <c r="N348" s="3">
        <v>0.36703000000000002</v>
      </c>
      <c r="O348" s="3">
        <v>0.29521999999999998</v>
      </c>
      <c r="P348" s="3">
        <v>0.17169999999999999</v>
      </c>
      <c r="Q348" s="3"/>
    </row>
    <row r="349" spans="1:17" x14ac:dyDescent="0.25">
      <c r="A349" s="3" t="s">
        <v>87</v>
      </c>
      <c r="B349" s="3" t="s">
        <v>43</v>
      </c>
      <c r="C349" s="3">
        <v>2017</v>
      </c>
      <c r="D349" s="3">
        <v>4.4600000380000004</v>
      </c>
      <c r="E349" s="3">
        <v>0.33923384499999998</v>
      </c>
      <c r="F349" s="3">
        <v>10.686999999999999</v>
      </c>
      <c r="G349" s="3">
        <v>12.769433021545399</v>
      </c>
      <c r="H349" s="3">
        <v>11.356966018676699</v>
      </c>
      <c r="I349" s="5"/>
      <c r="J349" s="3">
        <v>10.6453365618831</v>
      </c>
      <c r="K349" s="3">
        <v>6.0513910712635104</v>
      </c>
      <c r="L349" s="3">
        <v>0.86466920400000002</v>
      </c>
      <c r="M349" s="3">
        <v>0.35340970799999999</v>
      </c>
      <c r="N349" s="3">
        <v>0.40884274199999998</v>
      </c>
      <c r="O349" s="3">
        <v>0.31265073999999998</v>
      </c>
      <c r="P349" s="3">
        <v>0.165455714</v>
      </c>
      <c r="Q349" s="3"/>
    </row>
    <row r="350" spans="1:17" x14ac:dyDescent="0.25">
      <c r="A350" s="3" t="s">
        <v>87</v>
      </c>
      <c r="B350" s="3" t="s">
        <v>43</v>
      </c>
      <c r="C350" s="3">
        <v>2018</v>
      </c>
      <c r="D350" s="3">
        <v>4.3499999999999996</v>
      </c>
      <c r="E350" s="3">
        <v>0.308</v>
      </c>
      <c r="F350" s="3">
        <v>13.84</v>
      </c>
      <c r="G350" s="3">
        <v>17.042333602905199</v>
      </c>
      <c r="H350" s="3">
        <v>12.5169315338134</v>
      </c>
      <c r="I350" s="5"/>
      <c r="J350" s="3">
        <v>4.43085998378948</v>
      </c>
      <c r="K350" s="3">
        <v>11.4575071685681</v>
      </c>
      <c r="L350" s="3">
        <v>0.95</v>
      </c>
      <c r="M350" s="3">
        <v>0.39100000000000001</v>
      </c>
      <c r="N350" s="3">
        <v>0.45200000000000001</v>
      </c>
      <c r="O350" s="3">
        <v>0.22</v>
      </c>
      <c r="P350" s="3">
        <v>0.14599999999999999</v>
      </c>
      <c r="Q350" s="3"/>
    </row>
    <row r="351" spans="1:17" x14ac:dyDescent="0.25">
      <c r="A351" s="3" t="s">
        <v>87</v>
      </c>
      <c r="B351" s="3" t="s">
        <v>43</v>
      </c>
      <c r="C351" s="3">
        <v>2019</v>
      </c>
      <c r="D351" s="3">
        <v>4.2859999999999996</v>
      </c>
      <c r="E351" s="3">
        <v>0.33600000000000002</v>
      </c>
      <c r="F351" s="3">
        <v>15.810000419616699</v>
      </c>
      <c r="G351" s="3">
        <v>10.954982757568301</v>
      </c>
      <c r="H351" s="3">
        <v>18.937721252441399</v>
      </c>
      <c r="I351" s="5"/>
      <c r="J351" s="5"/>
      <c r="K351" s="3">
        <v>12.163461914406099</v>
      </c>
      <c r="L351" s="3">
        <v>1.0329999999999999</v>
      </c>
      <c r="M351" s="3">
        <v>0.53200000000000003</v>
      </c>
      <c r="N351" s="3">
        <v>0.34399999999999997</v>
      </c>
      <c r="O351" s="3">
        <v>0.20899999999999999</v>
      </c>
      <c r="P351" s="3">
        <v>0.1</v>
      </c>
      <c r="Q351" s="3"/>
    </row>
    <row r="352" spans="1:17" x14ac:dyDescent="0.25">
      <c r="A352" s="3" t="s">
        <v>87</v>
      </c>
      <c r="B352" s="3" t="s">
        <v>43</v>
      </c>
      <c r="C352" s="3">
        <v>2020</v>
      </c>
      <c r="D352" s="3">
        <v>4.1862001419999997</v>
      </c>
      <c r="E352" s="3">
        <v>0.31512564399999998</v>
      </c>
      <c r="F352" s="3">
        <v>20.353999999999999</v>
      </c>
      <c r="G352" s="3">
        <v>20.080909729003899</v>
      </c>
      <c r="H352" s="3">
        <v>23.082115173339801</v>
      </c>
      <c r="I352" s="5"/>
      <c r="J352" s="5"/>
      <c r="K352" s="3">
        <v>18.243422245151201</v>
      </c>
      <c r="L352" s="3">
        <v>1.0011032820000001</v>
      </c>
      <c r="M352" s="3">
        <v>0.48384624700000001</v>
      </c>
      <c r="N352" s="3">
        <v>0.41256686999999997</v>
      </c>
      <c r="O352" s="3">
        <v>0.22769810300000001</v>
      </c>
      <c r="P352" s="3">
        <v>0.117437035</v>
      </c>
      <c r="Q352" s="3"/>
    </row>
    <row r="353" spans="1:17" x14ac:dyDescent="0.25">
      <c r="A353" s="3" t="s">
        <v>87</v>
      </c>
      <c r="B353" s="3" t="s">
        <v>43</v>
      </c>
      <c r="C353" s="3">
        <v>2021</v>
      </c>
      <c r="D353" s="3">
        <v>4.2750000000000004</v>
      </c>
      <c r="E353" s="3">
        <v>0.37</v>
      </c>
      <c r="F353" s="3">
        <v>26.843473238351901</v>
      </c>
      <c r="G353" s="3">
        <v>15.89</v>
      </c>
      <c r="H353" s="3">
        <v>31.78</v>
      </c>
      <c r="I353" s="5"/>
      <c r="J353" s="5"/>
      <c r="K353" s="3">
        <v>21.7783223104983</v>
      </c>
      <c r="L353" s="3">
        <v>0.67900000000000005</v>
      </c>
      <c r="M353" s="3">
        <v>0.33100000000000002</v>
      </c>
      <c r="N353" s="3">
        <v>0.45100000000000001</v>
      </c>
      <c r="O353" s="3">
        <v>0.24099999999999999</v>
      </c>
      <c r="P353" s="3">
        <v>0.114</v>
      </c>
      <c r="Q353" s="3"/>
    </row>
    <row r="354" spans="1:17" x14ac:dyDescent="0.25">
      <c r="A354" s="3" t="s">
        <v>87</v>
      </c>
      <c r="B354" s="3" t="s">
        <v>43</v>
      </c>
      <c r="C354" s="3">
        <v>2022</v>
      </c>
      <c r="D354" s="3">
        <v>4.2409999999999997</v>
      </c>
      <c r="E354" s="3">
        <v>0.78800000000000003</v>
      </c>
      <c r="F354" s="3">
        <v>34.003759596923402</v>
      </c>
      <c r="G354" s="3">
        <v>19.148439753123501</v>
      </c>
      <c r="H354" s="3">
        <v>36.403181072563299</v>
      </c>
      <c r="I354" s="5"/>
      <c r="J354" s="5"/>
      <c r="K354" s="3">
        <v>21.0735469264059</v>
      </c>
      <c r="L354" s="3">
        <v>0.80900000000000005</v>
      </c>
      <c r="M354" s="3">
        <v>0.45700000000000002</v>
      </c>
      <c r="N354" s="3">
        <v>0.47199999999999998</v>
      </c>
      <c r="O354" s="3">
        <v>0.20499999999999999</v>
      </c>
      <c r="P354" s="3">
        <v>0.13600000000000001</v>
      </c>
      <c r="Q354" s="3"/>
    </row>
    <row r="355" spans="1:17" x14ac:dyDescent="0.25">
      <c r="A355" s="3" t="s">
        <v>87</v>
      </c>
      <c r="B355" s="3" t="s">
        <v>43</v>
      </c>
      <c r="C355" s="3">
        <v>2023</v>
      </c>
      <c r="D355" s="3">
        <v>4.0910000000000002</v>
      </c>
      <c r="E355" s="3">
        <v>0.79300000000000004</v>
      </c>
      <c r="F355" s="3">
        <v>32.295346717210897</v>
      </c>
      <c r="G355" s="3">
        <v>26.647742309066601</v>
      </c>
      <c r="H355" s="3">
        <v>29.5591258661387</v>
      </c>
      <c r="I355" s="5"/>
      <c r="J355" s="5"/>
      <c r="K355" s="3">
        <v>32.168549747664699</v>
      </c>
      <c r="L355" s="3">
        <v>1.1140000000000001</v>
      </c>
      <c r="M355" s="3">
        <v>0.25</v>
      </c>
      <c r="N355" s="3">
        <v>0.45100000000000001</v>
      </c>
      <c r="O355" s="3">
        <v>0.28299999999999997</v>
      </c>
      <c r="P355" s="3">
        <v>0.10100000000000001</v>
      </c>
    </row>
    <row r="356" spans="1:17" x14ac:dyDescent="0.25">
      <c r="A356" s="3" t="s">
        <v>88</v>
      </c>
      <c r="B356" s="3" t="s">
        <v>50</v>
      </c>
      <c r="C356" s="3">
        <v>2015</v>
      </c>
      <c r="D356" s="3">
        <v>7.4059999999999997</v>
      </c>
      <c r="E356" s="3">
        <v>1.2902499999999999</v>
      </c>
      <c r="F356" s="3">
        <v>-0.20792829990386899</v>
      </c>
      <c r="G356" s="3">
        <v>0.821114242076873</v>
      </c>
      <c r="H356" s="3">
        <v>-1.87259745597839</v>
      </c>
      <c r="I356" s="3">
        <v>0.56192260980606001</v>
      </c>
      <c r="J356" s="3">
        <v>-1.96046006679534</v>
      </c>
      <c r="K356" s="3">
        <v>1.61672204778017</v>
      </c>
      <c r="L356" s="3">
        <v>1.31826</v>
      </c>
      <c r="M356" s="3">
        <v>0.88910999999999996</v>
      </c>
      <c r="N356" s="3">
        <v>0.64168999999999998</v>
      </c>
      <c r="O356" s="3">
        <v>0.23351</v>
      </c>
      <c r="P356" s="3">
        <v>0.41371999999999998</v>
      </c>
      <c r="Q356" s="3"/>
    </row>
    <row r="357" spans="1:17" x14ac:dyDescent="0.25">
      <c r="A357" s="3" t="s">
        <v>88</v>
      </c>
      <c r="B357" s="3" t="s">
        <v>50</v>
      </c>
      <c r="C357" s="3">
        <v>2016</v>
      </c>
      <c r="D357" s="3">
        <v>7.4130000000000003</v>
      </c>
      <c r="E357" s="3">
        <v>1.40598</v>
      </c>
      <c r="F357" s="3">
        <v>0.35668438673019398</v>
      </c>
      <c r="G357" s="3">
        <v>0.55168467760086004</v>
      </c>
      <c r="H357" s="3">
        <v>-1.1416702270507799</v>
      </c>
      <c r="I357" s="3">
        <v>0.96338152885437001</v>
      </c>
      <c r="J357" s="3">
        <v>-2.2998089790344198</v>
      </c>
      <c r="K357" s="3">
        <v>8.7000000000003297E-2</v>
      </c>
      <c r="L357" s="3">
        <v>1.1346400000000001</v>
      </c>
      <c r="M357" s="3">
        <v>0.81091000000000002</v>
      </c>
      <c r="N357" s="3">
        <v>0.57103999999999999</v>
      </c>
      <c r="O357" s="3">
        <v>0.25491999999999998</v>
      </c>
      <c r="P357" s="3">
        <v>0.41004000000000002</v>
      </c>
      <c r="Q357" s="3"/>
    </row>
    <row r="358" spans="1:17" x14ac:dyDescent="0.25">
      <c r="A358" s="3" t="s">
        <v>88</v>
      </c>
      <c r="B358" s="3" t="s">
        <v>50</v>
      </c>
      <c r="C358" s="3">
        <v>2017</v>
      </c>
      <c r="D358" s="3">
        <v>7.4689998629999996</v>
      </c>
      <c r="E358" s="3">
        <v>1.4435719250000001</v>
      </c>
      <c r="F358" s="3">
        <v>0.83899999999999997</v>
      </c>
      <c r="G358" s="3">
        <v>1.2970565557479801</v>
      </c>
      <c r="H358" s="3">
        <v>-0.91038751602172796</v>
      </c>
      <c r="I358" s="3">
        <v>0.65868759155273404</v>
      </c>
      <c r="J358" s="3">
        <v>3.5735597610473602</v>
      </c>
      <c r="K358" s="3">
        <v>0.81928722011848998</v>
      </c>
      <c r="L358" s="3">
        <v>1.540246725</v>
      </c>
      <c r="M358" s="3">
        <v>0.80915767000000005</v>
      </c>
      <c r="N358" s="3">
        <v>0.61795085699999996</v>
      </c>
      <c r="O358" s="3">
        <v>0.24548277299999999</v>
      </c>
      <c r="P358" s="3">
        <v>0.382611543</v>
      </c>
      <c r="Q358" s="3"/>
    </row>
    <row r="359" spans="1:17" x14ac:dyDescent="0.25">
      <c r="A359" s="3" t="s">
        <v>88</v>
      </c>
      <c r="B359" s="3" t="s">
        <v>50</v>
      </c>
      <c r="C359" s="3">
        <v>2018</v>
      </c>
      <c r="D359" s="3">
        <v>7.6319999999999997</v>
      </c>
      <c r="E359" s="3">
        <v>1.3049999999999999</v>
      </c>
      <c r="F359" s="3">
        <v>1.08</v>
      </c>
      <c r="G359" s="3">
        <v>1.55126464366912</v>
      </c>
      <c r="H359" s="3">
        <v>1.91407907009124</v>
      </c>
      <c r="I359" s="3">
        <v>0.681438028812408</v>
      </c>
      <c r="J359" s="3">
        <v>4.7019119262695304</v>
      </c>
      <c r="K359" s="3">
        <v>1.9314814631294099</v>
      </c>
      <c r="L359" s="3">
        <v>1.5920000000000001</v>
      </c>
      <c r="M359" s="3">
        <v>0.874</v>
      </c>
      <c r="N359" s="3">
        <v>0.68100000000000005</v>
      </c>
      <c r="O359" s="3">
        <v>0.20200000000000001</v>
      </c>
      <c r="P359" s="3">
        <v>0.39300000000000002</v>
      </c>
      <c r="Q359" s="3"/>
    </row>
    <row r="360" spans="1:17" x14ac:dyDescent="0.25">
      <c r="A360" s="3" t="s">
        <v>88</v>
      </c>
      <c r="B360" s="3" t="s">
        <v>50</v>
      </c>
      <c r="C360" s="3">
        <v>2019</v>
      </c>
      <c r="D360" s="3">
        <v>7.7690000000000001</v>
      </c>
      <c r="E360" s="3">
        <v>1.34</v>
      </c>
      <c r="F360" s="3">
        <v>1.1369999647140501</v>
      </c>
      <c r="G360" s="3">
        <v>2.9884190559387198</v>
      </c>
      <c r="H360" s="3">
        <v>1.21196901798248</v>
      </c>
      <c r="I360" s="3">
        <v>0.82913202047348</v>
      </c>
      <c r="J360" s="3">
        <v>0.30672404170036299</v>
      </c>
      <c r="K360" s="3">
        <v>1.5166835187057599</v>
      </c>
      <c r="L360" s="3">
        <v>1.587</v>
      </c>
      <c r="M360" s="3">
        <v>0.98599999999999999</v>
      </c>
      <c r="N360" s="3">
        <v>0.59599999999999997</v>
      </c>
      <c r="O360" s="3">
        <v>0.153</v>
      </c>
      <c r="P360" s="3">
        <v>0.39300000000000002</v>
      </c>
      <c r="Q360" s="3"/>
    </row>
    <row r="361" spans="1:17" x14ac:dyDescent="0.25">
      <c r="A361" s="3" t="s">
        <v>88</v>
      </c>
      <c r="B361" s="3" t="s">
        <v>50</v>
      </c>
      <c r="C361" s="3">
        <v>2020</v>
      </c>
      <c r="D361" s="3">
        <v>7.8087000849999999</v>
      </c>
      <c r="E361" s="3">
        <v>1.2851895090000001</v>
      </c>
      <c r="F361" s="3">
        <v>0.29055455565376798</v>
      </c>
      <c r="G361" s="3">
        <v>0.15660839990507799</v>
      </c>
      <c r="H361" s="3">
        <v>1.15485119819641</v>
      </c>
      <c r="I361" s="3">
        <v>0.50405102968215898</v>
      </c>
      <c r="J361" s="3">
        <v>-4.6450350071522903</v>
      </c>
      <c r="K361" s="3">
        <v>1.6395954642966599</v>
      </c>
      <c r="L361" s="3">
        <v>1.499525905</v>
      </c>
      <c r="M361" s="3">
        <v>0.96127140499999997</v>
      </c>
      <c r="N361" s="3">
        <v>0.66231673999999996</v>
      </c>
      <c r="O361" s="3">
        <v>0.159670442</v>
      </c>
      <c r="P361" s="3">
        <v>0.477857262</v>
      </c>
      <c r="Q361" s="3"/>
    </row>
    <row r="362" spans="1:17" x14ac:dyDescent="0.25">
      <c r="A362" s="3" t="s">
        <v>88</v>
      </c>
      <c r="B362" s="3" t="s">
        <v>50</v>
      </c>
      <c r="C362" s="3">
        <v>2021</v>
      </c>
      <c r="D362" s="3">
        <v>7.8419999999999996</v>
      </c>
      <c r="E362" s="3">
        <v>1.446</v>
      </c>
      <c r="F362" s="3">
        <v>2.1945739999999998</v>
      </c>
      <c r="G362" s="3">
        <v>9.6203380000000003</v>
      </c>
      <c r="H362" s="3">
        <v>0.56899999999999995</v>
      </c>
      <c r="I362" s="3">
        <v>1.726</v>
      </c>
      <c r="J362" s="3">
        <v>12.711195326070101</v>
      </c>
      <c r="K362" s="3">
        <v>2.5483115459986898</v>
      </c>
      <c r="L362" s="3">
        <v>1.1060000000000001</v>
      </c>
      <c r="M362" s="3">
        <v>0.74099999999999999</v>
      </c>
      <c r="N362" s="3">
        <v>0.69099999999999995</v>
      </c>
      <c r="O362" s="3">
        <v>0.124</v>
      </c>
      <c r="P362" s="3">
        <v>0.48099999999999998</v>
      </c>
      <c r="Q362" s="3"/>
    </row>
    <row r="363" spans="1:17" x14ac:dyDescent="0.25">
      <c r="A363" s="3" t="s">
        <v>88</v>
      </c>
      <c r="B363" s="3" t="s">
        <v>50</v>
      </c>
      <c r="C363" s="3">
        <v>2022</v>
      </c>
      <c r="D363" s="3">
        <v>7.8209999999999997</v>
      </c>
      <c r="E363" s="3">
        <v>1.8919999999999999</v>
      </c>
      <c r="F363" s="3">
        <v>7.123507</v>
      </c>
      <c r="G363" s="3">
        <v>30.6968068556357</v>
      </c>
      <c r="H363" s="3">
        <v>10.507210000000001</v>
      </c>
      <c r="I363" s="3">
        <v>4.1647700331910897</v>
      </c>
      <c r="J363" s="3">
        <v>24.215466517231299</v>
      </c>
      <c r="K363" s="3">
        <v>4.0167505452084704</v>
      </c>
      <c r="L363" s="3">
        <v>1.258</v>
      </c>
      <c r="M363" s="3">
        <v>0.77500000000000002</v>
      </c>
      <c r="N363" s="3">
        <v>0.73599999999999999</v>
      </c>
      <c r="O363" s="3">
        <v>0.109</v>
      </c>
      <c r="P363" s="3">
        <v>0.53400000000000003</v>
      </c>
      <c r="Q363" s="3"/>
    </row>
    <row r="364" spans="1:17" x14ac:dyDescent="0.25">
      <c r="A364" s="3" t="s">
        <v>88</v>
      </c>
      <c r="B364" s="3" t="s">
        <v>50</v>
      </c>
      <c r="C364" s="3">
        <v>2023</v>
      </c>
      <c r="D364" s="3">
        <v>7.8040000000000003</v>
      </c>
      <c r="E364" s="3">
        <v>1.8879999999999999</v>
      </c>
      <c r="F364" s="3">
        <v>6.2506432215476302</v>
      </c>
      <c r="G364" s="3">
        <v>-1.1808940068071501</v>
      </c>
      <c r="H364" s="3">
        <v>9.0125695265624195</v>
      </c>
      <c r="I364" s="3">
        <v>6.6448058976737503</v>
      </c>
      <c r="J364" s="3">
        <v>-3.9079681948908802</v>
      </c>
      <c r="K364" s="3">
        <v>4.82040619276719</v>
      </c>
      <c r="L364" s="3">
        <v>1.585</v>
      </c>
      <c r="M364" s="3">
        <v>0.53500000000000003</v>
      </c>
      <c r="N364" s="3">
        <v>0.77200000000000002</v>
      </c>
      <c r="O364" s="3">
        <v>0.126</v>
      </c>
      <c r="P364" s="3">
        <v>0.53500000000000003</v>
      </c>
      <c r="Q364" s="3"/>
    </row>
    <row r="365" spans="1:17" x14ac:dyDescent="0.25">
      <c r="A365" s="3" t="s">
        <v>89</v>
      </c>
      <c r="B365" s="3" t="s">
        <v>50</v>
      </c>
      <c r="C365" s="3">
        <v>2015</v>
      </c>
      <c r="D365" s="3">
        <v>6.5750000000000002</v>
      </c>
      <c r="E365" s="3">
        <v>1.2777799999999999</v>
      </c>
      <c r="F365" s="3">
        <v>3.7512853741645799E-2</v>
      </c>
      <c r="G365" s="3">
        <v>0.41000360250473</v>
      </c>
      <c r="H365" s="3">
        <v>0.40328457951545699</v>
      </c>
      <c r="I365" s="3">
        <v>0.55142098665237405</v>
      </c>
      <c r="J365" s="3">
        <v>-1.6391906738281199</v>
      </c>
      <c r="K365" s="3">
        <v>1.1379999999999999</v>
      </c>
      <c r="L365" s="3">
        <v>1.2603800000000001</v>
      </c>
      <c r="M365" s="3">
        <v>0.94579000000000002</v>
      </c>
      <c r="N365" s="3">
        <v>0.55010999999999999</v>
      </c>
      <c r="O365" s="3">
        <v>0.12332</v>
      </c>
      <c r="P365" s="3">
        <v>0.20646</v>
      </c>
      <c r="Q365" s="3"/>
    </row>
    <row r="366" spans="1:17" x14ac:dyDescent="0.25">
      <c r="A366" s="3" t="s">
        <v>89</v>
      </c>
      <c r="B366" s="3" t="s">
        <v>50</v>
      </c>
      <c r="C366" s="3">
        <v>2016</v>
      </c>
      <c r="D366" s="3">
        <v>6.4779999999999998</v>
      </c>
      <c r="E366" s="3">
        <v>1.3948799999999999</v>
      </c>
      <c r="F366" s="3">
        <v>0.18333587050437899</v>
      </c>
      <c r="G366" s="3">
        <v>-0.114996910095214</v>
      </c>
      <c r="H366" s="3">
        <v>0.554168701171875</v>
      </c>
      <c r="I366" s="3">
        <v>0.41981309652328402</v>
      </c>
      <c r="J366" s="3">
        <v>-2.2331573963165199</v>
      </c>
      <c r="K366" s="3">
        <v>0.52304771698075503</v>
      </c>
      <c r="L366" s="3">
        <v>1.00508</v>
      </c>
      <c r="M366" s="3">
        <v>0.83794999999999997</v>
      </c>
      <c r="N366" s="3">
        <v>0.46561999999999998</v>
      </c>
      <c r="O366" s="3">
        <v>0.1216</v>
      </c>
      <c r="P366" s="3">
        <v>0.17807999999999999</v>
      </c>
      <c r="Q366" s="3"/>
    </row>
    <row r="367" spans="1:17" x14ac:dyDescent="0.25">
      <c r="A367" s="3" t="s">
        <v>89</v>
      </c>
      <c r="B367" s="3" t="s">
        <v>50</v>
      </c>
      <c r="C367" s="3">
        <v>2017</v>
      </c>
      <c r="D367" s="3">
        <v>6.441999912</v>
      </c>
      <c r="E367" s="3">
        <v>1.430923462</v>
      </c>
      <c r="F367" s="3">
        <v>1.163</v>
      </c>
      <c r="G367" s="3">
        <v>1.6018272638320901</v>
      </c>
      <c r="H367" s="3">
        <v>1.0873048305511399</v>
      </c>
      <c r="I367" s="3">
        <v>8.9408655166625906</v>
      </c>
      <c r="J367" s="3">
        <v>2.3523378372192298</v>
      </c>
      <c r="K367" s="3">
        <v>0.52130976619748803</v>
      </c>
      <c r="L367" s="3">
        <v>1.387776852</v>
      </c>
      <c r="M367" s="3">
        <v>0.84446585200000002</v>
      </c>
      <c r="N367" s="3">
        <v>0.47022211600000002</v>
      </c>
      <c r="O367" s="3">
        <v>0.12976230699999999</v>
      </c>
      <c r="P367" s="3">
        <v>0.17250242800000001</v>
      </c>
      <c r="Q367" s="3"/>
    </row>
    <row r="368" spans="1:17" x14ac:dyDescent="0.25">
      <c r="A368" s="3" t="s">
        <v>89</v>
      </c>
      <c r="B368" s="3" t="s">
        <v>50</v>
      </c>
      <c r="C368" s="3">
        <v>2018</v>
      </c>
      <c r="D368" s="3">
        <v>6.4889999999999999</v>
      </c>
      <c r="E368" s="3">
        <v>1.2929999999999999</v>
      </c>
      <c r="F368" s="3">
        <v>1.85</v>
      </c>
      <c r="G368" s="3">
        <v>2.3829286098480198</v>
      </c>
      <c r="H368" s="3">
        <v>1.9675840139389</v>
      </c>
      <c r="I368" s="3">
        <v>1.0057970285415601</v>
      </c>
      <c r="J368" s="3">
        <v>2.3815405368804901</v>
      </c>
      <c r="K368" s="3">
        <v>0.95403974676359804</v>
      </c>
      <c r="L368" s="3">
        <v>1.466</v>
      </c>
      <c r="M368" s="3">
        <v>0.90800000000000003</v>
      </c>
      <c r="N368" s="3">
        <v>0.52</v>
      </c>
      <c r="O368" s="3">
        <v>9.8000000000000004E-2</v>
      </c>
      <c r="P368" s="3">
        <v>0.17599999999999999</v>
      </c>
      <c r="Q368" s="3"/>
    </row>
    <row r="369" spans="1:17" x14ac:dyDescent="0.25">
      <c r="A369" s="3" t="s">
        <v>89</v>
      </c>
      <c r="B369" s="3" t="s">
        <v>50</v>
      </c>
      <c r="C369" s="3">
        <v>2019</v>
      </c>
      <c r="D369" s="3">
        <v>6.5919999999999996</v>
      </c>
      <c r="E369" s="3">
        <v>1.3240000000000001</v>
      </c>
      <c r="F369" s="3">
        <v>1.29999995231628</v>
      </c>
      <c r="G369" s="3">
        <v>1.74413502216339</v>
      </c>
      <c r="H369" s="3">
        <v>2.4511853641646599</v>
      </c>
      <c r="I369" s="3">
        <v>0.73926252126693703</v>
      </c>
      <c r="J369" s="3">
        <v>0.47988027334213201</v>
      </c>
      <c r="K369" s="3">
        <v>1.2261078587213501</v>
      </c>
      <c r="L369" s="3">
        <v>1.472</v>
      </c>
      <c r="M369" s="3">
        <v>1.0449999999999999</v>
      </c>
      <c r="N369" s="3">
        <v>0.436</v>
      </c>
      <c r="O369" s="3">
        <v>0.111</v>
      </c>
      <c r="P369" s="3">
        <v>0.183</v>
      </c>
      <c r="Q369" s="3"/>
    </row>
    <row r="370" spans="1:17" x14ac:dyDescent="0.25">
      <c r="A370" s="3" t="s">
        <v>89</v>
      </c>
      <c r="B370" s="3" t="s">
        <v>50</v>
      </c>
      <c r="C370" s="3">
        <v>2020</v>
      </c>
      <c r="D370" s="3">
        <v>6.6637997630000001</v>
      </c>
      <c r="E370" s="3">
        <v>1.2681293490000001</v>
      </c>
      <c r="F370" s="3">
        <v>0.47649885272516102</v>
      </c>
      <c r="G370" s="3">
        <v>-0.20624422160588801</v>
      </c>
      <c r="H370" s="3">
        <v>2.0256747302682401</v>
      </c>
      <c r="I370" s="3">
        <v>0.97015289999999998</v>
      </c>
      <c r="J370" s="3">
        <v>-1.9184069936865999</v>
      </c>
      <c r="K370" s="3">
        <v>2.2453728084874101</v>
      </c>
      <c r="L370" s="3">
        <v>1.4588391780000001</v>
      </c>
      <c r="M370" s="3">
        <v>1.0297142269999999</v>
      </c>
      <c r="N370" s="3">
        <v>0.51405090099999995</v>
      </c>
      <c r="O370" s="3">
        <v>0.112607703</v>
      </c>
      <c r="P370" s="3">
        <v>0.22730323699999999</v>
      </c>
      <c r="Q370" s="3"/>
    </row>
    <row r="371" spans="1:17" x14ac:dyDescent="0.25">
      <c r="A371" s="3" t="s">
        <v>89</v>
      </c>
      <c r="B371" s="3" t="s">
        <v>50</v>
      </c>
      <c r="C371" s="3">
        <v>2021</v>
      </c>
      <c r="D371" s="3">
        <v>6.69</v>
      </c>
      <c r="E371" s="3">
        <v>1.421</v>
      </c>
      <c r="F371" s="3">
        <v>1.642331</v>
      </c>
      <c r="G371" s="3">
        <v>10.455249999999999</v>
      </c>
      <c r="H371" s="3">
        <v>0.61499999999999999</v>
      </c>
      <c r="I371" s="3">
        <v>0.95599999999999996</v>
      </c>
      <c r="J371" s="3">
        <v>8.6730483578147304</v>
      </c>
      <c r="K371" s="3">
        <v>1.33331842600242</v>
      </c>
      <c r="L371" s="3">
        <v>1.081</v>
      </c>
      <c r="M371" s="3">
        <v>0.80400000000000005</v>
      </c>
      <c r="N371" s="3">
        <v>0.53600000000000003</v>
      </c>
      <c r="O371" s="3">
        <v>9.1999999999999998E-2</v>
      </c>
      <c r="P371" s="3">
        <v>0.23499999999999999</v>
      </c>
      <c r="Q371" s="3"/>
    </row>
    <row r="372" spans="1:17" x14ac:dyDescent="0.25">
      <c r="A372" s="3" t="s">
        <v>89</v>
      </c>
      <c r="B372" s="3" t="s">
        <v>50</v>
      </c>
      <c r="C372" s="3">
        <v>2022</v>
      </c>
      <c r="D372" s="3">
        <v>6.6870000000000003</v>
      </c>
      <c r="E372" s="3">
        <v>1.863</v>
      </c>
      <c r="F372" s="3">
        <v>5.2223670000000002</v>
      </c>
      <c r="G372" s="3">
        <v>23.735460190894699</v>
      </c>
      <c r="H372" s="3">
        <v>7.2776339999999999</v>
      </c>
      <c r="I372" s="3">
        <v>2.7748328557784099</v>
      </c>
      <c r="J372" s="3">
        <v>23.092110258942</v>
      </c>
      <c r="K372" s="3">
        <v>2.9424636053422799</v>
      </c>
      <c r="L372" s="3">
        <v>1.2190000000000001</v>
      </c>
      <c r="M372" s="3">
        <v>0.80800000000000005</v>
      </c>
      <c r="N372" s="3">
        <v>0.56699999999999995</v>
      </c>
      <c r="O372" s="3">
        <v>7.0000000000000007E-2</v>
      </c>
      <c r="P372" s="3">
        <v>0.26600000000000001</v>
      </c>
    </row>
    <row r="373" spans="1:17" x14ac:dyDescent="0.25">
      <c r="A373" s="3" t="s">
        <v>89</v>
      </c>
      <c r="B373" s="3" t="s">
        <v>50</v>
      </c>
      <c r="C373" s="3">
        <v>2023</v>
      </c>
      <c r="D373" s="3">
        <v>6.6609999999999996</v>
      </c>
      <c r="E373" s="3">
        <v>1.8560000000000001</v>
      </c>
      <c r="F373" s="3">
        <v>4.8783572650844098</v>
      </c>
      <c r="G373" s="3">
        <v>5.9257091587489299</v>
      </c>
      <c r="H373" s="3">
        <v>12.3598743872444</v>
      </c>
      <c r="I373" s="3">
        <v>3.3695482489722801</v>
      </c>
      <c r="J373" s="3">
        <v>2.7882302140520898</v>
      </c>
      <c r="K373" s="3">
        <v>5.4663843969360402</v>
      </c>
      <c r="L373" s="3">
        <v>1.4330000000000001</v>
      </c>
      <c r="M373" s="3">
        <v>0.56599999999999995</v>
      </c>
      <c r="N373" s="3">
        <v>0.58199999999999996</v>
      </c>
      <c r="O373" s="3">
        <v>8.3000000000000004E-2</v>
      </c>
      <c r="P373" s="3">
        <v>0.27</v>
      </c>
      <c r="Q373" s="3"/>
    </row>
    <row r="374" spans="1:17" x14ac:dyDescent="0.25">
      <c r="A374" s="3" t="s">
        <v>90</v>
      </c>
      <c r="B374" s="3" t="s">
        <v>43</v>
      </c>
      <c r="C374" s="3">
        <v>2015</v>
      </c>
      <c r="D374" s="3">
        <v>3.8959999999999999</v>
      </c>
      <c r="E374" s="3">
        <v>1.0602400000000001</v>
      </c>
      <c r="F374" s="3">
        <v>-0.14300000667571999</v>
      </c>
      <c r="G374" s="3">
        <v>-10.189999580383301</v>
      </c>
      <c r="H374" s="3">
        <v>2.8299999237060498</v>
      </c>
      <c r="I374" s="5"/>
      <c r="J374" s="5"/>
      <c r="K374" s="3">
        <v>-8.9274363041822404</v>
      </c>
      <c r="L374" s="3">
        <v>0.90527999999999997</v>
      </c>
      <c r="M374" s="3">
        <v>0.43371999999999999</v>
      </c>
      <c r="N374" s="3">
        <v>0.31913999999999998</v>
      </c>
      <c r="O374" s="3">
        <v>6.8220000000000003E-2</v>
      </c>
      <c r="P374" s="3">
        <v>0.11090999999999999</v>
      </c>
      <c r="Q374" s="3"/>
    </row>
    <row r="375" spans="1:17" x14ac:dyDescent="0.25">
      <c r="A375" s="3" t="s">
        <v>90</v>
      </c>
      <c r="B375" s="3" t="s">
        <v>43</v>
      </c>
      <c r="C375" s="3">
        <v>2016</v>
      </c>
      <c r="D375" s="3">
        <v>4.1210000000000004</v>
      </c>
      <c r="E375" s="3">
        <v>1.1585099999999999</v>
      </c>
      <c r="F375" s="3">
        <v>2.0859999656677202</v>
      </c>
      <c r="G375" s="3">
        <v>1.4900000095367401</v>
      </c>
      <c r="H375" s="3">
        <v>-9.0000003576278603E-2</v>
      </c>
      <c r="I375" s="5"/>
      <c r="J375" s="5"/>
      <c r="K375" s="3">
        <v>-4.2696346601270099</v>
      </c>
      <c r="L375" s="3">
        <v>0.72367999999999999</v>
      </c>
      <c r="M375" s="3">
        <v>0.34939999999999999</v>
      </c>
      <c r="N375" s="3">
        <v>0.28098000000000001</v>
      </c>
      <c r="O375" s="3">
        <v>6.2440000000000002E-2</v>
      </c>
      <c r="P375" s="3">
        <v>9.3140000000000001E-2</v>
      </c>
      <c r="Q375" s="3"/>
    </row>
    <row r="376" spans="1:17" x14ac:dyDescent="0.25">
      <c r="A376" s="3" t="s">
        <v>90</v>
      </c>
      <c r="B376" s="3" t="s">
        <v>43</v>
      </c>
      <c r="C376" s="3">
        <v>2017</v>
      </c>
      <c r="D376" s="3">
        <v>4.4650001530000001</v>
      </c>
      <c r="E376" s="3">
        <v>1.198210239</v>
      </c>
      <c r="F376" s="3">
        <v>2.6520000000000001</v>
      </c>
      <c r="G376" s="3">
        <v>9.8839455799086693</v>
      </c>
      <c r="H376" s="3">
        <v>-0.71593737685591696</v>
      </c>
      <c r="I376" s="5"/>
      <c r="J376" s="5"/>
      <c r="K376" s="3">
        <v>3.8222543352601002</v>
      </c>
      <c r="L376" s="3">
        <v>1.1556202170000001</v>
      </c>
      <c r="M376" s="3">
        <v>0.35657858799999997</v>
      </c>
      <c r="N376" s="3">
        <v>0.312328577</v>
      </c>
      <c r="O376" s="3">
        <v>4.3785378E-2</v>
      </c>
      <c r="P376" s="3">
        <v>7.6046787000000005E-2</v>
      </c>
      <c r="Q376" s="3"/>
    </row>
    <row r="377" spans="1:17" x14ac:dyDescent="0.25">
      <c r="A377" s="3" t="s">
        <v>90</v>
      </c>
      <c r="B377" s="3" t="s">
        <v>43</v>
      </c>
      <c r="C377" s="3">
        <v>2018</v>
      </c>
      <c r="D377" s="3">
        <v>4.758</v>
      </c>
      <c r="E377" s="3">
        <v>1.036</v>
      </c>
      <c r="F377" s="3">
        <v>4.78</v>
      </c>
      <c r="G377" s="3">
        <v>4.0997168607067396</v>
      </c>
      <c r="H377" s="3">
        <v>1.85078154099076</v>
      </c>
      <c r="I377" s="5"/>
      <c r="J377" s="5"/>
      <c r="K377" s="3">
        <v>7.1694746898309996</v>
      </c>
      <c r="L377" s="3">
        <v>1.1639999999999999</v>
      </c>
      <c r="M377" s="3">
        <v>0.40400000000000003</v>
      </c>
      <c r="N377" s="3">
        <v>0.35599999999999998</v>
      </c>
      <c r="O377" s="3">
        <v>3.2000000000000001E-2</v>
      </c>
      <c r="P377" s="3">
        <v>5.1999999999999998E-2</v>
      </c>
      <c r="Q377" s="3"/>
    </row>
    <row r="378" spans="1:17" x14ac:dyDescent="0.25">
      <c r="A378" s="3" t="s">
        <v>90</v>
      </c>
      <c r="B378" s="3" t="s">
        <v>43</v>
      </c>
      <c r="C378" s="3">
        <v>2019</v>
      </c>
      <c r="D378" s="3">
        <v>4.7990000000000004</v>
      </c>
      <c r="E378" s="3">
        <v>1.0569999999999999</v>
      </c>
      <c r="F378" s="3">
        <v>2.02200007438659</v>
      </c>
      <c r="G378" s="3">
        <v>9.8839455799086693</v>
      </c>
      <c r="H378" s="3">
        <v>3.10114535560687</v>
      </c>
      <c r="I378" s="5"/>
      <c r="J378" s="5"/>
      <c r="K378" s="3">
        <v>1.52959720410175</v>
      </c>
      <c r="L378" s="3">
        <v>1.1830000000000001</v>
      </c>
      <c r="M378" s="3">
        <v>0.57099999999999995</v>
      </c>
      <c r="N378" s="3">
        <v>0.29499999999999998</v>
      </c>
      <c r="O378" s="3">
        <v>4.2999999999999997E-2</v>
      </c>
      <c r="P378" s="3">
        <v>5.5E-2</v>
      </c>
      <c r="Q378" s="3"/>
    </row>
    <row r="379" spans="1:17" x14ac:dyDescent="0.25">
      <c r="A379" s="3" t="s">
        <v>90</v>
      </c>
      <c r="B379" s="3" t="s">
        <v>43</v>
      </c>
      <c r="C379" s="3">
        <v>2020</v>
      </c>
      <c r="D379" s="3">
        <v>4.8292999270000001</v>
      </c>
      <c r="E379" s="3">
        <v>0.98804438100000003</v>
      </c>
      <c r="F379" s="3">
        <v>1.37303606970073</v>
      </c>
      <c r="G379" s="3">
        <v>0.102183112534684</v>
      </c>
      <c r="H379" s="3">
        <v>1.67284715175628</v>
      </c>
      <c r="I379" s="5"/>
      <c r="J379" s="5"/>
      <c r="K379" s="3">
        <v>-7.4420578897791598</v>
      </c>
      <c r="L379" s="3">
        <v>1.1063975100000001</v>
      </c>
      <c r="M379" s="3">
        <v>0.52257484200000004</v>
      </c>
      <c r="N379" s="3">
        <v>0.36945989699999998</v>
      </c>
      <c r="O379" s="3">
        <v>5.2013601999999999E-2</v>
      </c>
      <c r="P379" s="3">
        <v>5.5804539E-2</v>
      </c>
      <c r="Q379" s="3"/>
    </row>
    <row r="380" spans="1:17" x14ac:dyDescent="0.25">
      <c r="A380" s="3" t="s">
        <v>90</v>
      </c>
      <c r="B380" s="3" t="s">
        <v>43</v>
      </c>
      <c r="C380" s="3">
        <v>2021</v>
      </c>
      <c r="D380" s="3">
        <v>4.8520000000000003</v>
      </c>
      <c r="E380" s="3">
        <v>1.0369999999999999</v>
      </c>
      <c r="F380" s="3">
        <v>1.079</v>
      </c>
      <c r="G380" s="3">
        <v>0.23</v>
      </c>
      <c r="H380" s="3">
        <v>1.35</v>
      </c>
      <c r="I380" s="5"/>
      <c r="J380" s="5"/>
      <c r="K380" s="3">
        <v>25.3484696509549</v>
      </c>
      <c r="L380" s="3">
        <v>0.70699999999999996</v>
      </c>
      <c r="M380" s="3">
        <v>0.36199999999999999</v>
      </c>
      <c r="N380" s="3">
        <v>0.42399999999999999</v>
      </c>
      <c r="O380" s="3">
        <v>5.8000000000000003E-2</v>
      </c>
      <c r="P380" s="3">
        <v>6.4000000000000001E-2</v>
      </c>
      <c r="Q380" s="3"/>
    </row>
    <row r="381" spans="1:17" x14ac:dyDescent="0.25">
      <c r="A381" s="3" t="s">
        <v>90</v>
      </c>
      <c r="B381" s="3" t="s">
        <v>43</v>
      </c>
      <c r="C381" s="3">
        <v>2022</v>
      </c>
      <c r="D381" s="3">
        <v>4.9580000000000002</v>
      </c>
      <c r="E381" s="3">
        <v>1.4590000000000001</v>
      </c>
      <c r="F381" s="3">
        <v>4.2312479827457397</v>
      </c>
      <c r="G381" s="3">
        <v>2.98483068929202</v>
      </c>
      <c r="H381" s="3">
        <v>5.7033962509292397</v>
      </c>
      <c r="I381" s="5"/>
      <c r="J381" s="5"/>
      <c r="K381" s="3">
        <v>25.395383355512301</v>
      </c>
      <c r="L381" s="3">
        <v>0.73799999999999999</v>
      </c>
      <c r="M381" s="3">
        <v>0.39600000000000002</v>
      </c>
      <c r="N381" s="3">
        <v>0.34300000000000003</v>
      </c>
      <c r="O381" s="3">
        <v>3.2000000000000001E-2</v>
      </c>
      <c r="P381" s="3">
        <v>9.9000000000000005E-2</v>
      </c>
      <c r="Q381" s="3"/>
    </row>
    <row r="382" spans="1:17" x14ac:dyDescent="0.25">
      <c r="A382" s="3" t="s">
        <v>90</v>
      </c>
      <c r="B382" s="3" t="s">
        <v>43</v>
      </c>
      <c r="C382" s="3">
        <v>2023</v>
      </c>
      <c r="D382" s="3">
        <v>5.0350000000000001</v>
      </c>
      <c r="E382" s="3">
        <v>1.4379999999999999</v>
      </c>
      <c r="F382" s="3">
        <v>3.6290153418537598</v>
      </c>
      <c r="G382" s="3">
        <v>1.83893839906095</v>
      </c>
      <c r="H382" s="3">
        <v>5.9108669800101801</v>
      </c>
      <c r="I382" s="5"/>
      <c r="J382" s="5"/>
      <c r="K382" s="3">
        <v>-7.2171762589928097</v>
      </c>
      <c r="L382" s="3">
        <v>1.0209999999999999</v>
      </c>
      <c r="M382" s="3">
        <v>0.183</v>
      </c>
      <c r="N382" s="3">
        <v>0.34599999999999997</v>
      </c>
      <c r="O382" s="3">
        <v>3.5999999999999997E-2</v>
      </c>
      <c r="P382" s="3">
        <v>0.10199999999999999</v>
      </c>
      <c r="Q382" s="3"/>
    </row>
    <row r="383" spans="1:17" x14ac:dyDescent="0.25">
      <c r="A383" s="3" t="s">
        <v>91</v>
      </c>
      <c r="B383" s="3" t="s">
        <v>39</v>
      </c>
      <c r="C383" s="3">
        <v>2015</v>
      </c>
      <c r="D383" s="3">
        <v>4.2969999999999997</v>
      </c>
      <c r="E383" s="3">
        <v>0.7419</v>
      </c>
      <c r="F383" s="3">
        <v>4.0284171104431099</v>
      </c>
      <c r="G383" s="3">
        <v>3.8699998855590798</v>
      </c>
      <c r="H383" s="3">
        <v>4.1599998474120996</v>
      </c>
      <c r="I383" s="5"/>
      <c r="J383" s="3">
        <v>7.4987201690673801</v>
      </c>
      <c r="K383" s="3">
        <v>5.8331191363577899</v>
      </c>
      <c r="L383" s="3">
        <v>0.38562000000000002</v>
      </c>
      <c r="M383" s="3">
        <v>0.72926000000000002</v>
      </c>
      <c r="N383" s="3">
        <v>0.40577000000000002</v>
      </c>
      <c r="O383" s="3">
        <v>5.5469999999999998E-2</v>
      </c>
      <c r="P383" s="3">
        <v>0.38330999999999998</v>
      </c>
      <c r="Q383" s="3"/>
    </row>
    <row r="384" spans="1:17" x14ac:dyDescent="0.25">
      <c r="A384" s="3" t="s">
        <v>91</v>
      </c>
      <c r="B384" s="3" t="s">
        <v>39</v>
      </c>
      <c r="C384" s="3">
        <v>2016</v>
      </c>
      <c r="D384" s="3">
        <v>4.2519999999999998</v>
      </c>
      <c r="E384" s="3">
        <v>0.83792</v>
      </c>
      <c r="F384" s="3">
        <v>2.12147736549377</v>
      </c>
      <c r="G384" s="3">
        <v>3.4900000095367401</v>
      </c>
      <c r="H384" s="3">
        <v>1.6499999761581401</v>
      </c>
      <c r="I384" s="5"/>
      <c r="J384" s="3">
        <v>-0.12556219100952101</v>
      </c>
      <c r="K384" s="3">
        <v>2.61931829571065</v>
      </c>
      <c r="L384" s="3">
        <v>0.19248999999999999</v>
      </c>
      <c r="M384" s="3">
        <v>0.64034999999999997</v>
      </c>
      <c r="N384" s="3">
        <v>0.32461000000000001</v>
      </c>
      <c r="O384" s="3">
        <v>6.7860000000000004E-2</v>
      </c>
      <c r="P384" s="3">
        <v>0.31879999999999997</v>
      </c>
      <c r="Q384" s="3"/>
    </row>
    <row r="385" spans="1:17" x14ac:dyDescent="0.25">
      <c r="A385" s="3" t="s">
        <v>91</v>
      </c>
      <c r="B385" s="3" t="s">
        <v>39</v>
      </c>
      <c r="C385" s="3">
        <v>2017</v>
      </c>
      <c r="D385" s="3">
        <v>4.2859997749999996</v>
      </c>
      <c r="E385" s="3">
        <v>0.950612664</v>
      </c>
      <c r="F385" s="3">
        <v>6.0350000000000001</v>
      </c>
      <c r="G385" s="3">
        <v>1.62000000476837</v>
      </c>
      <c r="H385" s="3">
        <v>6.7699999809265101</v>
      </c>
      <c r="I385" s="5"/>
      <c r="J385" s="3">
        <v>10.967301368713301</v>
      </c>
      <c r="K385" s="3">
        <v>8.4910466687035395</v>
      </c>
      <c r="L385" s="3">
        <v>0.57061493399999996</v>
      </c>
      <c r="M385" s="3">
        <v>0.64954698099999997</v>
      </c>
      <c r="N385" s="3">
        <v>0.309410036</v>
      </c>
      <c r="O385" s="3">
        <v>5.4008815000000002E-2</v>
      </c>
      <c r="P385" s="3">
        <v>0.25166663500000003</v>
      </c>
      <c r="Q385" s="3"/>
    </row>
    <row r="386" spans="1:17" x14ac:dyDescent="0.25">
      <c r="A386" s="3" t="s">
        <v>91</v>
      </c>
      <c r="B386" s="3" t="s">
        <v>39</v>
      </c>
      <c r="C386" s="3">
        <v>2018</v>
      </c>
      <c r="D386" s="3">
        <v>4.34</v>
      </c>
      <c r="E386" s="3">
        <v>0.85299999999999998</v>
      </c>
      <c r="F386" s="3">
        <v>2.62</v>
      </c>
      <c r="G386" s="3">
        <v>4.2536995624390297</v>
      </c>
      <c r="H386" s="3">
        <v>2.31660231660232</v>
      </c>
      <c r="I386" s="5"/>
      <c r="J386" s="3">
        <v>6.1108741760253897</v>
      </c>
      <c r="K386" s="3">
        <v>4.3342252278295703</v>
      </c>
      <c r="L386" s="3">
        <v>0.59199999999999997</v>
      </c>
      <c r="M386" s="3">
        <v>0.64300000000000002</v>
      </c>
      <c r="N386" s="3">
        <v>0.375</v>
      </c>
      <c r="O386" s="3">
        <v>3.7999999999999999E-2</v>
      </c>
      <c r="P386" s="3">
        <v>0.215</v>
      </c>
      <c r="Q386" s="3"/>
    </row>
    <row r="387" spans="1:17" x14ac:dyDescent="0.25">
      <c r="A387" s="3" t="s">
        <v>91</v>
      </c>
      <c r="B387" s="3" t="s">
        <v>39</v>
      </c>
      <c r="C387" s="3">
        <v>2019</v>
      </c>
      <c r="D387" s="3">
        <v>4.5190000000000001</v>
      </c>
      <c r="E387" s="3">
        <v>0.88600000000000001</v>
      </c>
      <c r="F387" s="3">
        <v>4.8530001640319798</v>
      </c>
      <c r="G387" s="3">
        <v>1.6239905055953601</v>
      </c>
      <c r="H387" s="3">
        <v>8.1584617702158795</v>
      </c>
      <c r="I387" s="5"/>
      <c r="J387" s="3">
        <v>7.1750335693359304</v>
      </c>
      <c r="K387" s="3">
        <v>5.1923913692625003</v>
      </c>
      <c r="L387" s="3">
        <v>0.66600000000000004</v>
      </c>
      <c r="M387" s="3">
        <v>0.752</v>
      </c>
      <c r="N387" s="3">
        <v>0.34599999999999997</v>
      </c>
      <c r="O387" s="3">
        <v>4.2999999999999997E-2</v>
      </c>
      <c r="P387" s="3">
        <v>0.16400000000000001</v>
      </c>
      <c r="Q387" s="3"/>
    </row>
    <row r="388" spans="1:17" x14ac:dyDescent="0.25">
      <c r="A388" s="3" t="s">
        <v>91</v>
      </c>
      <c r="B388" s="3" t="s">
        <v>39</v>
      </c>
      <c r="C388" s="3">
        <v>2020</v>
      </c>
      <c r="D388" s="3">
        <v>4.6725997919999998</v>
      </c>
      <c r="E388" s="3">
        <v>0.84719806900000005</v>
      </c>
      <c r="F388" s="3">
        <v>5.2024648897528003</v>
      </c>
      <c r="G388" s="3">
        <v>0.75925179255455999</v>
      </c>
      <c r="H388" s="3">
        <v>10.5915054798981</v>
      </c>
      <c r="I388" s="5"/>
      <c r="J388" s="3">
        <v>11.7503128051757</v>
      </c>
      <c r="K388" s="3">
        <v>5.7695612678303902</v>
      </c>
      <c r="L388" s="3">
        <v>0.73119389999999995</v>
      </c>
      <c r="M388" s="3">
        <v>0.69465762399999997</v>
      </c>
      <c r="N388" s="3">
        <v>0.48549410700000001</v>
      </c>
      <c r="O388" s="3">
        <v>4.7609735E-2</v>
      </c>
      <c r="P388" s="3">
        <v>0.17408807600000001</v>
      </c>
      <c r="Q388" s="3"/>
    </row>
    <row r="389" spans="1:17" x14ac:dyDescent="0.25">
      <c r="A389" s="3" t="s">
        <v>91</v>
      </c>
      <c r="B389" s="3" t="s">
        <v>39</v>
      </c>
      <c r="C389" s="3">
        <v>2021</v>
      </c>
      <c r="D389" s="3">
        <v>4.891</v>
      </c>
      <c r="E389" s="3">
        <v>1.03</v>
      </c>
      <c r="F389" s="3">
        <v>9.5669143382476705</v>
      </c>
      <c r="G389" s="3">
        <v>6.95</v>
      </c>
      <c r="H389" s="3">
        <v>10.81</v>
      </c>
      <c r="I389" s="5"/>
      <c r="J389" s="3">
        <v>16.721299843736201</v>
      </c>
      <c r="K389" s="3">
        <v>10.2540891059753</v>
      </c>
      <c r="L389" s="3">
        <v>0.47</v>
      </c>
      <c r="M389" s="3">
        <v>0.498</v>
      </c>
      <c r="N389" s="3">
        <v>0.48799999999999999</v>
      </c>
      <c r="O389" s="3">
        <v>3.2000000000000001E-2</v>
      </c>
      <c r="P389" s="3">
        <v>0.18099999999999999</v>
      </c>
      <c r="Q389" s="3"/>
    </row>
    <row r="390" spans="1:17" x14ac:dyDescent="0.25">
      <c r="A390" s="3" t="s">
        <v>91</v>
      </c>
      <c r="B390" s="3" t="s">
        <v>39</v>
      </c>
      <c r="C390" s="3">
        <v>2022</v>
      </c>
      <c r="D390" s="3">
        <v>4.9729999999999999</v>
      </c>
      <c r="E390" s="3">
        <v>1.4670000000000001</v>
      </c>
      <c r="F390" s="3">
        <v>11.898165420319801</v>
      </c>
      <c r="G390" s="3">
        <v>17.684995781050201</v>
      </c>
      <c r="H390" s="3">
        <v>16.806639825038701</v>
      </c>
      <c r="I390" s="5"/>
      <c r="J390" s="3">
        <v>14.462847542189801</v>
      </c>
      <c r="K390" s="3">
        <v>8.5490877497827995</v>
      </c>
      <c r="L390" s="3">
        <v>0.61199999999999999</v>
      </c>
      <c r="M390" s="3">
        <v>0.59499999999999997</v>
      </c>
      <c r="N390" s="3">
        <v>0.50800000000000001</v>
      </c>
      <c r="O390" s="3">
        <v>0</v>
      </c>
      <c r="P390" s="3">
        <v>0.20799999999999999</v>
      </c>
      <c r="Q390" s="3"/>
    </row>
    <row r="391" spans="1:17" x14ac:dyDescent="0.25">
      <c r="A391" s="3" t="s">
        <v>91</v>
      </c>
      <c r="B391" s="3" t="s">
        <v>39</v>
      </c>
      <c r="C391" s="3">
        <v>2023</v>
      </c>
      <c r="D391" s="3">
        <v>5.109</v>
      </c>
      <c r="E391" s="3">
        <v>1.4770000000000001</v>
      </c>
      <c r="F391" s="3">
        <v>2.4877605657871502</v>
      </c>
      <c r="G391" s="3">
        <v>6.6620104992407496</v>
      </c>
      <c r="H391" s="3">
        <v>3.7120605389356101</v>
      </c>
      <c r="I391" s="5"/>
      <c r="J391" s="3">
        <v>-2.8644688644688001</v>
      </c>
      <c r="K391" s="3">
        <v>2.4780345323063</v>
      </c>
      <c r="L391" s="3">
        <v>0.94699999999999995</v>
      </c>
      <c r="M391" s="3">
        <v>0.36599999999999999</v>
      </c>
      <c r="N391" s="3">
        <v>0.53900000000000003</v>
      </c>
      <c r="O391" s="3">
        <v>0</v>
      </c>
      <c r="P391" s="3">
        <v>0.20100000000000001</v>
      </c>
      <c r="Q391" s="3"/>
    </row>
    <row r="392" spans="1:17" x14ac:dyDescent="0.25">
      <c r="A392" s="3" t="s">
        <v>92</v>
      </c>
      <c r="B392" s="3" t="s">
        <v>50</v>
      </c>
      <c r="C392" s="3">
        <v>2015</v>
      </c>
      <c r="D392" s="3">
        <v>6.75</v>
      </c>
      <c r="E392" s="3">
        <v>1.32792</v>
      </c>
      <c r="F392" s="3">
        <v>0.51442015171051003</v>
      </c>
      <c r="G392" s="3">
        <v>-0.414969652891159</v>
      </c>
      <c r="H392" s="3">
        <v>0.60362017154693604</v>
      </c>
      <c r="I392" s="3">
        <v>1.666498</v>
      </c>
      <c r="J392" s="3">
        <v>-0.53873562812805098</v>
      </c>
      <c r="K392" s="3">
        <v>1.8589253883371499</v>
      </c>
      <c r="L392" s="3">
        <v>1.2993699999999999</v>
      </c>
      <c r="M392" s="3">
        <v>0.89185999999999999</v>
      </c>
      <c r="N392" s="3">
        <v>0.61477000000000004</v>
      </c>
      <c r="O392" s="3">
        <v>0.28214</v>
      </c>
      <c r="P392" s="3">
        <v>0.21843000000000001</v>
      </c>
      <c r="Q392" s="3"/>
    </row>
    <row r="393" spans="1:17" x14ac:dyDescent="0.25">
      <c r="A393" s="3" t="s">
        <v>92</v>
      </c>
      <c r="B393" s="3" t="s">
        <v>50</v>
      </c>
      <c r="C393" s="3">
        <v>2016</v>
      </c>
      <c r="D393" s="3">
        <v>6.9939999999999998</v>
      </c>
      <c r="E393" s="3">
        <v>1.44787</v>
      </c>
      <c r="F393" s="3">
        <v>0.491744995117187</v>
      </c>
      <c r="G393" s="3">
        <v>0</v>
      </c>
      <c r="H393" s="3">
        <v>0.80833435058593694</v>
      </c>
      <c r="I393" s="3">
        <v>1.206361</v>
      </c>
      <c r="J393" s="3">
        <v>-1.2416369915008501</v>
      </c>
      <c r="K393" s="3">
        <v>1.3280000000000001</v>
      </c>
      <c r="L393" s="3">
        <v>1.0977399999999999</v>
      </c>
      <c r="M393" s="3">
        <v>0.81486999999999998</v>
      </c>
      <c r="N393" s="3">
        <v>0.53466000000000002</v>
      </c>
      <c r="O393" s="3">
        <v>0.30452000000000001</v>
      </c>
      <c r="P393" s="3">
        <v>0.28550999999999999</v>
      </c>
      <c r="Q393" s="3"/>
    </row>
    <row r="394" spans="1:17" x14ac:dyDescent="0.25">
      <c r="A394" s="3" t="s">
        <v>92</v>
      </c>
      <c r="B394" s="3" t="s">
        <v>50</v>
      </c>
      <c r="C394" s="3">
        <v>2017</v>
      </c>
      <c r="D394" s="3">
        <v>6.9510002139999996</v>
      </c>
      <c r="E394" s="3">
        <v>1.4879233839999999</v>
      </c>
      <c r="F394" s="3">
        <v>1.7110000000000001</v>
      </c>
      <c r="G394" s="3">
        <v>1.2417645454406701</v>
      </c>
      <c r="H394" s="3">
        <v>2.76101469993591</v>
      </c>
      <c r="I394" s="3">
        <v>1.2277629999999999</v>
      </c>
      <c r="J394" s="3">
        <v>1.94071757793426</v>
      </c>
      <c r="K394" s="3">
        <v>1.3510579504184399</v>
      </c>
      <c r="L394" s="3">
        <v>1.472520351</v>
      </c>
      <c r="M394" s="3">
        <v>0.798950732</v>
      </c>
      <c r="N394" s="3">
        <v>0.562511384</v>
      </c>
      <c r="O394" s="3">
        <v>0.33626917000000001</v>
      </c>
      <c r="P394" s="3">
        <v>0.27673193800000001</v>
      </c>
      <c r="Q394" s="3"/>
    </row>
    <row r="395" spans="1:17" x14ac:dyDescent="0.25">
      <c r="A395" s="3" t="s">
        <v>92</v>
      </c>
      <c r="B395" s="3" t="s">
        <v>50</v>
      </c>
      <c r="C395" s="3">
        <v>2018</v>
      </c>
      <c r="D395" s="3">
        <v>6.9649999999999999</v>
      </c>
      <c r="E395" s="3">
        <v>1.34</v>
      </c>
      <c r="F395" s="3">
        <v>1.73</v>
      </c>
      <c r="G395" s="3">
        <v>1.7533766031265201</v>
      </c>
      <c r="H395" s="3">
        <v>2.28461289405822</v>
      </c>
      <c r="I395" s="3">
        <v>1.309285</v>
      </c>
      <c r="J395" s="3">
        <v>1.86245560646057</v>
      </c>
      <c r="K395" s="3">
        <v>1.6728823626785601</v>
      </c>
      <c r="L395" s="3">
        <v>1.474</v>
      </c>
      <c r="M395" s="3">
        <v>0.86099999999999999</v>
      </c>
      <c r="N395" s="3">
        <v>0.58599999999999997</v>
      </c>
      <c r="O395" s="3">
        <v>0.27300000000000002</v>
      </c>
      <c r="P395" s="3">
        <v>0.28000000000000003</v>
      </c>
      <c r="Q395" s="3"/>
    </row>
    <row r="396" spans="1:17" x14ac:dyDescent="0.25">
      <c r="A396" s="3" t="s">
        <v>92</v>
      </c>
      <c r="B396" s="3" t="s">
        <v>50</v>
      </c>
      <c r="C396" s="3">
        <v>2019</v>
      </c>
      <c r="D396" s="3">
        <v>6.9850000000000003</v>
      </c>
      <c r="E396" s="3">
        <v>1.373</v>
      </c>
      <c r="F396" s="3">
        <v>1.3459999561309799</v>
      </c>
      <c r="G396" s="3">
        <v>1.3150060176849301</v>
      </c>
      <c r="H396" s="3">
        <v>1.2042591064900301</v>
      </c>
      <c r="I396" s="3">
        <v>1.492327</v>
      </c>
      <c r="J396" s="3">
        <v>0.94263029098510698</v>
      </c>
      <c r="K396" s="3">
        <v>2.1922137623904399</v>
      </c>
      <c r="L396" s="3">
        <v>1.454</v>
      </c>
      <c r="M396" s="3">
        <v>0.98699999999999999</v>
      </c>
      <c r="N396" s="3">
        <v>0.495</v>
      </c>
      <c r="O396" s="3">
        <v>0.26100000000000001</v>
      </c>
      <c r="P396" s="3">
        <v>0.26500000000000001</v>
      </c>
      <c r="Q396" s="3"/>
    </row>
    <row r="397" spans="1:17" x14ac:dyDescent="0.25">
      <c r="A397" s="3" t="s">
        <v>92</v>
      </c>
      <c r="B397" s="3" t="s">
        <v>50</v>
      </c>
      <c r="C397" s="3">
        <v>2020</v>
      </c>
      <c r="D397" s="3">
        <v>7.0757999419999997</v>
      </c>
      <c r="E397" s="3">
        <v>1.3141845459999999</v>
      </c>
      <c r="F397" s="3">
        <v>0.50668988995353803</v>
      </c>
      <c r="G397" s="3">
        <v>0.69913402717087803</v>
      </c>
      <c r="H397" s="3">
        <v>2.25846969870789</v>
      </c>
      <c r="I397" s="3">
        <v>0.96207819999999999</v>
      </c>
      <c r="J397" s="3">
        <v>-0.75672194493581202</v>
      </c>
      <c r="K397" s="3">
        <v>1.5950667266456799</v>
      </c>
      <c r="L397" s="3">
        <v>1.3685437439999999</v>
      </c>
      <c r="M397" s="3">
        <v>0.97211480100000003</v>
      </c>
      <c r="N397" s="3">
        <v>0.56427413199999998</v>
      </c>
      <c r="O397" s="3">
        <v>0.25203770399999997</v>
      </c>
      <c r="P397" s="3">
        <v>0.30936229199999998</v>
      </c>
      <c r="Q397" s="3"/>
    </row>
    <row r="398" spans="1:17" x14ac:dyDescent="0.25">
      <c r="A398" s="3" t="s">
        <v>92</v>
      </c>
      <c r="B398" s="3" t="s">
        <v>50</v>
      </c>
      <c r="C398" s="3">
        <v>2021</v>
      </c>
      <c r="D398" s="3">
        <v>7.1550000000000002</v>
      </c>
      <c r="E398" s="3">
        <v>1.48</v>
      </c>
      <c r="F398" s="3">
        <v>3.14297</v>
      </c>
      <c r="G398" s="3">
        <v>10.7082</v>
      </c>
      <c r="H398" s="3">
        <v>3.1619999999999999</v>
      </c>
      <c r="I398" s="3">
        <v>2.13</v>
      </c>
      <c r="J398" s="3">
        <v>7.4789097988319302</v>
      </c>
      <c r="K398" s="3">
        <v>3.0576006977631098</v>
      </c>
      <c r="L398" s="3">
        <v>0.99299999999999999</v>
      </c>
      <c r="M398" s="3">
        <v>0.75700000000000001</v>
      </c>
      <c r="N398" s="3">
        <v>0.6</v>
      </c>
      <c r="O398" s="3">
        <v>0.19500000000000001</v>
      </c>
      <c r="P398" s="3">
        <v>0.30599999999999999</v>
      </c>
      <c r="Q398" s="3"/>
    </row>
    <row r="399" spans="1:17" x14ac:dyDescent="0.25">
      <c r="A399" s="3" t="s">
        <v>92</v>
      </c>
      <c r="B399" s="3" t="s">
        <v>50</v>
      </c>
      <c r="C399" s="3">
        <v>2022</v>
      </c>
      <c r="D399" s="3">
        <v>7.0339999999999998</v>
      </c>
      <c r="E399" s="3">
        <v>1.9239999999999999</v>
      </c>
      <c r="F399" s="3">
        <v>6.8725740000000002</v>
      </c>
      <c r="G399" s="3">
        <v>35.047501710440002</v>
      </c>
      <c r="H399" s="3">
        <v>12.561640000000001</v>
      </c>
      <c r="I399" s="3">
        <v>3.92795585734613</v>
      </c>
      <c r="J399" s="3">
        <v>23.932075471697701</v>
      </c>
      <c r="K399" s="3">
        <v>5.1977932353890699</v>
      </c>
      <c r="L399" s="3">
        <v>1.0880000000000001</v>
      </c>
      <c r="M399" s="3">
        <v>0.77600000000000002</v>
      </c>
      <c r="N399" s="3">
        <v>0.58499999999999996</v>
      </c>
      <c r="O399" s="3">
        <v>0.16300000000000001</v>
      </c>
      <c r="P399" s="3">
        <v>0.35799999999999998</v>
      </c>
      <c r="Q399" s="3"/>
    </row>
    <row r="400" spans="1:17" x14ac:dyDescent="0.25">
      <c r="A400" s="3" t="s">
        <v>92</v>
      </c>
      <c r="B400" s="3" t="s">
        <v>50</v>
      </c>
      <c r="C400" s="3">
        <v>2023</v>
      </c>
      <c r="D400" s="3">
        <v>6.8920000000000003</v>
      </c>
      <c r="E400" s="3">
        <v>1.919</v>
      </c>
      <c r="F400" s="3">
        <v>5.9464366772582302</v>
      </c>
      <c r="G400" s="3">
        <v>6.4039847667387599</v>
      </c>
      <c r="H400" s="3">
        <v>12.2441753974073</v>
      </c>
      <c r="I400" s="3">
        <v>5.0435829465081499</v>
      </c>
      <c r="J400" s="3">
        <v>-1.0230802021804699</v>
      </c>
      <c r="K400" s="3">
        <v>6.6337033923063604</v>
      </c>
      <c r="L400" s="3">
        <v>1.401</v>
      </c>
      <c r="M400" s="3">
        <v>0.53900000000000003</v>
      </c>
      <c r="N400" s="3">
        <v>0.61799999999999999</v>
      </c>
      <c r="O400" s="3">
        <v>0.153</v>
      </c>
      <c r="P400" s="3">
        <v>0.36499999999999999</v>
      </c>
      <c r="Q400" s="3"/>
    </row>
    <row r="401" spans="1:17" x14ac:dyDescent="0.25">
      <c r="A401" s="3" t="s">
        <v>93</v>
      </c>
      <c r="B401" s="3" t="s">
        <v>43</v>
      </c>
      <c r="C401" s="3">
        <v>2015</v>
      </c>
      <c r="D401" s="3">
        <v>4.633</v>
      </c>
      <c r="E401" s="3">
        <v>0.54557999999999995</v>
      </c>
      <c r="F401" s="3">
        <v>17.146194458007798</v>
      </c>
      <c r="G401" s="3">
        <v>25.475603103637599</v>
      </c>
      <c r="H401" s="3">
        <v>7.4805059432983398</v>
      </c>
      <c r="I401" s="3">
        <v>23.771196365356399</v>
      </c>
      <c r="J401" s="3">
        <v>12.7792205810546</v>
      </c>
      <c r="K401" s="3">
        <v>13.588291149602099</v>
      </c>
      <c r="L401" s="3">
        <v>0.67954000000000003</v>
      </c>
      <c r="M401" s="3">
        <v>0.40132000000000001</v>
      </c>
      <c r="N401" s="3">
        <v>0.42342000000000002</v>
      </c>
      <c r="O401" s="3">
        <v>0.23086999999999999</v>
      </c>
      <c r="P401" s="3">
        <v>4.3549999999999998E-2</v>
      </c>
      <c r="Q401" s="3"/>
    </row>
    <row r="402" spans="1:17" x14ac:dyDescent="0.25">
      <c r="A402" s="3" t="s">
        <v>93</v>
      </c>
      <c r="B402" s="3" t="s">
        <v>43</v>
      </c>
      <c r="C402" s="3">
        <v>2016</v>
      </c>
      <c r="D402" s="3">
        <v>4.2759999999999998</v>
      </c>
      <c r="E402" s="3">
        <v>0.63107000000000002</v>
      </c>
      <c r="F402" s="3">
        <v>17.438550949096602</v>
      </c>
      <c r="G402" s="3">
        <v>30.6745090484619</v>
      </c>
      <c r="H402" s="3">
        <v>8.6609354019165004</v>
      </c>
      <c r="I402" s="3">
        <v>22.213098526000898</v>
      </c>
      <c r="J402" s="3">
        <v>10.937165260314901</v>
      </c>
      <c r="K402" s="3">
        <v>15.2496324695165</v>
      </c>
      <c r="L402" s="3">
        <v>0.49353000000000002</v>
      </c>
      <c r="M402" s="3">
        <v>0.29681000000000002</v>
      </c>
      <c r="N402" s="3">
        <v>0.40972999999999998</v>
      </c>
      <c r="O402" s="3">
        <v>0.21203</v>
      </c>
      <c r="P402" s="3">
        <v>3.2599999999999997E-2</v>
      </c>
      <c r="Q402" s="3"/>
    </row>
    <row r="403" spans="1:17" x14ac:dyDescent="0.25">
      <c r="A403" s="3" t="s">
        <v>93</v>
      </c>
      <c r="B403" s="3" t="s">
        <v>43</v>
      </c>
      <c r="C403" s="3">
        <v>2017</v>
      </c>
      <c r="D403" s="3">
        <v>4.1199998860000004</v>
      </c>
      <c r="E403" s="3">
        <v>0.66722482400000005</v>
      </c>
      <c r="F403" s="3">
        <v>12.372</v>
      </c>
      <c r="G403" s="3">
        <v>7.1019158363342196</v>
      </c>
      <c r="H403" s="3">
        <v>7.2688279151916504</v>
      </c>
      <c r="I403" s="3">
        <v>16.5104160308837</v>
      </c>
      <c r="J403" s="3">
        <v>5.5156311988830504</v>
      </c>
      <c r="K403" s="3">
        <v>10.3523526653118</v>
      </c>
      <c r="L403" s="3">
        <v>0.87366473700000002</v>
      </c>
      <c r="M403" s="3">
        <v>0.29563772700000002</v>
      </c>
      <c r="N403" s="3">
        <v>0.42302629400000002</v>
      </c>
      <c r="O403" s="3">
        <v>0.25692394400000002</v>
      </c>
      <c r="P403" s="3">
        <v>2.533637E-2</v>
      </c>
      <c r="Q403" s="3"/>
    </row>
    <row r="404" spans="1:17" x14ac:dyDescent="0.25">
      <c r="A404" s="3" t="s">
        <v>93</v>
      </c>
      <c r="B404" s="3" t="s">
        <v>43</v>
      </c>
      <c r="C404" s="3">
        <v>2018</v>
      </c>
      <c r="D404" s="3">
        <v>4.657</v>
      </c>
      <c r="E404" s="3">
        <v>0.59199999999999997</v>
      </c>
      <c r="F404" s="3">
        <v>9.84</v>
      </c>
      <c r="G404" s="3">
        <v>4.3102002143859801</v>
      </c>
      <c r="H404" s="3">
        <v>7.8229184150695801</v>
      </c>
      <c r="I404" s="3">
        <v>12.333234786987299</v>
      </c>
      <c r="J404" s="3">
        <v>6.4156565666198704</v>
      </c>
      <c r="K404" s="3">
        <v>10.2101642669749</v>
      </c>
      <c r="L404" s="3">
        <v>0.89600000000000002</v>
      </c>
      <c r="M404" s="3">
        <v>0.33700000000000002</v>
      </c>
      <c r="N404" s="3">
        <v>0.499</v>
      </c>
      <c r="O404" s="3">
        <v>0.21199999999999999</v>
      </c>
      <c r="P404" s="3">
        <v>2.9000000000000001E-2</v>
      </c>
      <c r="Q404" s="3"/>
    </row>
    <row r="405" spans="1:17" x14ac:dyDescent="0.25">
      <c r="A405" s="3" t="s">
        <v>93</v>
      </c>
      <c r="B405" s="3" t="s">
        <v>43</v>
      </c>
      <c r="C405" s="3">
        <v>2019</v>
      </c>
      <c r="D405" s="3">
        <v>4.9960000000000004</v>
      </c>
      <c r="E405" s="3">
        <v>0.61099999999999999</v>
      </c>
      <c r="F405" s="3">
        <v>7.1760001182556099</v>
      </c>
      <c r="G405" s="3">
        <v>9.98061022409766</v>
      </c>
      <c r="H405" s="3">
        <v>7.8575409652195596</v>
      </c>
      <c r="I405" s="5"/>
      <c r="J405" s="3">
        <v>8.1040163040161097</v>
      </c>
      <c r="K405" s="3">
        <v>9.1886889460154304</v>
      </c>
      <c r="L405" s="3">
        <v>0.86799999999999999</v>
      </c>
      <c r="M405" s="3">
        <v>0.48599999999999999</v>
      </c>
      <c r="N405" s="3">
        <v>0.38100000000000001</v>
      </c>
      <c r="O405" s="3">
        <v>0.245</v>
      </c>
      <c r="P405" s="3">
        <v>0.04</v>
      </c>
      <c r="Q405" s="3"/>
    </row>
    <row r="406" spans="1:17" x14ac:dyDescent="0.25">
      <c r="A406" s="3" t="s">
        <v>93</v>
      </c>
      <c r="B406" s="3" t="s">
        <v>43</v>
      </c>
      <c r="C406" s="3">
        <v>2020</v>
      </c>
      <c r="D406" s="3">
        <v>5.1479997629999996</v>
      </c>
      <c r="E406" s="3">
        <v>0.57586246699999999</v>
      </c>
      <c r="F406" s="3">
        <v>9.9534408703551591</v>
      </c>
      <c r="G406" s="3">
        <v>15.9751787185668</v>
      </c>
      <c r="H406" s="3">
        <v>11.8365278244018</v>
      </c>
      <c r="I406" s="5"/>
      <c r="J406" s="3">
        <v>9.0186452865600497</v>
      </c>
      <c r="K406" s="3">
        <v>8.6466200817433503</v>
      </c>
      <c r="L406" s="3">
        <v>0.96636796000000003</v>
      </c>
      <c r="M406" s="3">
        <v>0.432162255</v>
      </c>
      <c r="N406" s="3">
        <v>0.47729006400000001</v>
      </c>
      <c r="O406" s="3">
        <v>0.261291206</v>
      </c>
      <c r="P406" s="3">
        <v>5.6570381000000003E-2</v>
      </c>
      <c r="Q406" s="3"/>
    </row>
    <row r="407" spans="1:17" x14ac:dyDescent="0.25">
      <c r="A407" s="3" t="s">
        <v>93</v>
      </c>
      <c r="B407" s="3" t="s">
        <v>43</v>
      </c>
      <c r="C407" s="3">
        <v>2021</v>
      </c>
      <c r="D407" s="3">
        <v>5.0880000000000001</v>
      </c>
      <c r="E407" s="3">
        <v>0.68</v>
      </c>
      <c r="F407" s="3">
        <v>9.97242062088959</v>
      </c>
      <c r="G407" s="3">
        <v>20.016576696752502</v>
      </c>
      <c r="H407" s="3">
        <v>10.3066632448727</v>
      </c>
      <c r="I407" s="5"/>
      <c r="J407" s="3">
        <v>10.761258041458101</v>
      </c>
      <c r="K407" s="3">
        <v>11.1872267877566</v>
      </c>
      <c r="L407" s="3">
        <v>0.59499999999999997</v>
      </c>
      <c r="M407" s="3">
        <v>0.28699999999999998</v>
      </c>
      <c r="N407" s="3">
        <v>0.51700000000000002</v>
      </c>
      <c r="O407" s="3">
        <v>0.26800000000000002</v>
      </c>
      <c r="P407" s="3">
        <v>5.8000000000000003E-2</v>
      </c>
      <c r="Q407" s="3"/>
    </row>
    <row r="408" spans="1:17" x14ac:dyDescent="0.25">
      <c r="A408" s="3" t="s">
        <v>93</v>
      </c>
      <c r="B408" s="3" t="s">
        <v>43</v>
      </c>
      <c r="C408" s="3">
        <v>2022</v>
      </c>
      <c r="D408" s="3">
        <v>4.8719999999999999</v>
      </c>
      <c r="E408" s="3">
        <v>1.1120000000000001</v>
      </c>
      <c r="F408" s="3">
        <v>31.255895104901601</v>
      </c>
      <c r="G408" s="3">
        <v>46.568330541801103</v>
      </c>
      <c r="H408" s="3">
        <v>28.777114736908</v>
      </c>
      <c r="I408" s="5"/>
      <c r="J408" s="5"/>
      <c r="K408" s="3">
        <v>27.9372340687178</v>
      </c>
      <c r="L408" s="3">
        <v>0.59499999999999997</v>
      </c>
      <c r="M408" s="3">
        <v>0.40899999999999997</v>
      </c>
      <c r="N408" s="3">
        <v>0.5</v>
      </c>
      <c r="O408" s="3">
        <v>0.23</v>
      </c>
      <c r="P408" s="3">
        <v>5.6000000000000001E-2</v>
      </c>
      <c r="Q408" s="3"/>
    </row>
    <row r="409" spans="1:17" x14ac:dyDescent="0.25">
      <c r="A409" s="3" t="s">
        <v>93</v>
      </c>
      <c r="B409" s="3" t="s">
        <v>43</v>
      </c>
      <c r="C409" s="3">
        <v>2023</v>
      </c>
      <c r="D409" s="3">
        <v>4.6050000000000004</v>
      </c>
      <c r="E409" s="3">
        <v>1.101</v>
      </c>
      <c r="F409" s="3">
        <v>38.106965629650098</v>
      </c>
      <c r="G409" s="3">
        <v>68.457084177197103</v>
      </c>
      <c r="H409" s="3">
        <v>47.825870986569598</v>
      </c>
      <c r="I409" s="5"/>
      <c r="J409" s="5"/>
      <c r="K409" s="3">
        <v>36.321543484223298</v>
      </c>
      <c r="L409" s="3">
        <v>0.75600000000000001</v>
      </c>
      <c r="M409" s="3">
        <v>0.19700000000000001</v>
      </c>
      <c r="N409" s="3">
        <v>0.52600000000000002</v>
      </c>
      <c r="O409" s="3">
        <v>0.21099999999999999</v>
      </c>
      <c r="P409" s="3">
        <v>3.5000000000000003E-2</v>
      </c>
      <c r="Q409" s="3"/>
    </row>
    <row r="410" spans="1:17" x14ac:dyDescent="0.25">
      <c r="A410" s="3" t="s">
        <v>94</v>
      </c>
      <c r="B410" s="3" t="s">
        <v>50</v>
      </c>
      <c r="C410" s="3">
        <v>2015</v>
      </c>
      <c r="D410" s="3">
        <v>4.8570000000000002</v>
      </c>
      <c r="E410" s="3">
        <v>1.1540600000000001</v>
      </c>
      <c r="F410" s="3">
        <v>-1.73604500293731</v>
      </c>
      <c r="G410" s="3">
        <v>-6.4721870422363201</v>
      </c>
      <c r="H410" s="3">
        <v>1.80199193954467</v>
      </c>
      <c r="I410" s="3">
        <v>-1.01358902454376</v>
      </c>
      <c r="J410" s="3">
        <v>-4.9417953491210902</v>
      </c>
      <c r="K410" s="3">
        <v>-0.28717294192724602</v>
      </c>
      <c r="L410" s="3">
        <v>0.92932999999999999</v>
      </c>
      <c r="M410" s="3">
        <v>0.88212999999999997</v>
      </c>
      <c r="N410" s="3">
        <v>7.6990000000000003E-2</v>
      </c>
      <c r="O410" s="3">
        <v>0</v>
      </c>
      <c r="P410" s="3">
        <v>1.397E-2</v>
      </c>
      <c r="Q410" s="3"/>
    </row>
    <row r="411" spans="1:17" x14ac:dyDescent="0.25">
      <c r="A411" s="3" t="s">
        <v>94</v>
      </c>
      <c r="B411" s="3" t="s">
        <v>50</v>
      </c>
      <c r="C411" s="3">
        <v>2016</v>
      </c>
      <c r="D411" s="3">
        <v>5.0330000000000004</v>
      </c>
      <c r="E411" s="3">
        <v>1.2488600000000001</v>
      </c>
      <c r="F411" s="3">
        <v>-0.82566070556640603</v>
      </c>
      <c r="G411" s="3">
        <v>-3.18048095703125</v>
      </c>
      <c r="H411" s="3">
        <v>-0.22091343998908899</v>
      </c>
      <c r="I411" s="3">
        <v>-1.13368999958038</v>
      </c>
      <c r="J411" s="3">
        <v>-1.43296670913696</v>
      </c>
      <c r="K411" s="3">
        <v>-0.57699999999999796</v>
      </c>
      <c r="L411" s="3">
        <v>0.75473000000000001</v>
      </c>
      <c r="M411" s="3">
        <v>0.80028999999999995</v>
      </c>
      <c r="N411" s="3">
        <v>5.8220000000000001E-2</v>
      </c>
      <c r="O411" s="3">
        <v>0</v>
      </c>
      <c r="P411" s="3">
        <v>4.1270000000000001E-2</v>
      </c>
    </row>
    <row r="412" spans="1:17" x14ac:dyDescent="0.25">
      <c r="A412" s="3" t="s">
        <v>94</v>
      </c>
      <c r="B412" s="3" t="s">
        <v>50</v>
      </c>
      <c r="C412" s="3">
        <v>2017</v>
      </c>
      <c r="D412" s="3">
        <v>5.2270002370000004</v>
      </c>
      <c r="E412" s="3">
        <v>1.2894874810000001</v>
      </c>
      <c r="F412" s="3">
        <v>1.1379999999999999</v>
      </c>
      <c r="G412" s="3">
        <v>2.1680212020874001</v>
      </c>
      <c r="H412" s="3">
        <v>0.31812119483947698</v>
      </c>
      <c r="I412" s="3">
        <v>0.45413818955421398</v>
      </c>
      <c r="J412" s="3">
        <v>8.4946365356445295</v>
      </c>
      <c r="K412" s="3">
        <v>0.38723434215423502</v>
      </c>
      <c r="L412" s="3">
        <v>1.2394145729999999</v>
      </c>
      <c r="M412" s="3">
        <v>0.81019890299999997</v>
      </c>
      <c r="N412" s="3">
        <v>9.5731251000000003E-2</v>
      </c>
      <c r="O412" s="3">
        <v>0</v>
      </c>
      <c r="P412" s="3">
        <v>4.3289777000000002E-2</v>
      </c>
      <c r="Q412" s="3"/>
    </row>
    <row r="413" spans="1:17" x14ac:dyDescent="0.25">
      <c r="A413" s="3" t="s">
        <v>94</v>
      </c>
      <c r="B413" s="3" t="s">
        <v>50</v>
      </c>
      <c r="C413" s="3">
        <v>2018</v>
      </c>
      <c r="D413" s="3">
        <v>5.3579999999999997</v>
      </c>
      <c r="E413" s="3">
        <v>1.1539999999999999</v>
      </c>
      <c r="F413" s="3">
        <v>0.63</v>
      </c>
      <c r="G413" s="3">
        <v>6.7085951566696098E-2</v>
      </c>
      <c r="H413" s="3">
        <v>0.39843726158142001</v>
      </c>
      <c r="I413" s="3">
        <v>22.3011970520019</v>
      </c>
      <c r="J413" s="3">
        <v>5.21190977096557</v>
      </c>
      <c r="K413" s="3">
        <v>-0.103198140429633</v>
      </c>
      <c r="L413" s="3">
        <v>1.202</v>
      </c>
      <c r="M413" s="3">
        <v>0.879</v>
      </c>
      <c r="N413" s="3">
        <v>0.13100000000000001</v>
      </c>
      <c r="O413" s="3">
        <v>0</v>
      </c>
      <c r="P413" s="3">
        <v>4.3999999999999997E-2</v>
      </c>
      <c r="Q413" s="3"/>
    </row>
    <row r="414" spans="1:17" x14ac:dyDescent="0.25">
      <c r="A414" s="3" t="s">
        <v>94</v>
      </c>
      <c r="B414" s="3" t="s">
        <v>50</v>
      </c>
      <c r="C414" s="3">
        <v>2019</v>
      </c>
      <c r="D414" s="3">
        <v>5.2869999999999999</v>
      </c>
      <c r="E414" s="3">
        <v>1.181</v>
      </c>
      <c r="F414" s="3">
        <v>0.51700001955032304</v>
      </c>
      <c r="G414" s="3">
        <v>-0.48048189282417297</v>
      </c>
      <c r="H414" s="3">
        <v>-4.6989722251892001</v>
      </c>
      <c r="I414" s="3">
        <v>-2.4331500530242902</v>
      </c>
      <c r="J414" s="3">
        <v>1.0144362449645901</v>
      </c>
      <c r="K414" s="3">
        <v>0.19056215836717999</v>
      </c>
      <c r="L414" s="3">
        <v>1.1559999999999999</v>
      </c>
      <c r="M414" s="3">
        <v>0.999</v>
      </c>
      <c r="N414" s="3">
        <v>6.7000000000000004E-2</v>
      </c>
      <c r="O414" s="3">
        <v>0</v>
      </c>
      <c r="P414" s="3">
        <v>3.4000000000000002E-2</v>
      </c>
      <c r="Q414" s="3"/>
    </row>
    <row r="415" spans="1:17" x14ac:dyDescent="0.25">
      <c r="A415" s="3" t="s">
        <v>94</v>
      </c>
      <c r="B415" s="3" t="s">
        <v>50</v>
      </c>
      <c r="C415" s="3">
        <v>2020</v>
      </c>
      <c r="D415" s="3">
        <v>5.5149998660000001</v>
      </c>
      <c r="E415" s="3">
        <v>1.128070116</v>
      </c>
      <c r="F415" s="3">
        <v>-1.2479518770134299</v>
      </c>
      <c r="G415" s="3">
        <v>-3.76530054654312</v>
      </c>
      <c r="H415" s="3">
        <v>1.36331019276808</v>
      </c>
      <c r="I415" s="3">
        <v>-0.67443730000000002</v>
      </c>
      <c r="J415" s="3">
        <v>5.31876373291015</v>
      </c>
      <c r="K415" s="3">
        <v>-1.4595325091345801</v>
      </c>
      <c r="L415" s="3">
        <v>1.1689735649999999</v>
      </c>
      <c r="M415" s="3">
        <v>0.97943174799999999</v>
      </c>
      <c r="N415" s="3">
        <v>0.17351634799999999</v>
      </c>
      <c r="O415" s="3">
        <v>0</v>
      </c>
      <c r="P415" s="3">
        <v>4.8844352000000001E-2</v>
      </c>
      <c r="Q415" s="3"/>
    </row>
    <row r="416" spans="1:17" x14ac:dyDescent="0.25">
      <c r="A416" s="3" t="s">
        <v>94</v>
      </c>
      <c r="B416" s="3" t="s">
        <v>50</v>
      </c>
      <c r="C416" s="3">
        <v>2021</v>
      </c>
      <c r="D416" s="3">
        <v>5.7229999999999999</v>
      </c>
      <c r="E416" s="3">
        <v>1.2729999999999999</v>
      </c>
      <c r="F416" s="3">
        <v>1.2238260000000001</v>
      </c>
      <c r="G416" s="3">
        <v>12.308310000000001</v>
      </c>
      <c r="H416" s="3">
        <v>1.361</v>
      </c>
      <c r="I416" s="3">
        <v>-0.624</v>
      </c>
      <c r="J416" s="3">
        <v>13.749567623659299</v>
      </c>
      <c r="K416" s="3">
        <v>1.29219914889998</v>
      </c>
      <c r="L416" s="3">
        <v>0.81100000000000005</v>
      </c>
      <c r="M416" s="3">
        <v>0.76</v>
      </c>
      <c r="N416" s="3">
        <v>0.24299999999999999</v>
      </c>
      <c r="O416" s="3">
        <v>0</v>
      </c>
      <c r="P416" s="3">
        <v>7.3999999999999996E-2</v>
      </c>
      <c r="Q416" s="3"/>
    </row>
    <row r="417" spans="1:17" x14ac:dyDescent="0.25">
      <c r="A417" s="3" t="s">
        <v>94</v>
      </c>
      <c r="B417" s="3" t="s">
        <v>50</v>
      </c>
      <c r="C417" s="3">
        <v>2022</v>
      </c>
      <c r="D417" s="3">
        <v>5.9480000000000004</v>
      </c>
      <c r="E417" s="3">
        <v>1.7030000000000001</v>
      </c>
      <c r="F417" s="3">
        <v>9.6452609999999996</v>
      </c>
      <c r="G417" s="3">
        <v>39.6920762891897</v>
      </c>
      <c r="H417" s="3">
        <v>11.78599</v>
      </c>
      <c r="I417" s="3">
        <v>3.3385188567189799</v>
      </c>
      <c r="J417" s="3">
        <v>35.061578227155401</v>
      </c>
      <c r="K417" s="3">
        <v>8.1438920809392705</v>
      </c>
      <c r="L417" s="3">
        <v>0.98</v>
      </c>
      <c r="M417" s="3">
        <v>0.77400000000000002</v>
      </c>
      <c r="N417" s="3">
        <v>0.249</v>
      </c>
      <c r="O417" s="3">
        <v>1.4999999999999999E-2</v>
      </c>
      <c r="P417" s="3">
        <v>0.108</v>
      </c>
      <c r="Q417" s="3"/>
    </row>
    <row r="418" spans="1:17" x14ac:dyDescent="0.25">
      <c r="A418" s="3" t="s">
        <v>94</v>
      </c>
      <c r="B418" s="3" t="s">
        <v>50</v>
      </c>
      <c r="C418" s="3">
        <v>2023</v>
      </c>
      <c r="D418" s="3">
        <v>5.931</v>
      </c>
      <c r="E418" s="3">
        <v>1.708</v>
      </c>
      <c r="F418" s="3">
        <v>3.4648012851340502</v>
      </c>
      <c r="G418" s="3">
        <v>-11.8949108897929</v>
      </c>
      <c r="H418" s="3">
        <v>11.589346527576501</v>
      </c>
      <c r="I418" s="3">
        <v>4.9735831585827599</v>
      </c>
      <c r="J418" s="3">
        <v>-7.0865698525272398</v>
      </c>
      <c r="K418" s="3">
        <v>4.8980580719021303</v>
      </c>
      <c r="L418" s="3">
        <v>1.2470000000000001</v>
      </c>
      <c r="M418" s="3">
        <v>0.53500000000000003</v>
      </c>
      <c r="N418" s="3">
        <v>0.248</v>
      </c>
      <c r="O418" s="3">
        <v>8.0000000000000002E-3</v>
      </c>
      <c r="P418" s="3">
        <v>9.7000000000000003E-2</v>
      </c>
      <c r="Q418" s="3"/>
    </row>
    <row r="419" spans="1:17" x14ac:dyDescent="0.25">
      <c r="A419" s="3" t="s">
        <v>95</v>
      </c>
      <c r="B419" s="3" t="s">
        <v>45</v>
      </c>
      <c r="C419" s="3">
        <v>2015</v>
      </c>
      <c r="D419" s="3">
        <v>6.1230000000000002</v>
      </c>
      <c r="E419" s="3">
        <v>0.74553000000000003</v>
      </c>
      <c r="F419" s="3">
        <v>2.3888537883758501</v>
      </c>
      <c r="G419" s="3">
        <v>-6.2800002098083496</v>
      </c>
      <c r="H419" s="3">
        <v>9.3166637420654297</v>
      </c>
      <c r="I419" s="3">
        <v>3.18799471855163</v>
      </c>
      <c r="J419" s="5"/>
      <c r="K419" s="3">
        <v>2.2321602177717299</v>
      </c>
      <c r="L419" s="3">
        <v>1.04356</v>
      </c>
      <c r="M419" s="3">
        <v>0.64424999999999999</v>
      </c>
      <c r="N419" s="3">
        <v>0.57733000000000001</v>
      </c>
      <c r="O419" s="3">
        <v>0.27489000000000002</v>
      </c>
      <c r="P419" s="3">
        <v>9.4719999999999999E-2</v>
      </c>
      <c r="Q419" s="3"/>
    </row>
    <row r="420" spans="1:17" x14ac:dyDescent="0.25">
      <c r="A420" s="3" t="s">
        <v>95</v>
      </c>
      <c r="B420" s="3" t="s">
        <v>45</v>
      </c>
      <c r="C420" s="3">
        <v>2016</v>
      </c>
      <c r="D420" s="3">
        <v>6.3239999999999998</v>
      </c>
      <c r="E420" s="3">
        <v>0.83453999999999995</v>
      </c>
      <c r="F420" s="3">
        <v>4.4514789581298801</v>
      </c>
      <c r="G420" s="3">
        <v>2.4400000572204501</v>
      </c>
      <c r="H420" s="3">
        <v>9.9376935958862305</v>
      </c>
      <c r="I420" s="3">
        <v>3.1217570304870601</v>
      </c>
      <c r="J420" s="5"/>
      <c r="K420" s="3">
        <v>2.70740613944995</v>
      </c>
      <c r="L420" s="3">
        <v>0.87119000000000002</v>
      </c>
      <c r="M420" s="3">
        <v>0.54039000000000004</v>
      </c>
      <c r="N420" s="3">
        <v>0.50378999999999996</v>
      </c>
      <c r="O420" s="3">
        <v>0.28808</v>
      </c>
      <c r="P420" s="3">
        <v>8.7010000000000004E-2</v>
      </c>
      <c r="Q420" s="3"/>
    </row>
    <row r="421" spans="1:17" x14ac:dyDescent="0.25">
      <c r="A421" s="3" t="s">
        <v>95</v>
      </c>
      <c r="B421" s="3" t="s">
        <v>45</v>
      </c>
      <c r="C421" s="3">
        <v>2017</v>
      </c>
      <c r="D421" s="3">
        <v>6.4539999960000003</v>
      </c>
      <c r="E421" s="3">
        <v>0.87200194600000003</v>
      </c>
      <c r="F421" s="3">
        <v>4.4249999999999998</v>
      </c>
      <c r="G421" s="3">
        <v>2.1400001049041699</v>
      </c>
      <c r="H421" s="3">
        <v>8.9047946929931605</v>
      </c>
      <c r="I421" s="3">
        <v>2.9565358161926198</v>
      </c>
      <c r="J421" s="5"/>
      <c r="K421" s="3">
        <v>1.7434700887938199</v>
      </c>
      <c r="L421" s="3">
        <v>1.255585194</v>
      </c>
      <c r="M421" s="3">
        <v>0.54023999</v>
      </c>
      <c r="N421" s="3">
        <v>0.53131061800000001</v>
      </c>
      <c r="O421" s="3">
        <v>0.28348839300000001</v>
      </c>
      <c r="P421" s="3">
        <v>7.7223279000000006E-2</v>
      </c>
      <c r="Q421" s="3"/>
    </row>
    <row r="422" spans="1:17" x14ac:dyDescent="0.25">
      <c r="A422" s="3" t="s">
        <v>95</v>
      </c>
      <c r="B422" s="3" t="s">
        <v>45</v>
      </c>
      <c r="C422" s="3">
        <v>2018</v>
      </c>
      <c r="D422" s="3">
        <v>6.3819999999999997</v>
      </c>
      <c r="E422" s="3">
        <v>0.78100000000000003</v>
      </c>
      <c r="F422" s="3">
        <v>3.75</v>
      </c>
      <c r="G422" s="3">
        <v>2.3754785060882502</v>
      </c>
      <c r="H422" s="3">
        <v>7.2334403991699201</v>
      </c>
      <c r="I422" s="3">
        <v>2.7210524082183798</v>
      </c>
      <c r="J422" s="5"/>
      <c r="K422" s="3">
        <v>1.2285459476184399</v>
      </c>
      <c r="L422" s="3">
        <v>1.268</v>
      </c>
      <c r="M422" s="3">
        <v>0.60799999999999998</v>
      </c>
      <c r="N422" s="3">
        <v>0.60399999999999998</v>
      </c>
      <c r="O422" s="3">
        <v>0.17899999999999999</v>
      </c>
      <c r="P422" s="3">
        <v>7.0999999999999994E-2</v>
      </c>
      <c r="Q422" s="3"/>
    </row>
    <row r="423" spans="1:17" x14ac:dyDescent="0.25">
      <c r="A423" s="3" t="s">
        <v>95</v>
      </c>
      <c r="B423" s="3" t="s">
        <v>45</v>
      </c>
      <c r="C423" s="3">
        <v>2019</v>
      </c>
      <c r="D423" s="3">
        <v>6.4359999999999999</v>
      </c>
      <c r="E423" s="3">
        <v>0.8</v>
      </c>
      <c r="F423" s="3">
        <v>3.70000004768371</v>
      </c>
      <c r="G423" s="3">
        <v>1.4013214111328101</v>
      </c>
      <c r="H423" s="3">
        <v>7.8207383155822701</v>
      </c>
      <c r="I423" s="3">
        <v>3.03860306739807</v>
      </c>
      <c r="J423" s="5"/>
      <c r="K423" s="3">
        <v>3.4125642777517999</v>
      </c>
      <c r="L423" s="3">
        <v>1.2689999999999999</v>
      </c>
      <c r="M423" s="3">
        <v>0.746</v>
      </c>
      <c r="N423" s="3">
        <v>0.53500000000000003</v>
      </c>
      <c r="O423" s="3">
        <v>0.17499999999999999</v>
      </c>
      <c r="P423" s="3">
        <v>7.8E-2</v>
      </c>
      <c r="Q423" s="3"/>
    </row>
    <row r="424" spans="1:17" x14ac:dyDescent="0.25">
      <c r="A424" s="3" t="s">
        <v>95</v>
      </c>
      <c r="B424" s="3" t="s">
        <v>45</v>
      </c>
      <c r="C424" s="3">
        <v>2020</v>
      </c>
      <c r="D424" s="3">
        <v>6.3989000320000002</v>
      </c>
      <c r="E424" s="3">
        <v>0.753815711</v>
      </c>
      <c r="F424" s="3">
        <v>3.2144406219737398</v>
      </c>
      <c r="G424" s="3">
        <v>-6.4790681921931104E-2</v>
      </c>
      <c r="H424" s="3">
        <v>6.3676161766052202</v>
      </c>
      <c r="I424" s="3">
        <v>2.41485604462805</v>
      </c>
      <c r="J424" s="5"/>
      <c r="K424" s="3">
        <v>2.3358717574240102</v>
      </c>
      <c r="L424" s="3">
        <v>1.174267054</v>
      </c>
      <c r="M424" s="3">
        <v>0.70595258500000002</v>
      </c>
      <c r="N424" s="3">
        <v>0.61314672199999998</v>
      </c>
      <c r="O424" s="3">
        <v>0.170611665</v>
      </c>
      <c r="P424" s="3">
        <v>9.8360299999999998E-2</v>
      </c>
      <c r="Q424" s="3"/>
    </row>
    <row r="425" spans="1:17" x14ac:dyDescent="0.25">
      <c r="A425" s="3" t="s">
        <v>95</v>
      </c>
      <c r="B425" s="3" t="s">
        <v>45</v>
      </c>
      <c r="C425" s="3">
        <v>2021</v>
      </c>
      <c r="D425" s="3">
        <v>6.4349999999999996</v>
      </c>
      <c r="E425" s="3">
        <v>0.84499999999999997</v>
      </c>
      <c r="F425" s="3">
        <v>4.2610512742281896</v>
      </c>
      <c r="G425" s="3">
        <v>4.82</v>
      </c>
      <c r="H425" s="3">
        <v>4.79</v>
      </c>
      <c r="I425" s="3">
        <v>3.0025346071358601</v>
      </c>
      <c r="J425" s="5"/>
      <c r="K425" s="3">
        <v>2.7518009757401698</v>
      </c>
      <c r="L425" s="3">
        <v>0.79</v>
      </c>
      <c r="M425" s="3">
        <v>0.51900000000000002</v>
      </c>
      <c r="N425" s="3">
        <v>0.63800000000000001</v>
      </c>
      <c r="O425" s="3">
        <v>0.16300000000000001</v>
      </c>
      <c r="P425" s="3">
        <v>0.105</v>
      </c>
      <c r="Q425" s="3"/>
    </row>
    <row r="426" spans="1:17" x14ac:dyDescent="0.25">
      <c r="A426" s="3" t="s">
        <v>95</v>
      </c>
      <c r="B426" s="3" t="s">
        <v>45</v>
      </c>
      <c r="C426" s="3">
        <v>2022</v>
      </c>
      <c r="D426" s="3">
        <v>6.2619999999999996</v>
      </c>
      <c r="E426" s="3">
        <v>1.274</v>
      </c>
      <c r="F426" s="3">
        <v>6.8851282334428499</v>
      </c>
      <c r="G426" s="3">
        <v>4.7059455005941802</v>
      </c>
      <c r="H426" s="3">
        <v>8.6508461680404096</v>
      </c>
      <c r="I426" s="3">
        <v>4.3252451879281102</v>
      </c>
      <c r="J426" s="5"/>
      <c r="K426" s="3">
        <v>6.2235840647988701</v>
      </c>
      <c r="L426" s="3">
        <v>0.83099999999999996</v>
      </c>
      <c r="M426" s="3">
        <v>0.52200000000000002</v>
      </c>
      <c r="N426" s="3">
        <v>0.66200000000000003</v>
      </c>
      <c r="O426" s="3">
        <v>0.112</v>
      </c>
      <c r="P426" s="3">
        <v>0.115</v>
      </c>
      <c r="Q426" s="3"/>
    </row>
    <row r="427" spans="1:17" x14ac:dyDescent="0.25">
      <c r="A427" s="3" t="s">
        <v>95</v>
      </c>
      <c r="B427" s="3" t="s">
        <v>45</v>
      </c>
      <c r="C427" s="3">
        <v>2023</v>
      </c>
      <c r="D427" s="3">
        <v>6.15</v>
      </c>
      <c r="E427" s="3">
        <v>1.2869999999999999</v>
      </c>
      <c r="F427" s="3">
        <v>6.2663970645804197</v>
      </c>
      <c r="G427" s="3">
        <v>4.2382896576811699</v>
      </c>
      <c r="H427" s="3">
        <v>10.095178802199699</v>
      </c>
      <c r="I427" s="3">
        <v>4.5170318672169998</v>
      </c>
      <c r="J427" s="5"/>
      <c r="K427" s="3">
        <v>6.5857137875766103</v>
      </c>
      <c r="L427" s="3">
        <v>1.1879999999999999</v>
      </c>
      <c r="M427" s="3">
        <v>0.31</v>
      </c>
      <c r="N427" s="3">
        <v>0.63100000000000001</v>
      </c>
      <c r="O427" s="3">
        <v>0.106</v>
      </c>
      <c r="P427" s="3">
        <v>6.6000000000000003E-2</v>
      </c>
      <c r="Q427" s="3"/>
    </row>
    <row r="428" spans="1:17" x14ac:dyDescent="0.25">
      <c r="A428" s="3" t="s">
        <v>96</v>
      </c>
      <c r="B428" s="3" t="s">
        <v>43</v>
      </c>
      <c r="C428" s="3">
        <v>2015</v>
      </c>
      <c r="D428" s="3">
        <v>3.6560000000000001</v>
      </c>
      <c r="E428" s="3">
        <v>0.17416999999999999</v>
      </c>
      <c r="F428" s="3">
        <v>8.15100002288818</v>
      </c>
      <c r="G428" s="3">
        <v>8.4099998474121094</v>
      </c>
      <c r="H428" s="3">
        <v>11.520000457763601</v>
      </c>
      <c r="I428" s="5"/>
      <c r="J428" s="5"/>
      <c r="K428" s="3">
        <v>2.8345610804174401</v>
      </c>
      <c r="L428" s="3">
        <v>0.46475</v>
      </c>
      <c r="M428" s="3">
        <v>0.24009</v>
      </c>
      <c r="N428" s="3">
        <v>0.37724999999999997</v>
      </c>
      <c r="O428" s="3">
        <v>0.28656999999999999</v>
      </c>
      <c r="P428" s="3">
        <v>0.12139</v>
      </c>
      <c r="Q428" s="3"/>
    </row>
    <row r="429" spans="1:17" x14ac:dyDescent="0.25">
      <c r="A429" s="3" t="s">
        <v>96</v>
      </c>
      <c r="B429" s="3" t="s">
        <v>43</v>
      </c>
      <c r="C429" s="3">
        <v>2016</v>
      </c>
      <c r="D429" s="3">
        <v>3.6070000000000002</v>
      </c>
      <c r="E429" s="3">
        <v>0.22414999999999999</v>
      </c>
      <c r="F429" s="3">
        <v>8.1739997863769496</v>
      </c>
      <c r="G429" s="3">
        <v>6.0199999809265101</v>
      </c>
      <c r="H429" s="3">
        <v>11.4899997711181</v>
      </c>
      <c r="I429" s="5"/>
      <c r="J429" s="5"/>
      <c r="K429" s="3">
        <v>5.6591102422135</v>
      </c>
      <c r="L429" s="3">
        <v>0.31090000000000001</v>
      </c>
      <c r="M429" s="3">
        <v>0.18829000000000001</v>
      </c>
      <c r="N429" s="3">
        <v>0.30953000000000003</v>
      </c>
      <c r="O429" s="3">
        <v>0.29914000000000002</v>
      </c>
      <c r="P429" s="3">
        <v>0.1192</v>
      </c>
      <c r="Q429" s="3"/>
    </row>
    <row r="430" spans="1:17" x14ac:dyDescent="0.25">
      <c r="A430" s="3" t="s">
        <v>96</v>
      </c>
      <c r="B430" s="3" t="s">
        <v>43</v>
      </c>
      <c r="C430" s="3">
        <v>2017</v>
      </c>
      <c r="D430" s="3">
        <v>3.5069999690000002</v>
      </c>
      <c r="E430" s="3">
        <v>0.24454993</v>
      </c>
      <c r="F430" s="3">
        <v>8.9139999999999997</v>
      </c>
      <c r="G430" s="3">
        <v>3.8457575980572498</v>
      </c>
      <c r="H430" s="3">
        <v>13.5922850783786</v>
      </c>
      <c r="I430" s="5"/>
      <c r="J430" s="5"/>
      <c r="K430" s="3">
        <v>10.4485939066935</v>
      </c>
      <c r="L430" s="3">
        <v>0.79124468599999997</v>
      </c>
      <c r="M430" s="3">
        <v>0.19412913900000001</v>
      </c>
      <c r="N430" s="3">
        <v>0.34858751300000002</v>
      </c>
      <c r="O430" s="3">
        <v>0.26481509199999997</v>
      </c>
      <c r="P430" s="3">
        <v>0.110937618</v>
      </c>
      <c r="Q430" s="3"/>
    </row>
    <row r="431" spans="1:17" x14ac:dyDescent="0.25">
      <c r="A431" s="3" t="s">
        <v>96</v>
      </c>
      <c r="B431" s="3" t="s">
        <v>43</v>
      </c>
      <c r="C431" s="3">
        <v>2018</v>
      </c>
      <c r="D431" s="3">
        <v>3.964</v>
      </c>
      <c r="E431" s="3">
        <v>0.34399999999999997</v>
      </c>
      <c r="F431" s="3">
        <v>9.83</v>
      </c>
      <c r="G431" s="3">
        <v>6.6682729102298897</v>
      </c>
      <c r="H431" s="3">
        <v>13.3552483014663</v>
      </c>
      <c r="I431" s="5"/>
      <c r="J431" s="5"/>
      <c r="K431" s="3">
        <v>10.0368942343966</v>
      </c>
      <c r="L431" s="3">
        <v>0.79200000000000004</v>
      </c>
      <c r="M431" s="3">
        <v>0.21099999999999999</v>
      </c>
      <c r="N431" s="3">
        <v>0.39400000000000002</v>
      </c>
      <c r="O431" s="3">
        <v>0.185</v>
      </c>
      <c r="P431" s="3">
        <v>9.4E-2</v>
      </c>
      <c r="Q431" s="3"/>
    </row>
    <row r="432" spans="1:17" x14ac:dyDescent="0.25">
      <c r="A432" s="3" t="s">
        <v>96</v>
      </c>
      <c r="B432" s="3" t="s">
        <v>43</v>
      </c>
      <c r="C432" s="3">
        <v>2019</v>
      </c>
      <c r="D432" s="3">
        <v>4.5339999999999998</v>
      </c>
      <c r="E432" s="3">
        <v>0.38</v>
      </c>
      <c r="F432" s="3">
        <v>9.4709997177124006</v>
      </c>
      <c r="G432" s="3">
        <v>3.8457575980572498</v>
      </c>
      <c r="H432" s="3">
        <v>11.3573210769586</v>
      </c>
      <c r="I432" s="5"/>
      <c r="J432" s="5"/>
      <c r="K432" s="3">
        <v>9.2713115230402607</v>
      </c>
      <c r="L432" s="3">
        <v>0.82899999999999996</v>
      </c>
      <c r="M432" s="3">
        <v>0.375</v>
      </c>
      <c r="N432" s="3">
        <v>0.33200000000000002</v>
      </c>
      <c r="O432" s="3">
        <v>0.20699999999999999</v>
      </c>
      <c r="P432" s="3">
        <v>8.5999999999999993E-2</v>
      </c>
      <c r="Q432" s="3"/>
    </row>
    <row r="433" spans="1:17" x14ac:dyDescent="0.25">
      <c r="A433" s="3" t="s">
        <v>96</v>
      </c>
      <c r="B433" s="3" t="s">
        <v>43</v>
      </c>
      <c r="C433" s="3">
        <v>2020</v>
      </c>
      <c r="D433" s="3">
        <v>4.9492998119999996</v>
      </c>
      <c r="E433" s="3">
        <v>0.39000773399999999</v>
      </c>
      <c r="F433" s="3">
        <v>10.6018600008337</v>
      </c>
      <c r="G433" s="3">
        <v>6.1275812693922598</v>
      </c>
      <c r="H433" s="3">
        <v>12.695283853372599</v>
      </c>
      <c r="I433" s="5"/>
      <c r="J433" s="5"/>
      <c r="K433" s="3">
        <v>10.872397564412701</v>
      </c>
      <c r="L433" s="3">
        <v>0.75136596</v>
      </c>
      <c r="M433" s="3">
        <v>0.33365523800000002</v>
      </c>
      <c r="N433" s="3">
        <v>0.37187805800000001</v>
      </c>
      <c r="O433" s="3">
        <v>0.24949084199999999</v>
      </c>
      <c r="P433" s="3">
        <v>0.112204559</v>
      </c>
      <c r="Q433" s="3"/>
    </row>
    <row r="434" spans="1:17" x14ac:dyDescent="0.25">
      <c r="A434" s="3" t="s">
        <v>96</v>
      </c>
      <c r="B434" s="3" t="s">
        <v>43</v>
      </c>
      <c r="C434" s="3">
        <v>2021</v>
      </c>
      <c r="D434" s="3">
        <v>4.984</v>
      </c>
      <c r="E434" s="3">
        <v>0.42</v>
      </c>
      <c r="F434" s="3">
        <v>12.597</v>
      </c>
      <c r="G434" s="3">
        <v>5.93</v>
      </c>
      <c r="H434" s="3">
        <v>15.78</v>
      </c>
      <c r="I434" s="5"/>
      <c r="J434" s="5"/>
      <c r="K434" s="3">
        <v>11.5000000001353</v>
      </c>
      <c r="L434" s="3">
        <v>0.39900000000000002</v>
      </c>
      <c r="M434" s="3">
        <v>0.20599999999999999</v>
      </c>
      <c r="N434" s="3">
        <v>0.38400000000000001</v>
      </c>
      <c r="O434" s="3">
        <v>0.25</v>
      </c>
      <c r="P434" s="3">
        <v>0.111</v>
      </c>
      <c r="Q434" s="3"/>
    </row>
    <row r="435" spans="1:17" x14ac:dyDescent="0.25">
      <c r="A435" s="3" t="s">
        <v>96</v>
      </c>
      <c r="B435" s="3" t="s">
        <v>43</v>
      </c>
      <c r="C435" s="3">
        <v>2022</v>
      </c>
      <c r="D435" s="3">
        <v>4.891</v>
      </c>
      <c r="E435" s="3">
        <v>0.84799999999999998</v>
      </c>
      <c r="F435" s="3">
        <v>10.4930409984424</v>
      </c>
      <c r="G435" s="3">
        <v>15.6712943545276</v>
      </c>
      <c r="H435" s="3">
        <v>13.3123464327108</v>
      </c>
      <c r="I435" s="5"/>
      <c r="J435" s="5"/>
      <c r="K435" s="3">
        <v>11.5196334258814</v>
      </c>
      <c r="L435" s="3">
        <v>0.56599999999999995</v>
      </c>
      <c r="M435" s="3">
        <v>0.27500000000000002</v>
      </c>
      <c r="N435" s="3">
        <v>0.33400000000000002</v>
      </c>
      <c r="O435" s="3">
        <v>0.214</v>
      </c>
      <c r="P435" s="3">
        <v>0.11600000000000001</v>
      </c>
    </row>
    <row r="436" spans="1:17" x14ac:dyDescent="0.25">
      <c r="A436" s="3" t="s">
        <v>96</v>
      </c>
      <c r="B436" s="3" t="s">
        <v>43</v>
      </c>
      <c r="C436" s="3">
        <v>2023</v>
      </c>
      <c r="D436" s="3">
        <v>5.0720000000000001</v>
      </c>
      <c r="E436" s="3">
        <v>0.84399999999999997</v>
      </c>
      <c r="F436" s="3">
        <v>7.8049759192797303</v>
      </c>
      <c r="G436" s="3">
        <v>35.956144275546201</v>
      </c>
      <c r="H436" s="3">
        <v>16.1998093685961</v>
      </c>
      <c r="I436" s="5"/>
      <c r="J436" s="5"/>
      <c r="K436" s="3">
        <v>8.7593666633281906</v>
      </c>
      <c r="L436" s="3">
        <v>0.77600000000000002</v>
      </c>
      <c r="M436" s="3">
        <v>7.1999999999999995E-2</v>
      </c>
      <c r="N436" s="3">
        <v>0.36899999999999999</v>
      </c>
      <c r="O436" s="3">
        <v>0.20399999999999999</v>
      </c>
      <c r="P436" s="3">
        <v>0.10199999999999999</v>
      </c>
      <c r="Q436" s="3"/>
    </row>
    <row r="437" spans="1:17" x14ac:dyDescent="0.25">
      <c r="A437" s="3" t="s">
        <v>97</v>
      </c>
      <c r="B437" s="3" t="s">
        <v>45</v>
      </c>
      <c r="C437" s="3">
        <v>2015</v>
      </c>
      <c r="D437" s="3">
        <v>4.5179999999999998</v>
      </c>
      <c r="E437" s="3">
        <v>0.26673000000000002</v>
      </c>
      <c r="F437" s="3">
        <v>7.5240001678466797</v>
      </c>
      <c r="G437" s="3">
        <v>8.5399999618530202</v>
      </c>
      <c r="H437" s="3">
        <v>9.4700002670287997</v>
      </c>
      <c r="I437" s="5"/>
      <c r="J437" s="5"/>
      <c r="K437" s="3">
        <v>7.5648507833643199</v>
      </c>
      <c r="L437" s="3">
        <v>0.74302000000000001</v>
      </c>
      <c r="M437" s="3">
        <v>0.38846999999999998</v>
      </c>
      <c r="N437" s="3">
        <v>0.24424999999999999</v>
      </c>
      <c r="O437" s="3">
        <v>0.46187</v>
      </c>
      <c r="P437" s="3">
        <v>0.17175000000000001</v>
      </c>
      <c r="Q437" s="3"/>
    </row>
    <row r="438" spans="1:17" x14ac:dyDescent="0.25">
      <c r="A438" s="3" t="s">
        <v>97</v>
      </c>
      <c r="B438" s="3" t="s">
        <v>45</v>
      </c>
      <c r="C438" s="3">
        <v>2016</v>
      </c>
      <c r="D438" s="3">
        <v>4.0279999999999996</v>
      </c>
      <c r="E438" s="3">
        <v>0.34097</v>
      </c>
      <c r="F438" s="3">
        <v>13.3780002593994</v>
      </c>
      <c r="G438" s="3">
        <v>13.8400001525878</v>
      </c>
      <c r="H438" s="3">
        <v>14.689999580383301</v>
      </c>
      <c r="I438" s="5"/>
      <c r="J438" s="5"/>
      <c r="K438" s="3">
        <v>12.8983671653031</v>
      </c>
      <c r="L438" s="3">
        <v>0.29560999999999998</v>
      </c>
      <c r="M438" s="3">
        <v>0.27494000000000002</v>
      </c>
      <c r="N438" s="3">
        <v>0.12071999999999999</v>
      </c>
      <c r="O438" s="3">
        <v>0.47958000000000001</v>
      </c>
      <c r="P438" s="3">
        <v>0.14476</v>
      </c>
      <c r="Q438" s="3"/>
    </row>
    <row r="439" spans="1:17" x14ac:dyDescent="0.25">
      <c r="A439" s="3" t="s">
        <v>97</v>
      </c>
      <c r="B439" s="3" t="s">
        <v>45</v>
      </c>
      <c r="C439" s="3">
        <v>2017</v>
      </c>
      <c r="D439" s="3">
        <v>3.6029999259999999</v>
      </c>
      <c r="E439" s="3">
        <v>0.36861026299999999</v>
      </c>
      <c r="F439" s="3">
        <v>14.738</v>
      </c>
      <c r="G439" s="3">
        <v>20.2199993133544</v>
      </c>
      <c r="H439" s="3">
        <v>14.2200002670288</v>
      </c>
      <c r="I439" s="5"/>
      <c r="J439" s="5"/>
      <c r="K439" s="3">
        <v>10.0921742821624</v>
      </c>
      <c r="L439" s="3">
        <v>0.640449822</v>
      </c>
      <c r="M439" s="3">
        <v>0.27732113000000003</v>
      </c>
      <c r="N439" s="3">
        <v>3.0369857E-2</v>
      </c>
      <c r="O439" s="3">
        <v>0.489203781</v>
      </c>
      <c r="P439" s="3">
        <v>9.9872150000000007E-2</v>
      </c>
      <c r="Q439" s="3"/>
    </row>
    <row r="440" spans="1:17" x14ac:dyDescent="0.25">
      <c r="A440" s="3" t="s">
        <v>97</v>
      </c>
      <c r="B440" s="3" t="s">
        <v>45</v>
      </c>
      <c r="C440" s="3">
        <v>2018</v>
      </c>
      <c r="D440" s="3">
        <v>3.5819999999999999</v>
      </c>
      <c r="E440" s="3">
        <v>0.315</v>
      </c>
      <c r="F440" s="3">
        <v>12.89</v>
      </c>
      <c r="G440" s="3">
        <v>12.4570733610279</v>
      </c>
      <c r="H440" s="3">
        <v>13.7993564935755</v>
      </c>
      <c r="I440" s="5"/>
      <c r="J440" s="5"/>
      <c r="K440" s="3">
        <v>10.1061705614233</v>
      </c>
      <c r="L440" s="3">
        <v>0.71399999999999997</v>
      </c>
      <c r="M440" s="3">
        <v>0.28899999999999998</v>
      </c>
      <c r="N440" s="3">
        <v>2.5000000000000001E-2</v>
      </c>
      <c r="O440" s="3">
        <v>0.39200000000000002</v>
      </c>
      <c r="P440" s="3">
        <v>0.104</v>
      </c>
      <c r="Q440" s="3"/>
    </row>
    <row r="441" spans="1:17" x14ac:dyDescent="0.25">
      <c r="A441" s="3" t="s">
        <v>97</v>
      </c>
      <c r="B441" s="3" t="s">
        <v>45</v>
      </c>
      <c r="C441" s="3">
        <v>2019</v>
      </c>
      <c r="D441" s="3">
        <v>3.597</v>
      </c>
      <c r="E441" s="3">
        <v>0.32300000000000001</v>
      </c>
      <c r="F441" s="3">
        <v>17.308000564575099</v>
      </c>
      <c r="G441" s="3">
        <v>15.9007059531991</v>
      </c>
      <c r="H441" s="3">
        <v>22.233174715149801</v>
      </c>
      <c r="I441" s="5"/>
      <c r="J441" s="5"/>
      <c r="K441" s="3">
        <v>17.432902273693699</v>
      </c>
      <c r="L441" s="3">
        <v>0.68799999999999994</v>
      </c>
      <c r="M441" s="3">
        <v>0.44900000000000001</v>
      </c>
      <c r="N441" s="3">
        <v>2.5999999999999999E-2</v>
      </c>
      <c r="O441" s="3">
        <v>0.41899999999999998</v>
      </c>
      <c r="P441" s="3">
        <v>0.11</v>
      </c>
      <c r="Q441" s="3"/>
    </row>
    <row r="442" spans="1:17" x14ac:dyDescent="0.25">
      <c r="A442" s="3" t="s">
        <v>97</v>
      </c>
      <c r="B442" s="3" t="s">
        <v>45</v>
      </c>
      <c r="C442" s="3">
        <v>2020</v>
      </c>
      <c r="D442" s="3">
        <v>3.720799923</v>
      </c>
      <c r="E442" s="3">
        <v>0.28473442799999998</v>
      </c>
      <c r="F442" s="3">
        <v>22.796311364252901</v>
      </c>
      <c r="G442" s="3">
        <v>18.544061302682</v>
      </c>
      <c r="H442" s="3">
        <v>25.992581754379799</v>
      </c>
      <c r="I442" s="5"/>
      <c r="J442" s="5"/>
      <c r="K442" s="3">
        <v>22.945355016667101</v>
      </c>
      <c r="L442" s="3">
        <v>0.64667135499999995</v>
      </c>
      <c r="M442" s="3">
        <v>0.37436672999999998</v>
      </c>
      <c r="N442" s="3">
        <v>0.16929751600000001</v>
      </c>
      <c r="O442" s="3">
        <v>0.463909656</v>
      </c>
      <c r="P442" s="3">
        <v>0.161935672</v>
      </c>
      <c r="Q442" s="3"/>
    </row>
    <row r="443" spans="1:17" x14ac:dyDescent="0.25">
      <c r="A443" s="3" t="s">
        <v>97</v>
      </c>
      <c r="B443" s="3" t="s">
        <v>45</v>
      </c>
      <c r="C443" s="3">
        <v>2021</v>
      </c>
      <c r="D443" s="3">
        <v>3.6150000000000002</v>
      </c>
      <c r="E443" s="3">
        <v>0.29399999999999998</v>
      </c>
      <c r="F443" s="3">
        <v>15.941000000000001</v>
      </c>
      <c r="G443" s="3">
        <v>14.4</v>
      </c>
      <c r="H443" s="3">
        <v>19.649999999999999</v>
      </c>
      <c r="I443" s="5"/>
      <c r="J443" s="5"/>
      <c r="K443" s="3">
        <v>19.341951254040801</v>
      </c>
      <c r="L443" s="3">
        <v>0.17299999999999999</v>
      </c>
      <c r="M443" s="3">
        <v>0.22700000000000001</v>
      </c>
      <c r="N443" s="3">
        <v>0.25700000000000001</v>
      </c>
      <c r="O443" s="3">
        <v>0.46300000000000002</v>
      </c>
      <c r="P443" s="3">
        <v>0.13900000000000001</v>
      </c>
      <c r="Q443" s="3"/>
    </row>
    <row r="444" spans="1:17" x14ac:dyDescent="0.25">
      <c r="A444" s="3" t="s">
        <v>98</v>
      </c>
      <c r="B444" s="3" t="s">
        <v>45</v>
      </c>
      <c r="C444" s="3">
        <v>2015</v>
      </c>
      <c r="D444" s="3">
        <v>4.7880000000000003</v>
      </c>
      <c r="E444" s="3">
        <v>0.59531999999999996</v>
      </c>
      <c r="F444" s="3">
        <v>3.1577389240264799</v>
      </c>
      <c r="G444" s="3">
        <v>2.2274596691131499</v>
      </c>
      <c r="H444" s="3">
        <v>3.2512192726135201</v>
      </c>
      <c r="I444" s="3">
        <v>4.8265323638915998</v>
      </c>
      <c r="J444" s="5"/>
      <c r="K444" s="3">
        <v>6.9331061004092804</v>
      </c>
      <c r="L444" s="3">
        <v>0.95347999999999999</v>
      </c>
      <c r="M444" s="3">
        <v>0.69510000000000005</v>
      </c>
      <c r="N444" s="3">
        <v>0.40148</v>
      </c>
      <c r="O444" s="3">
        <v>0.23027</v>
      </c>
      <c r="P444" s="3">
        <v>6.8250000000000005E-2</v>
      </c>
      <c r="Q444" s="3"/>
    </row>
    <row r="445" spans="1:17" x14ac:dyDescent="0.25">
      <c r="A445" s="3" t="s">
        <v>98</v>
      </c>
      <c r="B445" s="3" t="s">
        <v>45</v>
      </c>
      <c r="C445" s="3">
        <v>2016</v>
      </c>
      <c r="D445" s="3">
        <v>4.8710000000000004</v>
      </c>
      <c r="E445" s="3">
        <v>0.69428999999999996</v>
      </c>
      <c r="F445" s="3">
        <v>2.7245318889617902</v>
      </c>
      <c r="G445" s="3">
        <v>2.1021027565002401</v>
      </c>
      <c r="H445" s="3">
        <v>0.96663731336593595</v>
      </c>
      <c r="I445" s="3">
        <v>3.55164170265197</v>
      </c>
      <c r="J445" s="5"/>
      <c r="K445" s="3">
        <v>3.67801284909743</v>
      </c>
      <c r="L445" s="3">
        <v>0.75595999999999997</v>
      </c>
      <c r="M445" s="3">
        <v>0.58382999999999996</v>
      </c>
      <c r="N445" s="3">
        <v>0.26755000000000001</v>
      </c>
      <c r="O445" s="3">
        <v>0.2044</v>
      </c>
      <c r="P445" s="3">
        <v>6.9059999999999996E-2</v>
      </c>
      <c r="Q445" s="3"/>
    </row>
    <row r="446" spans="1:17" x14ac:dyDescent="0.25">
      <c r="A446" s="3" t="s">
        <v>98</v>
      </c>
      <c r="B446" s="3" t="s">
        <v>45</v>
      </c>
      <c r="C446" s="3">
        <v>2017</v>
      </c>
      <c r="D446" s="3">
        <v>5.1810002329999998</v>
      </c>
      <c r="E446" s="3">
        <v>0.73057311800000002</v>
      </c>
      <c r="F446" s="3">
        <v>3.9340000000000002</v>
      </c>
      <c r="G446" s="3">
        <v>5.5295033454895002</v>
      </c>
      <c r="H446" s="3">
        <v>1.5817625522613501</v>
      </c>
      <c r="I446" s="3">
        <v>3.9620409011840798</v>
      </c>
      <c r="J446" s="5"/>
      <c r="K446" s="3">
        <v>4.5128711609532104</v>
      </c>
      <c r="L446" s="3">
        <v>1.143944979</v>
      </c>
      <c r="M446" s="3">
        <v>0.58256947999999997</v>
      </c>
      <c r="N446" s="3">
        <v>0.34807986000000002</v>
      </c>
      <c r="O446" s="3">
        <v>0.23618887399999999</v>
      </c>
      <c r="P446" s="3">
        <v>7.3345453000000005E-2</v>
      </c>
      <c r="Q446" s="3"/>
    </row>
    <row r="447" spans="1:17" x14ac:dyDescent="0.25">
      <c r="A447" s="3" t="s">
        <v>98</v>
      </c>
      <c r="B447" s="3" t="s">
        <v>45</v>
      </c>
      <c r="C447" s="3">
        <v>2018</v>
      </c>
      <c r="D447" s="3">
        <v>5.5039999999999996</v>
      </c>
      <c r="E447" s="3">
        <v>0.62</v>
      </c>
      <c r="F447" s="3">
        <v>4.34</v>
      </c>
      <c r="G447" s="3">
        <v>4.37479448318481</v>
      </c>
      <c r="H447" s="3">
        <v>3.5240399837493799</v>
      </c>
      <c r="I447" s="3">
        <v>3.84896659851074</v>
      </c>
      <c r="J447" s="5"/>
      <c r="K447" s="3">
        <v>1.90789373409136</v>
      </c>
      <c r="L447" s="3">
        <v>1.2050000000000001</v>
      </c>
      <c r="M447" s="3">
        <v>0.622</v>
      </c>
      <c r="N447" s="3">
        <v>0.45900000000000002</v>
      </c>
      <c r="O447" s="3">
        <v>0.19700000000000001</v>
      </c>
      <c r="P447" s="3">
        <v>7.3999999999999996E-2</v>
      </c>
      <c r="Q447" s="3"/>
    </row>
    <row r="448" spans="1:17" x14ac:dyDescent="0.25">
      <c r="A448" s="3" t="s">
        <v>98</v>
      </c>
      <c r="B448" s="3" t="s">
        <v>45</v>
      </c>
      <c r="C448" s="3">
        <v>2019</v>
      </c>
      <c r="D448" s="3">
        <v>5.86</v>
      </c>
      <c r="E448" s="3">
        <v>0.64200000000000002</v>
      </c>
      <c r="F448" s="3">
        <v>4.3649997711181596</v>
      </c>
      <c r="G448" s="3">
        <v>6.5543541908264098</v>
      </c>
      <c r="H448" s="3">
        <v>2.1678895950317298</v>
      </c>
      <c r="I448" s="3">
        <v>4.0401668548583904</v>
      </c>
      <c r="J448" s="5"/>
      <c r="K448" s="3">
        <v>4.33999020352001</v>
      </c>
      <c r="L448" s="3">
        <v>1.236</v>
      </c>
      <c r="M448" s="3">
        <v>0.82799999999999996</v>
      </c>
      <c r="N448" s="3">
        <v>0.50700000000000001</v>
      </c>
      <c r="O448" s="3">
        <v>0.246</v>
      </c>
      <c r="P448" s="3">
        <v>7.8E-2</v>
      </c>
      <c r="Q448" s="3"/>
    </row>
    <row r="449" spans="1:17" x14ac:dyDescent="0.25">
      <c r="A449" s="3" t="s">
        <v>98</v>
      </c>
      <c r="B449" s="3" t="s">
        <v>45</v>
      </c>
      <c r="C449" s="3">
        <v>2020</v>
      </c>
      <c r="D449" s="3">
        <v>5.953199863</v>
      </c>
      <c r="E449" s="3">
        <v>0.59876358500000004</v>
      </c>
      <c r="F449" s="3">
        <v>3.4684117795120502</v>
      </c>
      <c r="G449" s="3">
        <v>0.408084779078704</v>
      </c>
      <c r="H449" s="3">
        <v>4.6848459243774396</v>
      </c>
      <c r="I449" s="3">
        <v>3.9760334491729701</v>
      </c>
      <c r="J449" s="5"/>
      <c r="K449" s="3">
        <v>4.2594517111628596</v>
      </c>
      <c r="L449" s="3">
        <v>1.1866641040000001</v>
      </c>
      <c r="M449" s="3">
        <v>0.79198998200000004</v>
      </c>
      <c r="N449" s="3">
        <v>0.56814807700000003</v>
      </c>
      <c r="O449" s="3">
        <v>0.25652819900000001</v>
      </c>
      <c r="P449" s="3">
        <v>8.6807101999999997E-2</v>
      </c>
      <c r="Q449" s="3"/>
    </row>
    <row r="450" spans="1:17" x14ac:dyDescent="0.25">
      <c r="A450" s="3" t="s">
        <v>98</v>
      </c>
      <c r="B450" s="3" t="s">
        <v>45</v>
      </c>
      <c r="C450" s="3">
        <v>2021</v>
      </c>
      <c r="D450" s="3">
        <v>5.9189999999999996</v>
      </c>
      <c r="E450" s="3">
        <v>0.70299999999999996</v>
      </c>
      <c r="F450" s="3">
        <v>4.4808796341344799</v>
      </c>
      <c r="G450" s="3">
        <v>3.3</v>
      </c>
      <c r="H450" s="3">
        <v>2.9</v>
      </c>
      <c r="I450" s="3">
        <v>4.5907172995780403</v>
      </c>
      <c r="J450" s="5"/>
      <c r="K450" s="3">
        <v>3.8009235727918198</v>
      </c>
      <c r="L450" s="3">
        <v>0.78700000000000003</v>
      </c>
      <c r="M450" s="3">
        <v>0.59299999999999997</v>
      </c>
      <c r="N450" s="3">
        <v>0.57799999999999996</v>
      </c>
      <c r="O450" s="3">
        <v>0.24099999999999999</v>
      </c>
      <c r="P450" s="3">
        <v>8.3000000000000004E-2</v>
      </c>
      <c r="Q450" s="3"/>
    </row>
    <row r="451" spans="1:17" x14ac:dyDescent="0.25">
      <c r="A451" s="3" t="s">
        <v>98</v>
      </c>
      <c r="B451" s="3" t="s">
        <v>45</v>
      </c>
      <c r="C451" s="3">
        <v>2022</v>
      </c>
      <c r="D451" s="3">
        <v>6.0220000000000002</v>
      </c>
      <c r="E451" s="3">
        <v>1.111</v>
      </c>
      <c r="F451" s="3">
        <v>9.0896391152502893</v>
      </c>
      <c r="G451" s="3">
        <v>4.7683815196079404</v>
      </c>
      <c r="H451" s="3">
        <v>12.468800490431301</v>
      </c>
      <c r="I451" s="3">
        <v>8.0175195942830904</v>
      </c>
      <c r="J451" s="5"/>
      <c r="K451" s="3">
        <v>9.1605920017072204</v>
      </c>
      <c r="L451" s="3">
        <v>0.88500000000000001</v>
      </c>
      <c r="M451" s="3">
        <v>0.55500000000000005</v>
      </c>
      <c r="N451" s="3">
        <v>0.58199999999999996</v>
      </c>
      <c r="O451" s="3">
        <v>0.20200000000000001</v>
      </c>
      <c r="P451" s="3">
        <v>7.5999999999999998E-2</v>
      </c>
      <c r="Q451" s="3"/>
    </row>
    <row r="452" spans="1:17" x14ac:dyDescent="0.25">
      <c r="A452" s="3" t="s">
        <v>98</v>
      </c>
      <c r="B452" s="3" t="s">
        <v>45</v>
      </c>
      <c r="C452" s="3">
        <v>2023</v>
      </c>
      <c r="D452" s="3">
        <v>6.0229999999999997</v>
      </c>
      <c r="E452" s="3">
        <v>1.115</v>
      </c>
      <c r="F452" s="3">
        <v>6.6632518034745702</v>
      </c>
      <c r="G452" s="3">
        <v>2.3986370531793502</v>
      </c>
      <c r="H452" s="3">
        <v>10.928628865225701</v>
      </c>
      <c r="I452" s="3">
        <v>6.56237995646421</v>
      </c>
      <c r="J452" s="5"/>
      <c r="K452" s="3">
        <v>6.2392170487385297</v>
      </c>
      <c r="L452" s="3">
        <v>1.0720000000000001</v>
      </c>
      <c r="M452" s="3">
        <v>0.34100000000000003</v>
      </c>
      <c r="N452" s="3">
        <v>0.61299999999999999</v>
      </c>
      <c r="O452" s="3">
        <v>0.189</v>
      </c>
      <c r="P452" s="3">
        <v>6.2E-2</v>
      </c>
      <c r="Q452" s="3"/>
    </row>
    <row r="453" spans="1:17" x14ac:dyDescent="0.25">
      <c r="A453" s="3" t="s">
        <v>99</v>
      </c>
      <c r="B453" s="3" t="s">
        <v>39</v>
      </c>
      <c r="C453" s="3">
        <v>2015</v>
      </c>
      <c r="D453" s="3">
        <v>4.8</v>
      </c>
      <c r="E453" s="3">
        <v>1.12094</v>
      </c>
      <c r="F453" s="3">
        <v>-6.1645630747079801E-2</v>
      </c>
      <c r="G453" s="3">
        <v>-1.19434142112731</v>
      </c>
      <c r="H453" s="3">
        <v>0.85788834095001198</v>
      </c>
      <c r="I453" s="3">
        <v>1.21437108516693</v>
      </c>
      <c r="J453" s="3">
        <v>-0.94915741682052601</v>
      </c>
      <c r="K453" s="3">
        <v>2.77914816641999</v>
      </c>
      <c r="L453" s="3">
        <v>1.2021500000000001</v>
      </c>
      <c r="M453" s="3">
        <v>0.75905</v>
      </c>
      <c r="N453" s="3">
        <v>0.32112000000000002</v>
      </c>
      <c r="O453" s="3">
        <v>0.128</v>
      </c>
      <c r="P453" s="3">
        <v>2.758E-2</v>
      </c>
      <c r="Q453" s="3"/>
    </row>
    <row r="454" spans="1:17" x14ac:dyDescent="0.25">
      <c r="A454" s="3" t="s">
        <v>99</v>
      </c>
      <c r="B454" s="3" t="s">
        <v>39</v>
      </c>
      <c r="C454" s="3">
        <v>2016</v>
      </c>
      <c r="D454" s="3">
        <v>5.1449999999999996</v>
      </c>
      <c r="E454" s="3">
        <v>1.24142</v>
      </c>
      <c r="F454" s="3">
        <v>0.39476776123046797</v>
      </c>
      <c r="G454" s="3">
        <v>0.55183410644531194</v>
      </c>
      <c r="H454" s="3">
        <v>0.64733928442001298</v>
      </c>
      <c r="I454" s="3">
        <v>1.3925151824951101</v>
      </c>
      <c r="J454" s="3">
        <v>-1.6998585462570099</v>
      </c>
      <c r="K454" s="3">
        <v>1.3520000000000001</v>
      </c>
      <c r="L454" s="3">
        <v>0.93164000000000002</v>
      </c>
      <c r="M454" s="3">
        <v>0.67608000000000001</v>
      </c>
      <c r="N454" s="3">
        <v>0.19769999999999999</v>
      </c>
      <c r="O454" s="3">
        <v>9.9000000000000005E-2</v>
      </c>
      <c r="P454" s="3">
        <v>4.4720000000000003E-2</v>
      </c>
      <c r="Q454" s="3"/>
    </row>
    <row r="455" spans="1:17" x14ac:dyDescent="0.25">
      <c r="A455" s="3" t="s">
        <v>99</v>
      </c>
      <c r="B455" s="3" t="s">
        <v>39</v>
      </c>
      <c r="C455" s="3">
        <v>2017</v>
      </c>
      <c r="D455" s="3">
        <v>5.3239998819999999</v>
      </c>
      <c r="E455" s="3">
        <v>1.286011934</v>
      </c>
      <c r="F455" s="3">
        <v>2.4079999999999999</v>
      </c>
      <c r="G455" s="3">
        <v>1.1165572404861399</v>
      </c>
      <c r="H455" s="3">
        <v>2.7421383857727002</v>
      </c>
      <c r="I455" s="3">
        <v>2.32168412208557</v>
      </c>
      <c r="J455" s="3">
        <v>3.2889714241027801</v>
      </c>
      <c r="K455" s="3">
        <v>3.9880811429473502</v>
      </c>
      <c r="L455" s="3">
        <v>1.343133092</v>
      </c>
      <c r="M455" s="3">
        <v>0.68776345299999997</v>
      </c>
      <c r="N455" s="3">
        <v>0.175863519</v>
      </c>
      <c r="O455" s="3">
        <v>7.8401661999999997E-2</v>
      </c>
      <c r="P455" s="3">
        <v>3.6636937000000001E-2</v>
      </c>
      <c r="Q455" s="3"/>
    </row>
    <row r="456" spans="1:17" x14ac:dyDescent="0.25">
      <c r="A456" s="3" t="s">
        <v>99</v>
      </c>
      <c r="B456" s="3" t="s">
        <v>39</v>
      </c>
      <c r="C456" s="3">
        <v>2018</v>
      </c>
      <c r="D456" s="3">
        <v>5.62</v>
      </c>
      <c r="E456" s="3">
        <v>1.171</v>
      </c>
      <c r="F456" s="3">
        <v>2.85</v>
      </c>
      <c r="G456" s="3">
        <v>1.8291717767715401</v>
      </c>
      <c r="H456" s="3">
        <v>4.1518597602844203</v>
      </c>
      <c r="I456" s="3">
        <v>2.4787280559539702</v>
      </c>
      <c r="J456" s="3">
        <v>5.5149769783020002</v>
      </c>
      <c r="K456" s="3">
        <v>4.8190599085336796</v>
      </c>
      <c r="L456" s="3">
        <v>1.401</v>
      </c>
      <c r="M456" s="3">
        <v>0.73199999999999998</v>
      </c>
      <c r="N456" s="3">
        <v>0.25900000000000001</v>
      </c>
      <c r="O456" s="3">
        <v>6.0999999999999999E-2</v>
      </c>
      <c r="P456" s="3">
        <v>2.1999999999999999E-2</v>
      </c>
      <c r="Q456" s="3"/>
    </row>
    <row r="457" spans="1:17" x14ac:dyDescent="0.25">
      <c r="A457" s="3" t="s">
        <v>99</v>
      </c>
      <c r="B457" s="3" t="s">
        <v>39</v>
      </c>
      <c r="C457" s="3">
        <v>2019</v>
      </c>
      <c r="D457" s="3">
        <v>5.758</v>
      </c>
      <c r="E457" s="3">
        <v>1.2010000000000001</v>
      </c>
      <c r="F457" s="3">
        <v>3.37100005149841</v>
      </c>
      <c r="G457" s="3">
        <v>0.53826647996902399</v>
      </c>
      <c r="H457" s="3">
        <v>5.1090607643127397</v>
      </c>
      <c r="I457" s="3">
        <v>3.7811603546142498</v>
      </c>
      <c r="J457" s="3">
        <v>2.1311361789703298</v>
      </c>
      <c r="K457" s="3">
        <v>4.81475111565722</v>
      </c>
      <c r="L457" s="3">
        <v>1.41</v>
      </c>
      <c r="M457" s="3">
        <v>0.82799999999999996</v>
      </c>
      <c r="N457" s="3">
        <v>0.19900000000000001</v>
      </c>
      <c r="O457" s="3">
        <v>8.1000000000000003E-2</v>
      </c>
      <c r="P457" s="3">
        <v>0.02</v>
      </c>
      <c r="Q457" s="3"/>
    </row>
    <row r="458" spans="1:17" x14ac:dyDescent="0.25">
      <c r="A458" s="3" t="s">
        <v>99</v>
      </c>
      <c r="B458" s="3" t="s">
        <v>39</v>
      </c>
      <c r="C458" s="3">
        <v>2020</v>
      </c>
      <c r="D458" s="3">
        <v>6.0004000660000001</v>
      </c>
      <c r="E458" s="3">
        <v>1.1643071169999999</v>
      </c>
      <c r="F458" s="3">
        <v>3.3267438576666102</v>
      </c>
      <c r="G458" s="3">
        <v>1.4650195542864</v>
      </c>
      <c r="H458" s="3">
        <v>7.2504940032958904</v>
      </c>
      <c r="I458" s="3">
        <v>3.0480969999999998</v>
      </c>
      <c r="J458" s="3">
        <v>4.2276048660278303</v>
      </c>
      <c r="K458" s="3">
        <v>5.4226544148127598</v>
      </c>
      <c r="L458" s="3">
        <v>1.4230093960000001</v>
      </c>
      <c r="M458" s="3">
        <v>0.80679386900000005</v>
      </c>
      <c r="N458" s="3">
        <v>0.38640180200000002</v>
      </c>
      <c r="O458" s="3">
        <v>7.0491238999999997E-2</v>
      </c>
      <c r="P458" s="3">
        <v>2.7548172999999999E-2</v>
      </c>
      <c r="Q458" s="3"/>
    </row>
    <row r="459" spans="1:17" x14ac:dyDescent="0.25">
      <c r="A459" s="3" t="s">
        <v>99</v>
      </c>
      <c r="B459" s="3" t="s">
        <v>39</v>
      </c>
      <c r="C459" s="3">
        <v>2021</v>
      </c>
      <c r="D459" s="3">
        <v>5.992</v>
      </c>
      <c r="E459" s="3">
        <v>1.3009999999999999</v>
      </c>
      <c r="F459" s="3">
        <v>5.1109650000000002</v>
      </c>
      <c r="G459" s="3">
        <v>11.24052</v>
      </c>
      <c r="H459" s="3">
        <v>3.4489999999999998</v>
      </c>
      <c r="I459" s="3">
        <v>4.548</v>
      </c>
      <c r="J459" s="3">
        <v>13.495542890544501</v>
      </c>
      <c r="K459" s="3">
        <v>6.30272339430066</v>
      </c>
      <c r="L459" s="3">
        <v>1.083</v>
      </c>
      <c r="M459" s="3">
        <v>0.61499999999999999</v>
      </c>
      <c r="N459" s="3">
        <v>0.45400000000000001</v>
      </c>
      <c r="O459" s="3">
        <v>6.7000000000000004E-2</v>
      </c>
      <c r="P459" s="3">
        <v>0.04</v>
      </c>
      <c r="Q459" s="3"/>
    </row>
    <row r="460" spans="1:17" x14ac:dyDescent="0.25">
      <c r="A460" s="3" t="s">
        <v>99</v>
      </c>
      <c r="B460" s="3" t="s">
        <v>39</v>
      </c>
      <c r="C460" s="3">
        <v>2022</v>
      </c>
      <c r="D460" s="3">
        <v>6.0860000000000003</v>
      </c>
      <c r="E460" s="3">
        <v>1.748</v>
      </c>
      <c r="F460" s="3">
        <v>14.608140000000001</v>
      </c>
      <c r="G460" s="3">
        <v>15.1025274516837</v>
      </c>
      <c r="H460" s="3">
        <v>27.75872</v>
      </c>
      <c r="I460" s="3">
        <v>10.245062645997001</v>
      </c>
      <c r="J460" s="3">
        <v>33.4449237108091</v>
      </c>
      <c r="K460" s="3">
        <v>13.1654446578383</v>
      </c>
      <c r="L460" s="3">
        <v>1.2330000000000001</v>
      </c>
      <c r="M460" s="3">
        <v>0.66800000000000004</v>
      </c>
      <c r="N460" s="3">
        <v>0.48499999999999999</v>
      </c>
      <c r="O460" s="3">
        <v>7.8E-2</v>
      </c>
      <c r="P460" s="3">
        <v>6.4000000000000001E-2</v>
      </c>
      <c r="Q460" s="3"/>
    </row>
    <row r="461" spans="1:17" x14ac:dyDescent="0.25">
      <c r="A461" s="3" t="s">
        <v>99</v>
      </c>
      <c r="B461" s="3" t="s">
        <v>39</v>
      </c>
      <c r="C461" s="3">
        <v>2023</v>
      </c>
      <c r="D461" s="3">
        <v>6.0410000000000004</v>
      </c>
      <c r="E461" s="3">
        <v>1.754</v>
      </c>
      <c r="F461" s="3">
        <v>17.124965967873699</v>
      </c>
      <c r="G461" s="3">
        <v>23.5305733174606</v>
      </c>
      <c r="H461" s="3">
        <v>23.746290680283199</v>
      </c>
      <c r="I461" s="3">
        <v>13.757881987462699</v>
      </c>
      <c r="J461" s="3">
        <v>5.79409494403727</v>
      </c>
      <c r="K461" s="3">
        <v>14.439753026177</v>
      </c>
      <c r="L461" s="3">
        <v>1.5189999999999999</v>
      </c>
      <c r="M461" s="3">
        <v>0.435</v>
      </c>
      <c r="N461" s="3">
        <v>0.501</v>
      </c>
      <c r="O461" s="3">
        <v>0.105</v>
      </c>
      <c r="P461" s="3">
        <v>6.5000000000000002E-2</v>
      </c>
      <c r="Q461" s="3"/>
    </row>
    <row r="462" spans="1:17" x14ac:dyDescent="0.25">
      <c r="A462" s="3" t="s">
        <v>100</v>
      </c>
      <c r="B462" s="3" t="s">
        <v>50</v>
      </c>
      <c r="C462" s="3">
        <v>2015</v>
      </c>
      <c r="D462" s="3">
        <v>7.5609999999999999</v>
      </c>
      <c r="E462" s="3">
        <v>1.3023199999999999</v>
      </c>
      <c r="F462" s="3">
        <v>1.6330595016479399</v>
      </c>
      <c r="G462" s="3">
        <v>6.0091695785522399</v>
      </c>
      <c r="H462" s="3">
        <v>2.8393995761871298</v>
      </c>
      <c r="I462" s="3">
        <v>2.0940590000000001</v>
      </c>
      <c r="J462" s="3">
        <v>5.1012277603149396</v>
      </c>
      <c r="K462" s="3">
        <v>6.0546605720588396</v>
      </c>
      <c r="L462" s="3">
        <v>1.4022300000000001</v>
      </c>
      <c r="M462" s="3">
        <v>0.94784000000000002</v>
      </c>
      <c r="N462" s="3">
        <v>0.62877000000000005</v>
      </c>
      <c r="O462" s="3">
        <v>0.43630000000000002</v>
      </c>
      <c r="P462" s="3">
        <v>0.14144999999999999</v>
      </c>
      <c r="Q462" s="3"/>
    </row>
    <row r="463" spans="1:17" x14ac:dyDescent="0.25">
      <c r="A463" s="3" t="s">
        <v>100</v>
      </c>
      <c r="B463" s="3" t="s">
        <v>50</v>
      </c>
      <c r="C463" s="3">
        <v>2016</v>
      </c>
      <c r="D463" s="3">
        <v>7.5010000000000003</v>
      </c>
      <c r="E463" s="3">
        <v>1.42666</v>
      </c>
      <c r="F463" s="3">
        <v>1.6969299316406199</v>
      </c>
      <c r="G463" s="3">
        <v>6.6434297561645499</v>
      </c>
      <c r="H463" s="3">
        <v>1.3198879957198999</v>
      </c>
      <c r="I463" s="3">
        <v>2.1623929999999998</v>
      </c>
      <c r="J463" s="3">
        <v>-8.0897665023803693</v>
      </c>
      <c r="K463" s="3">
        <v>2.2609999999999899</v>
      </c>
      <c r="L463" s="3">
        <v>1.18326</v>
      </c>
      <c r="M463" s="3">
        <v>0.86733000000000005</v>
      </c>
      <c r="N463" s="3">
        <v>0.56623999999999997</v>
      </c>
      <c r="O463" s="3">
        <v>0.47677999999999998</v>
      </c>
      <c r="P463" s="3">
        <v>0.14974999999999999</v>
      </c>
      <c r="Q463" s="3"/>
    </row>
    <row r="464" spans="1:17" x14ac:dyDescent="0.25">
      <c r="A464" s="3" t="s">
        <v>100</v>
      </c>
      <c r="B464" s="3" t="s">
        <v>50</v>
      </c>
      <c r="C464" s="3">
        <v>2017</v>
      </c>
      <c r="D464" s="3">
        <v>7.5040001869999999</v>
      </c>
      <c r="E464" s="3">
        <v>1.48063302</v>
      </c>
      <c r="F464" s="3">
        <v>1.7609999999999999</v>
      </c>
      <c r="G464" s="3">
        <v>11.924704551696699</v>
      </c>
      <c r="H464" s="3">
        <v>-2.41918492317199</v>
      </c>
      <c r="I464" s="3">
        <v>2.4262540000000001</v>
      </c>
      <c r="J464" s="3">
        <v>-4.5718560218811</v>
      </c>
      <c r="K464" s="3">
        <v>0.93681853296955597</v>
      </c>
      <c r="L464" s="3">
        <v>1.6105740070000001</v>
      </c>
      <c r="M464" s="3">
        <v>0.83355212199999995</v>
      </c>
      <c r="N464" s="3">
        <v>0.62716263500000002</v>
      </c>
      <c r="O464" s="3">
        <v>0.47554022099999999</v>
      </c>
      <c r="P464" s="3">
        <v>0.15352655900000001</v>
      </c>
      <c r="Q464" s="3"/>
    </row>
    <row r="465" spans="1:17" x14ac:dyDescent="0.25">
      <c r="A465" s="3" t="s">
        <v>100</v>
      </c>
      <c r="B465" s="3" t="s">
        <v>50</v>
      </c>
      <c r="C465" s="3">
        <v>2018</v>
      </c>
      <c r="D465" s="3">
        <v>7.4950000000000001</v>
      </c>
      <c r="E465" s="3">
        <v>1.343</v>
      </c>
      <c r="F465" s="3">
        <v>2.68</v>
      </c>
      <c r="G465" s="3">
        <v>6.4766082763671804</v>
      </c>
      <c r="H465" s="3">
        <v>2.4883515834808301</v>
      </c>
      <c r="I465" s="3">
        <v>2.5266670000000002</v>
      </c>
      <c r="J465" s="3">
        <v>6.7817807197570801</v>
      </c>
      <c r="K465" s="3">
        <v>2.6593941037987201</v>
      </c>
      <c r="L465" s="3">
        <v>1.6439999999999999</v>
      </c>
      <c r="M465" s="3">
        <v>0.91400000000000003</v>
      </c>
      <c r="N465" s="3">
        <v>0.67700000000000005</v>
      </c>
      <c r="O465" s="3">
        <v>0.35299999999999998</v>
      </c>
      <c r="P465" s="3">
        <v>0.13800000000000001</v>
      </c>
      <c r="Q465" s="3"/>
    </row>
    <row r="466" spans="1:17" x14ac:dyDescent="0.25">
      <c r="A466" s="3" t="s">
        <v>100</v>
      </c>
      <c r="B466" s="3" t="s">
        <v>50</v>
      </c>
      <c r="C466" s="3">
        <v>2019</v>
      </c>
      <c r="D466" s="3">
        <v>7.4939999999999998</v>
      </c>
      <c r="E466" s="3">
        <v>1.38</v>
      </c>
      <c r="F466" s="3">
        <v>3.01300001144409</v>
      </c>
      <c r="G466" s="3">
        <v>2.7553539276122998</v>
      </c>
      <c r="H466" s="3">
        <v>3.7993168830871502</v>
      </c>
      <c r="I466" s="3">
        <v>2.9325160000000001</v>
      </c>
      <c r="J466" s="3">
        <v>4.9175573784074897</v>
      </c>
      <c r="K466" s="3">
        <v>4.5345589067985399</v>
      </c>
      <c r="L466" s="3">
        <v>1.6240000000000001</v>
      </c>
      <c r="M466" s="3">
        <v>1.026</v>
      </c>
      <c r="N466" s="3">
        <v>0.59099999999999997</v>
      </c>
      <c r="O466" s="3">
        <v>0.35399999999999998</v>
      </c>
      <c r="P466" s="3">
        <v>0.11799999999999999</v>
      </c>
      <c r="Q466" s="3"/>
    </row>
    <row r="467" spans="1:17" x14ac:dyDescent="0.25">
      <c r="A467" s="3" t="s">
        <v>100</v>
      </c>
      <c r="B467" s="3" t="s">
        <v>50</v>
      </c>
      <c r="C467" s="3">
        <v>2020</v>
      </c>
      <c r="D467" s="3">
        <v>7.504499912</v>
      </c>
      <c r="E467" s="3">
        <v>1.3265016080000001</v>
      </c>
      <c r="F467" s="3">
        <v>2.8479240151862402</v>
      </c>
      <c r="G467" s="3">
        <v>2.3992960575502398</v>
      </c>
      <c r="H467" s="3">
        <v>4.9028566962841902</v>
      </c>
      <c r="I467" s="3">
        <v>2.8871169999999999</v>
      </c>
      <c r="J467" s="3">
        <v>23.109624862670898</v>
      </c>
      <c r="K467" s="3">
        <v>3.4459099567568399</v>
      </c>
      <c r="L467" s="3">
        <v>1.547567487</v>
      </c>
      <c r="M467" s="3">
        <v>1.000843406</v>
      </c>
      <c r="N467" s="3">
        <v>0.66198074799999995</v>
      </c>
      <c r="O467" s="3">
        <v>0.36233022799999998</v>
      </c>
      <c r="P467" s="3">
        <v>0.14454077200000001</v>
      </c>
      <c r="Q467" s="3"/>
    </row>
    <row r="468" spans="1:17" x14ac:dyDescent="0.25">
      <c r="A468" s="3" t="s">
        <v>100</v>
      </c>
      <c r="B468" s="3" t="s">
        <v>50</v>
      </c>
      <c r="C468" s="3">
        <v>2021</v>
      </c>
      <c r="D468" s="3">
        <v>7.5540000000000003</v>
      </c>
      <c r="E468" s="3">
        <v>1.482</v>
      </c>
      <c r="F468" s="3">
        <v>4.4442430000000002</v>
      </c>
      <c r="G468" s="3">
        <v>7.3785319999999999</v>
      </c>
      <c r="H468" s="3">
        <v>3.512</v>
      </c>
      <c r="I468" s="3">
        <v>4.3769999999999998</v>
      </c>
      <c r="J468" s="3">
        <v>11.4577811435062</v>
      </c>
      <c r="K468" s="3">
        <v>5.9966211955946704</v>
      </c>
      <c r="L468" s="3">
        <v>1.1719999999999999</v>
      </c>
      <c r="M468" s="3">
        <v>0.77200000000000002</v>
      </c>
      <c r="N468" s="3">
        <v>0.69799999999999995</v>
      </c>
      <c r="O468" s="3">
        <v>0.29299999999999998</v>
      </c>
      <c r="P468" s="3">
        <v>0.17</v>
      </c>
      <c r="Q468" s="3"/>
    </row>
    <row r="469" spans="1:17" x14ac:dyDescent="0.25">
      <c r="A469" s="3" t="s">
        <v>100</v>
      </c>
      <c r="B469" s="3" t="s">
        <v>50</v>
      </c>
      <c r="C469" s="3">
        <v>2022</v>
      </c>
      <c r="D469" s="3">
        <v>7.5570000000000004</v>
      </c>
      <c r="E469" s="3">
        <v>1.9359999999999999</v>
      </c>
      <c r="F469" s="3">
        <v>8.3087540000000004</v>
      </c>
      <c r="G469" s="3">
        <v>17.398059762212998</v>
      </c>
      <c r="H469" s="3">
        <v>7.2330009999999998</v>
      </c>
      <c r="I469" s="3">
        <v>7.7881534569983</v>
      </c>
      <c r="J469" s="3">
        <v>17.274765593151201</v>
      </c>
      <c r="K469" s="3">
        <v>8.2942266318964499</v>
      </c>
      <c r="L469" s="3">
        <v>1.32</v>
      </c>
      <c r="M469" s="3">
        <v>0.80300000000000005</v>
      </c>
      <c r="N469" s="3">
        <v>0.71799999999999997</v>
      </c>
      <c r="O469" s="3">
        <v>0.27</v>
      </c>
      <c r="P469" s="3">
        <v>0.191</v>
      </c>
      <c r="Q469" s="3"/>
    </row>
    <row r="470" spans="1:17" x14ac:dyDescent="0.25">
      <c r="A470" s="3" t="s">
        <v>100</v>
      </c>
      <c r="B470" s="3" t="s">
        <v>50</v>
      </c>
      <c r="C470" s="3">
        <v>2023</v>
      </c>
      <c r="D470" s="3">
        <v>7.53</v>
      </c>
      <c r="E470" s="3">
        <v>1.9259999999999999</v>
      </c>
      <c r="F470" s="3">
        <v>8.7363029993729793</v>
      </c>
      <c r="G470" s="3">
        <v>5.6547718944179204</v>
      </c>
      <c r="H470" s="3">
        <v>11.8359249023313</v>
      </c>
      <c r="I470" s="3">
        <v>8.4245958115215895</v>
      </c>
      <c r="J470" s="5"/>
      <c r="K470" s="3">
        <v>5.9701099426940898</v>
      </c>
      <c r="L470" s="3">
        <v>1.62</v>
      </c>
      <c r="M470" s="3">
        <v>0.55900000000000005</v>
      </c>
      <c r="N470" s="3">
        <v>0.73799999999999999</v>
      </c>
      <c r="O470" s="3">
        <v>0.25</v>
      </c>
      <c r="P470" s="3">
        <v>0.187</v>
      </c>
      <c r="Q470" s="3"/>
    </row>
    <row r="471" spans="1:17" x14ac:dyDescent="0.25">
      <c r="A471" s="3" t="s">
        <v>101</v>
      </c>
      <c r="B471" s="3" t="s">
        <v>37</v>
      </c>
      <c r="C471" s="3">
        <v>2015</v>
      </c>
      <c r="D471" s="3">
        <v>4.5650000000000004</v>
      </c>
      <c r="E471" s="3">
        <v>0.64498999999999995</v>
      </c>
      <c r="F471" s="3">
        <v>5.8724250793456996</v>
      </c>
      <c r="G471" s="3">
        <v>4.7885499000549299</v>
      </c>
      <c r="H471" s="3">
        <v>5.25664806365966</v>
      </c>
      <c r="I471" s="3">
        <v>5.23903083801269</v>
      </c>
      <c r="J471" s="3">
        <v>-3.89054250717163</v>
      </c>
      <c r="K471" s="3">
        <v>2.2798277463480399</v>
      </c>
      <c r="L471" s="3">
        <v>0.38174000000000002</v>
      </c>
      <c r="M471" s="3">
        <v>0.51529000000000003</v>
      </c>
      <c r="N471" s="3">
        <v>0.39785999999999999</v>
      </c>
      <c r="O471" s="3">
        <v>0.26474999999999999</v>
      </c>
      <c r="P471" s="3">
        <v>8.4919999999999995E-2</v>
      </c>
      <c r="Q471" s="3"/>
    </row>
    <row r="472" spans="1:17" x14ac:dyDescent="0.25">
      <c r="A472" s="3" t="s">
        <v>101</v>
      </c>
      <c r="B472" s="3" t="s">
        <v>37</v>
      </c>
      <c r="C472" s="3">
        <v>2016</v>
      </c>
      <c r="D472" s="3">
        <v>4.4039999999999999</v>
      </c>
      <c r="E472" s="3">
        <v>0.74036000000000002</v>
      </c>
      <c r="F472" s="3">
        <v>4.9410247802734304</v>
      </c>
      <c r="G472" s="3">
        <v>5.24928379058837</v>
      </c>
      <c r="H472" s="3">
        <v>5.3401160240173304</v>
      </c>
      <c r="I472" s="3">
        <v>5.00587701797485</v>
      </c>
      <c r="J472" s="3">
        <v>-5.2867017686367E-2</v>
      </c>
      <c r="K472" s="3">
        <v>3.2378436390654701</v>
      </c>
      <c r="L472" s="3">
        <v>0.29247000000000001</v>
      </c>
      <c r="M472" s="3">
        <v>0.45090999999999998</v>
      </c>
      <c r="N472" s="3">
        <v>0.40284999999999999</v>
      </c>
      <c r="O472" s="3">
        <v>0.25028</v>
      </c>
      <c r="P472" s="3">
        <v>8.7220000000000006E-2</v>
      </c>
      <c r="Q472" s="3"/>
    </row>
    <row r="473" spans="1:17" x14ac:dyDescent="0.25">
      <c r="A473" s="3" t="s">
        <v>101</v>
      </c>
      <c r="B473" s="3" t="s">
        <v>37</v>
      </c>
      <c r="C473" s="3">
        <v>2017</v>
      </c>
      <c r="D473" s="3">
        <v>4.3150000569999998</v>
      </c>
      <c r="E473" s="3">
        <v>0.79222124800000004</v>
      </c>
      <c r="F473" s="3">
        <v>3.6019999999999999</v>
      </c>
      <c r="G473" s="3">
        <v>5.6924533843994096</v>
      </c>
      <c r="H473" s="3">
        <v>1.8158262968063299</v>
      </c>
      <c r="I473" s="3">
        <v>4.4050831794738698</v>
      </c>
      <c r="J473" s="3">
        <v>3.4381115436553902</v>
      </c>
      <c r="K473" s="3">
        <v>3.9695486677542</v>
      </c>
      <c r="L473" s="3">
        <v>0.75437259700000003</v>
      </c>
      <c r="M473" s="3">
        <v>0.45542761700000001</v>
      </c>
      <c r="N473" s="3">
        <v>0.46998700500000001</v>
      </c>
      <c r="O473" s="3">
        <v>0.23153848899999999</v>
      </c>
      <c r="P473" s="3">
        <v>9.2226884999999995E-2</v>
      </c>
      <c r="Q473" s="3"/>
    </row>
    <row r="474" spans="1:17" x14ac:dyDescent="0.25">
      <c r="A474" s="3" t="s">
        <v>101</v>
      </c>
      <c r="B474" s="3" t="s">
        <v>37</v>
      </c>
      <c r="C474" s="3">
        <v>2018</v>
      </c>
      <c r="D474" s="3">
        <v>4.1900000000000004</v>
      </c>
      <c r="E474" s="3">
        <v>0.72099999999999997</v>
      </c>
      <c r="F474" s="3">
        <v>4.8600000000000003</v>
      </c>
      <c r="G474" s="3">
        <v>7.5551719665527299</v>
      </c>
      <c r="H474" s="3">
        <v>1.6677765846252399</v>
      </c>
      <c r="I474" s="3">
        <v>5.68869829177856</v>
      </c>
      <c r="J474" s="3">
        <v>4.2662010192870996</v>
      </c>
      <c r="K474" s="3">
        <v>3.7372323406349999</v>
      </c>
      <c r="L474" s="3">
        <v>0.747</v>
      </c>
      <c r="M474" s="3">
        <v>0.48499999999999999</v>
      </c>
      <c r="N474" s="3">
        <v>0.53900000000000003</v>
      </c>
      <c r="O474" s="3">
        <v>0.17199999999999999</v>
      </c>
      <c r="P474" s="3">
        <v>9.2999999999999999E-2</v>
      </c>
      <c r="Q474" s="3"/>
    </row>
    <row r="475" spans="1:17" x14ac:dyDescent="0.25">
      <c r="A475" s="3" t="s">
        <v>101</v>
      </c>
      <c r="B475" s="3" t="s">
        <v>37</v>
      </c>
      <c r="C475" s="3">
        <v>2019</v>
      </c>
      <c r="D475" s="3">
        <v>4.0149999999999997</v>
      </c>
      <c r="E475" s="3">
        <v>0.755</v>
      </c>
      <c r="F475" s="3">
        <v>4.7620000839233398</v>
      </c>
      <c r="G475" s="3">
        <v>4.7870182991027797</v>
      </c>
      <c r="H475" s="3">
        <v>3.58019518852233</v>
      </c>
      <c r="I475" s="3">
        <v>4.7022318840026802</v>
      </c>
      <c r="J475" s="3">
        <v>1.8846790790557799</v>
      </c>
      <c r="K475" s="3">
        <v>3.5655236329935098</v>
      </c>
      <c r="L475" s="3">
        <v>0.76500000000000001</v>
      </c>
      <c r="M475" s="3">
        <v>0.58799999999999997</v>
      </c>
      <c r="N475" s="3">
        <v>0.498</v>
      </c>
      <c r="O475" s="3">
        <v>0.2</v>
      </c>
      <c r="P475" s="3">
        <v>8.5000000000000006E-2</v>
      </c>
      <c r="Q475" s="3"/>
    </row>
    <row r="476" spans="1:17" x14ac:dyDescent="0.25">
      <c r="A476" s="3" t="s">
        <v>101</v>
      </c>
      <c r="B476" s="3" t="s">
        <v>37</v>
      </c>
      <c r="C476" s="3">
        <v>2020</v>
      </c>
      <c r="D476" s="3">
        <v>3.573299885</v>
      </c>
      <c r="E476" s="3">
        <v>0.73057615799999998</v>
      </c>
      <c r="F476" s="3">
        <v>6.6234367762855202</v>
      </c>
      <c r="G476" s="3">
        <v>3.50644326210021</v>
      </c>
      <c r="H476" s="3">
        <v>8.7451591491699201</v>
      </c>
      <c r="I476" s="3">
        <v>4.6050381660461399</v>
      </c>
      <c r="J476" s="3">
        <v>0.47448515892028797</v>
      </c>
      <c r="K476" s="3">
        <v>4.5710317573952501</v>
      </c>
      <c r="L476" s="3">
        <v>0.64419865600000004</v>
      </c>
      <c r="M476" s="3">
        <v>0.54057014000000003</v>
      </c>
      <c r="N476" s="3">
        <v>0.58114224699999995</v>
      </c>
      <c r="O476" s="3">
        <v>0.237072483</v>
      </c>
      <c r="P476" s="3">
        <v>0.105587982</v>
      </c>
      <c r="Q476" s="3"/>
    </row>
    <row r="477" spans="1:17" x14ac:dyDescent="0.25">
      <c r="A477" s="3" t="s">
        <v>101</v>
      </c>
      <c r="B477" s="3" t="s">
        <v>37</v>
      </c>
      <c r="C477" s="3">
        <v>2021</v>
      </c>
      <c r="D477" s="3">
        <v>3.819</v>
      </c>
      <c r="E477" s="3">
        <v>0.74099999999999999</v>
      </c>
      <c r="F477" s="3">
        <v>4.8900860000000002</v>
      </c>
      <c r="G477" s="5"/>
      <c r="H477" s="3">
        <v>3.68977310946461</v>
      </c>
      <c r="I477" s="3">
        <v>5.9266589697069296</v>
      </c>
      <c r="J477" s="3">
        <v>10.766073871409001</v>
      </c>
      <c r="K477" s="3">
        <v>9.9664166609375702</v>
      </c>
      <c r="L477" s="3">
        <v>0.316</v>
      </c>
      <c r="M477" s="3">
        <v>0.38300000000000001</v>
      </c>
      <c r="N477" s="3">
        <v>0.622</v>
      </c>
      <c r="O477" s="3">
        <v>0.246</v>
      </c>
      <c r="P477" s="3">
        <v>0.106</v>
      </c>
      <c r="Q477" s="3"/>
    </row>
    <row r="478" spans="1:17" x14ac:dyDescent="0.25">
      <c r="A478" s="3" t="s">
        <v>101</v>
      </c>
      <c r="B478" s="3" t="s">
        <v>37</v>
      </c>
      <c r="C478" s="3">
        <v>2022</v>
      </c>
      <c r="D478" s="3">
        <v>3.7770000000000001</v>
      </c>
      <c r="E478" s="3">
        <v>1.167</v>
      </c>
      <c r="F478" s="3">
        <v>5.9004300000000001</v>
      </c>
      <c r="G478" s="3">
        <v>5.9666666666666597</v>
      </c>
      <c r="H478" s="3">
        <v>6.8623302129660901</v>
      </c>
      <c r="I478" s="3">
        <v>6.0881299631493997</v>
      </c>
      <c r="J478" s="3">
        <v>12.2370352291379</v>
      </c>
      <c r="K478" s="3">
        <v>8.7008775854249993</v>
      </c>
      <c r="L478" s="3">
        <v>0.376</v>
      </c>
      <c r="M478" s="3">
        <v>0.47099999999999997</v>
      </c>
      <c r="N478" s="3">
        <v>0.64700000000000002</v>
      </c>
      <c r="O478" s="3">
        <v>0.19800000000000001</v>
      </c>
      <c r="P478" s="3">
        <v>0.123</v>
      </c>
      <c r="Q478" s="3"/>
    </row>
    <row r="479" spans="1:17" x14ac:dyDescent="0.25">
      <c r="A479" s="3" t="s">
        <v>101</v>
      </c>
      <c r="B479" s="3" t="s">
        <v>37</v>
      </c>
      <c r="C479" s="3">
        <v>2023</v>
      </c>
      <c r="D479" s="3">
        <v>4.0359999999999996</v>
      </c>
      <c r="E479" s="3">
        <v>1.159</v>
      </c>
      <c r="F479" s="3">
        <v>5.55809013529624</v>
      </c>
      <c r="G479" s="5"/>
      <c r="H479" s="3">
        <v>6.5677660953478103</v>
      </c>
      <c r="I479" s="3">
        <v>4.9752947507460403</v>
      </c>
      <c r="J479" s="3">
        <v>3.3105022831050199</v>
      </c>
      <c r="K479" s="3">
        <v>2.3004075731507898</v>
      </c>
      <c r="L479" s="3">
        <v>0.67400000000000004</v>
      </c>
      <c r="M479" s="3">
        <v>0.252</v>
      </c>
      <c r="N479" s="3">
        <v>0.68500000000000005</v>
      </c>
      <c r="O479" s="3">
        <v>0.17499999999999999</v>
      </c>
      <c r="P479" s="3">
        <v>0.111</v>
      </c>
      <c r="Q479" s="3"/>
    </row>
    <row r="480" spans="1:17" x14ac:dyDescent="0.25">
      <c r="A480" s="3" t="s">
        <v>102</v>
      </c>
      <c r="B480" s="3" t="s">
        <v>67</v>
      </c>
      <c r="C480" s="3">
        <v>2015</v>
      </c>
      <c r="D480" s="3">
        <v>5.399</v>
      </c>
      <c r="E480" s="3">
        <v>0.82826999999999995</v>
      </c>
      <c r="F480" s="3">
        <v>6.3631234169006303</v>
      </c>
      <c r="G480" s="3">
        <v>6.3124356269836399</v>
      </c>
      <c r="H480" s="3">
        <v>7.1670761108398402</v>
      </c>
      <c r="I480" s="3">
        <v>4.8898725509643501</v>
      </c>
      <c r="J480" s="5"/>
      <c r="K480" s="3">
        <v>3.98029301179825</v>
      </c>
      <c r="L480" s="3">
        <v>1.08708</v>
      </c>
      <c r="M480" s="3">
        <v>0.63793</v>
      </c>
      <c r="N480" s="3">
        <v>0.46611000000000002</v>
      </c>
      <c r="O480" s="3">
        <v>0.51534999999999997</v>
      </c>
      <c r="P480" s="3">
        <v>0</v>
      </c>
      <c r="Q480" s="3"/>
    </row>
    <row r="481" spans="1:17" x14ac:dyDescent="0.25">
      <c r="A481" s="3" t="s">
        <v>102</v>
      </c>
      <c r="B481" s="3" t="s">
        <v>67</v>
      </c>
      <c r="C481" s="3">
        <v>2016</v>
      </c>
      <c r="D481" s="3">
        <v>5.3140000000000001</v>
      </c>
      <c r="E481" s="3">
        <v>0.95104</v>
      </c>
      <c r="F481" s="3">
        <v>3.52580261230468</v>
      </c>
      <c r="G481" s="3">
        <v>1.7902535200119001</v>
      </c>
      <c r="H481" s="3">
        <v>7.24176025390625</v>
      </c>
      <c r="I481" s="3">
        <v>3.35211849212646</v>
      </c>
      <c r="J481" s="5"/>
      <c r="K481" s="3">
        <v>2.4384351620947702</v>
      </c>
      <c r="L481" s="3">
        <v>0.87624999999999997</v>
      </c>
      <c r="M481" s="3">
        <v>0.49374000000000001</v>
      </c>
      <c r="N481" s="3">
        <v>0.39237</v>
      </c>
      <c r="O481" s="3">
        <v>0.56520999999999999</v>
      </c>
      <c r="P481" s="3">
        <v>3.2200000000000002E-3</v>
      </c>
      <c r="Q481" s="3"/>
    </row>
    <row r="482" spans="1:17" x14ac:dyDescent="0.25">
      <c r="A482" s="3" t="s">
        <v>102</v>
      </c>
      <c r="B482" s="3" t="s">
        <v>67</v>
      </c>
      <c r="C482" s="3">
        <v>2017</v>
      </c>
      <c r="D482" s="3">
        <v>5.2620000840000003</v>
      </c>
      <c r="E482" s="3">
        <v>0.99553859199999994</v>
      </c>
      <c r="F482" s="3">
        <v>3.8090000000000002</v>
      </c>
      <c r="G482" s="3">
        <v>4.9912595748901296</v>
      </c>
      <c r="H482" s="3">
        <v>2.1276867389678902</v>
      </c>
      <c r="I482" s="3">
        <v>3.1488339900970401</v>
      </c>
      <c r="J482" s="5"/>
      <c r="K482" s="3">
        <v>4.2929196874833497</v>
      </c>
      <c r="L482" s="3">
        <v>1.274444699</v>
      </c>
      <c r="M482" s="3">
        <v>0.49234572100000001</v>
      </c>
      <c r="N482" s="3">
        <v>0.44332346299999997</v>
      </c>
      <c r="O482" s="3">
        <v>0.61170458800000005</v>
      </c>
      <c r="P482" s="3">
        <v>1.5317135000000001E-2</v>
      </c>
      <c r="Q482" s="3"/>
    </row>
    <row r="483" spans="1:17" x14ac:dyDescent="0.25">
      <c r="A483" s="3" t="s">
        <v>102</v>
      </c>
      <c r="B483" s="3" t="s">
        <v>67</v>
      </c>
      <c r="C483" s="3">
        <v>2018</v>
      </c>
      <c r="D483" s="3">
        <v>5.093</v>
      </c>
      <c r="E483" s="3">
        <v>0.89900000000000002</v>
      </c>
      <c r="F483" s="3">
        <v>3.2</v>
      </c>
      <c r="G483" s="3">
        <v>2.6501302719116202</v>
      </c>
      <c r="H483" s="3">
        <v>4.23864269256591</v>
      </c>
      <c r="I483" s="3">
        <v>2.8136672973632799</v>
      </c>
      <c r="J483" s="5"/>
      <c r="K483" s="3">
        <v>3.8186035654888499</v>
      </c>
      <c r="L483" s="3">
        <v>1.2150000000000001</v>
      </c>
      <c r="M483" s="3">
        <v>0.52200000000000002</v>
      </c>
      <c r="N483" s="3">
        <v>0.53800000000000003</v>
      </c>
      <c r="O483" s="3">
        <v>0.48399999999999999</v>
      </c>
      <c r="P483" s="3">
        <v>1.7999999999999999E-2</v>
      </c>
      <c r="Q483" s="3"/>
    </row>
    <row r="484" spans="1:17" x14ac:dyDescent="0.25">
      <c r="A484" s="3" t="s">
        <v>102</v>
      </c>
      <c r="B484" s="3" t="s">
        <v>67</v>
      </c>
      <c r="C484" s="3">
        <v>2019</v>
      </c>
      <c r="D484" s="3">
        <v>5.1920000000000002</v>
      </c>
      <c r="E484" s="3">
        <v>0.93100000000000005</v>
      </c>
      <c r="F484" s="3">
        <v>2.8199999332427899</v>
      </c>
      <c r="G484" s="3">
        <v>2.27799</v>
      </c>
      <c r="H484" s="5"/>
      <c r="I484" s="3">
        <v>2.9966666698455802</v>
      </c>
      <c r="J484" s="5"/>
      <c r="K484" s="3">
        <v>1.59843178033683</v>
      </c>
      <c r="L484" s="3">
        <v>1.2030000000000001</v>
      </c>
      <c r="M484" s="3">
        <v>0.66</v>
      </c>
      <c r="N484" s="3">
        <v>0.49099999999999999</v>
      </c>
      <c r="O484" s="3">
        <v>0.498</v>
      </c>
      <c r="P484" s="3">
        <v>2.8000000000000001E-2</v>
      </c>
      <c r="Q484" s="3"/>
    </row>
    <row r="485" spans="1:17" x14ac:dyDescent="0.25">
      <c r="A485" s="3" t="s">
        <v>102</v>
      </c>
      <c r="B485" s="3" t="s">
        <v>67</v>
      </c>
      <c r="C485" s="3">
        <v>2020</v>
      </c>
      <c r="D485" s="3">
        <v>5.2856001849999998</v>
      </c>
      <c r="E485" s="3">
        <v>0.89172071200000003</v>
      </c>
      <c r="F485" s="3">
        <v>1.92096800566842</v>
      </c>
      <c r="G485" s="3">
        <v>0.95098578929901101</v>
      </c>
      <c r="H485" s="3">
        <v>3.4137618541717498</v>
      </c>
      <c r="I485" s="3">
        <v>2.26463627815246</v>
      </c>
      <c r="J485" s="5"/>
      <c r="K485" s="3">
        <v>-0.45642522233440502</v>
      </c>
      <c r="L485" s="3">
        <v>1.1548008919999999</v>
      </c>
      <c r="M485" s="3">
        <v>0.61043703599999999</v>
      </c>
      <c r="N485" s="3">
        <v>0.56816142800000002</v>
      </c>
      <c r="O485" s="3">
        <v>0.54264652700000005</v>
      </c>
      <c r="P485" s="3">
        <v>3.8278613000000003E-2</v>
      </c>
      <c r="Q485" s="3"/>
    </row>
    <row r="486" spans="1:17" x14ac:dyDescent="0.25">
      <c r="A486" s="3" t="s">
        <v>102</v>
      </c>
      <c r="B486" s="3" t="s">
        <v>67</v>
      </c>
      <c r="C486" s="3">
        <v>2021</v>
      </c>
      <c r="D486" s="3">
        <v>5.3449999999999998</v>
      </c>
      <c r="E486" s="3">
        <v>0.95399999999999996</v>
      </c>
      <c r="F486" s="3">
        <v>1.560136</v>
      </c>
      <c r="G486" s="3">
        <v>0.37448530254686402</v>
      </c>
      <c r="H486" s="3">
        <v>2.7098604913610802</v>
      </c>
      <c r="I486" s="3">
        <v>1.39008663317378</v>
      </c>
      <c r="J486" s="5"/>
      <c r="K486" s="3">
        <v>6.0152743470251302</v>
      </c>
      <c r="L486" s="3">
        <v>0.78600000000000003</v>
      </c>
      <c r="M486" s="3">
        <v>0.433</v>
      </c>
      <c r="N486" s="3">
        <v>0.59799999999999998</v>
      </c>
      <c r="O486" s="3">
        <v>0.54100000000000004</v>
      </c>
      <c r="P486" s="3">
        <v>4.5999999999999999E-2</v>
      </c>
      <c r="Q486" s="3"/>
    </row>
    <row r="487" spans="1:17" x14ac:dyDescent="0.25">
      <c r="A487" s="3" t="s">
        <v>102</v>
      </c>
      <c r="B487" s="3" t="s">
        <v>67</v>
      </c>
      <c r="C487" s="3">
        <v>2022</v>
      </c>
      <c r="D487" s="3">
        <v>5.24</v>
      </c>
      <c r="E487" s="3">
        <v>1.3819999999999999</v>
      </c>
      <c r="F487" s="3">
        <v>4.2094560000000003</v>
      </c>
      <c r="G487" s="3">
        <v>3.6850000000000001</v>
      </c>
      <c r="H487" s="3">
        <v>6.3424767871737</v>
      </c>
      <c r="I487" s="3">
        <v>2.7591157720608201</v>
      </c>
      <c r="J487" s="5"/>
      <c r="K487" s="3">
        <v>8.7323469918560104</v>
      </c>
      <c r="L487" s="3">
        <v>0.88300000000000001</v>
      </c>
      <c r="M487" s="3">
        <v>0.53900000000000003</v>
      </c>
      <c r="N487" s="3">
        <v>0.62</v>
      </c>
      <c r="O487" s="3">
        <v>0.46800000000000003</v>
      </c>
      <c r="P487" s="3">
        <v>4.7E-2</v>
      </c>
      <c r="Q487" s="3"/>
    </row>
    <row r="488" spans="1:17" x14ac:dyDescent="0.25">
      <c r="A488" s="3" t="s">
        <v>102</v>
      </c>
      <c r="B488" s="3" t="s">
        <v>67</v>
      </c>
      <c r="C488" s="3">
        <v>2023</v>
      </c>
      <c r="D488" s="3">
        <v>5.2770000000000001</v>
      </c>
      <c r="E488" s="3">
        <v>1.3839999999999999</v>
      </c>
      <c r="F488" s="3">
        <v>3.6701314237700702</v>
      </c>
      <c r="G488" s="3">
        <v>41.739130434782602</v>
      </c>
      <c r="H488" s="3">
        <v>4.8674999999999997</v>
      </c>
      <c r="I488" s="3">
        <v>2.4225000000000101</v>
      </c>
      <c r="J488" s="5"/>
      <c r="K488" s="3">
        <v>2.7752134191055098</v>
      </c>
      <c r="L488" s="3">
        <v>1.169</v>
      </c>
      <c r="M488" s="3">
        <v>0.314</v>
      </c>
      <c r="N488" s="3">
        <v>0.66300000000000003</v>
      </c>
      <c r="O488" s="3">
        <v>0.42199999999999999</v>
      </c>
      <c r="P488" s="3">
        <v>3.7999999999999999E-2</v>
      </c>
      <c r="Q488" s="3"/>
    </row>
    <row r="489" spans="1:17" x14ac:dyDescent="0.25">
      <c r="A489" s="3" t="s">
        <v>103</v>
      </c>
      <c r="B489" s="3" t="s">
        <v>41</v>
      </c>
      <c r="C489" s="3">
        <v>2015</v>
      </c>
      <c r="D489" s="3">
        <v>4.6769999999999996</v>
      </c>
      <c r="E489" s="3">
        <v>0.98548999999999998</v>
      </c>
      <c r="F489" s="3">
        <v>1.39300000667572</v>
      </c>
      <c r="G489" s="3">
        <v>3.31315994262695</v>
      </c>
      <c r="H489" s="3">
        <v>2.28626084327697</v>
      </c>
      <c r="I489" s="3">
        <v>1.67189729</v>
      </c>
      <c r="J489" s="5"/>
      <c r="K489" s="3">
        <v>-26.100000002700401</v>
      </c>
      <c r="L489" s="3">
        <v>0.81889000000000001</v>
      </c>
      <c r="M489" s="3">
        <v>0.60236999999999996</v>
      </c>
      <c r="N489" s="3">
        <v>0</v>
      </c>
      <c r="O489" s="3">
        <v>0.17921999999999999</v>
      </c>
      <c r="P489" s="3">
        <v>0.13788</v>
      </c>
      <c r="Q489" s="3"/>
    </row>
    <row r="490" spans="1:17" x14ac:dyDescent="0.25">
      <c r="A490" s="3" t="s">
        <v>103</v>
      </c>
      <c r="B490" s="3" t="s">
        <v>41</v>
      </c>
      <c r="C490" s="3">
        <v>2016</v>
      </c>
      <c r="D490" s="3">
        <v>4.5750000000000002</v>
      </c>
      <c r="E490" s="3">
        <v>1.07474</v>
      </c>
      <c r="F490" s="3">
        <v>0.52499997615814198</v>
      </c>
      <c r="G490" s="3">
        <v>2.6856698989868102</v>
      </c>
      <c r="H490" s="3">
        <v>-3.1448595523834202</v>
      </c>
      <c r="I490" s="3">
        <v>-0.19459143000000001</v>
      </c>
      <c r="J490" s="5"/>
      <c r="K490" s="3">
        <v>-13.401833171815101</v>
      </c>
      <c r="L490" s="3">
        <v>0.59204999999999997</v>
      </c>
      <c r="M490" s="3">
        <v>0.51075999999999999</v>
      </c>
      <c r="N490" s="3">
        <v>0.24856</v>
      </c>
      <c r="O490" s="3">
        <v>0.19589000000000001</v>
      </c>
      <c r="P490" s="3">
        <v>0.13636000000000001</v>
      </c>
      <c r="Q490" s="3"/>
    </row>
    <row r="491" spans="1:17" x14ac:dyDescent="0.25">
      <c r="A491" s="3" t="s">
        <v>103</v>
      </c>
      <c r="B491" s="3" t="s">
        <v>41</v>
      </c>
      <c r="C491" s="3">
        <v>2017</v>
      </c>
      <c r="D491" s="3">
        <v>4.4970002170000001</v>
      </c>
      <c r="E491" s="3">
        <v>1.102710485</v>
      </c>
      <c r="F491" s="3">
        <v>9.9000000000000005E-2</v>
      </c>
      <c r="G491" s="3">
        <v>2.3232042789459202</v>
      </c>
      <c r="H491" s="3">
        <v>-1.84219074249267</v>
      </c>
      <c r="I491" s="3">
        <v>0.43986697000000002</v>
      </c>
      <c r="J491" s="5"/>
      <c r="K491" s="3">
        <v>14.6246384656581</v>
      </c>
      <c r="L491" s="3">
        <v>0.97861319800000002</v>
      </c>
      <c r="M491" s="3">
        <v>0.50118046999999999</v>
      </c>
      <c r="N491" s="3">
        <v>0.28855553299999998</v>
      </c>
      <c r="O491" s="3">
        <v>0.19963726400000001</v>
      </c>
      <c r="P491" s="3">
        <v>0.107215755</v>
      </c>
      <c r="Q491" s="3"/>
    </row>
    <row r="492" spans="1:17" x14ac:dyDescent="0.25">
      <c r="A492" s="3" t="s">
        <v>103</v>
      </c>
      <c r="B492" s="3" t="s">
        <v>41</v>
      </c>
      <c r="C492" s="3">
        <v>2018</v>
      </c>
      <c r="D492" s="3">
        <v>4.4560000000000004</v>
      </c>
      <c r="E492" s="3">
        <v>1.01</v>
      </c>
      <c r="F492" s="3">
        <v>0.63</v>
      </c>
      <c r="G492" s="3">
        <v>-1.13522517681121</v>
      </c>
      <c r="H492" s="3">
        <v>0.24851596355438199</v>
      </c>
      <c r="I492" s="3">
        <v>0.14268728</v>
      </c>
      <c r="J492" s="5"/>
      <c r="K492" s="3">
        <v>15.360638017868601</v>
      </c>
      <c r="L492" s="3">
        <v>0.97099999999999997</v>
      </c>
      <c r="M492" s="3">
        <v>0.53600000000000003</v>
      </c>
      <c r="N492" s="3">
        <v>0.30399999999999999</v>
      </c>
      <c r="O492" s="3">
        <v>0.14799999999999999</v>
      </c>
      <c r="P492" s="3">
        <v>9.5000000000000001E-2</v>
      </c>
      <c r="Q492" s="3"/>
    </row>
    <row r="493" spans="1:17" x14ac:dyDescent="0.25">
      <c r="A493" s="3" t="s">
        <v>103</v>
      </c>
      <c r="B493" s="3" t="s">
        <v>41</v>
      </c>
      <c r="C493" s="3">
        <v>2019</v>
      </c>
      <c r="D493" s="3">
        <v>4.4370000000000003</v>
      </c>
      <c r="E493" s="3">
        <v>1.0429999999999999</v>
      </c>
      <c r="F493" s="3">
        <v>-0.19900000095367401</v>
      </c>
      <c r="G493" s="3">
        <v>-1.3215858936309799</v>
      </c>
      <c r="H493" s="3">
        <v>0</v>
      </c>
      <c r="I493" s="3">
        <v>-7.1241990000000005E-2</v>
      </c>
      <c r="J493" s="5"/>
      <c r="K493" s="3">
        <v>-8.7148931768865601E-4</v>
      </c>
      <c r="L493" s="3">
        <v>0.98</v>
      </c>
      <c r="M493" s="3">
        <v>0.57399999999999995</v>
      </c>
      <c r="N493" s="3">
        <v>0.24099999999999999</v>
      </c>
      <c r="O493" s="3">
        <v>0.14799999999999999</v>
      </c>
      <c r="P493" s="3">
        <v>8.8999999999999996E-2</v>
      </c>
      <c r="Q493" s="3"/>
    </row>
    <row r="494" spans="1:17" x14ac:dyDescent="0.25">
      <c r="A494" s="3" t="s">
        <v>103</v>
      </c>
      <c r="B494" s="3" t="s">
        <v>41</v>
      </c>
      <c r="C494" s="3">
        <v>2020</v>
      </c>
      <c r="D494" s="3">
        <v>4.7848000529999997</v>
      </c>
      <c r="E494" s="3">
        <v>0.98201870899999999</v>
      </c>
      <c r="F494" s="3">
        <v>0.57299999999999995</v>
      </c>
      <c r="G494" s="3">
        <v>-4.3911006301641402E-2</v>
      </c>
      <c r="H494" s="3">
        <v>-0.48726278543472201</v>
      </c>
      <c r="I494" s="3">
        <v>0.99017743999999996</v>
      </c>
      <c r="J494" s="5"/>
      <c r="K494" s="3">
        <v>-12.520850624914299</v>
      </c>
      <c r="L494" s="3">
        <v>1.0114666219999999</v>
      </c>
      <c r="M494" s="3">
        <v>0.52935069800000001</v>
      </c>
      <c r="N494" s="3">
        <v>0.28358805199999998</v>
      </c>
      <c r="O494" s="3">
        <v>0.15300206799999999</v>
      </c>
      <c r="P494" s="3">
        <v>7.3164991999999998E-2</v>
      </c>
      <c r="Q494" s="3"/>
    </row>
    <row r="495" spans="1:17" x14ac:dyDescent="0.25">
      <c r="A495" s="3" t="s">
        <v>103</v>
      </c>
      <c r="B495" s="3" t="s">
        <v>41</v>
      </c>
      <c r="C495" s="3">
        <v>2021</v>
      </c>
      <c r="D495" s="3">
        <v>4.8540000000000001</v>
      </c>
      <c r="E495" s="3">
        <v>0.91</v>
      </c>
      <c r="F495" s="3">
        <v>6.04186489058036</v>
      </c>
      <c r="G495" s="3">
        <v>1.88</v>
      </c>
      <c r="H495" s="3">
        <v>4.8600000000000003</v>
      </c>
      <c r="I495" s="3">
        <v>6.4240332599999999</v>
      </c>
      <c r="J495" s="5"/>
      <c r="K495" s="3">
        <v>33.447815529277399</v>
      </c>
      <c r="L495" s="3">
        <v>0.63800000000000001</v>
      </c>
      <c r="M495" s="3">
        <v>0.38100000000000001</v>
      </c>
      <c r="N495" s="3">
        <v>0.30199999999999999</v>
      </c>
      <c r="O495" s="3">
        <v>0.153</v>
      </c>
      <c r="P495" s="3">
        <v>4.1000000000000002E-2</v>
      </c>
      <c r="Q495" s="3"/>
    </row>
    <row r="496" spans="1:17" x14ac:dyDescent="0.25">
      <c r="A496" s="3" t="s">
        <v>103</v>
      </c>
      <c r="B496" s="3" t="s">
        <v>41</v>
      </c>
      <c r="C496" s="3">
        <v>2022</v>
      </c>
      <c r="D496" s="3">
        <v>4.9409999999999998</v>
      </c>
      <c r="E496" s="3">
        <v>1.2889999999999999</v>
      </c>
      <c r="F496" s="3">
        <v>4.9947659638103898</v>
      </c>
      <c r="G496" s="3">
        <v>4.6377776804710402</v>
      </c>
      <c r="H496" s="3">
        <v>6.1635763639368903</v>
      </c>
      <c r="I496" s="3">
        <v>4.76857311320755</v>
      </c>
      <c r="J496" s="5"/>
      <c r="K496" s="3">
        <v>37.900904509506198</v>
      </c>
      <c r="L496" s="3">
        <v>0.68200000000000005</v>
      </c>
      <c r="M496" s="3">
        <v>0.55400000000000005</v>
      </c>
      <c r="N496" s="3">
        <v>0.32800000000000001</v>
      </c>
      <c r="O496" s="3">
        <v>0.14699999999999999</v>
      </c>
      <c r="P496" s="3">
        <v>4.5999999999999999E-2</v>
      </c>
      <c r="Q496" s="3"/>
    </row>
    <row r="497" spans="1:17" x14ac:dyDescent="0.25">
      <c r="A497" s="3" t="s">
        <v>103</v>
      </c>
      <c r="B497" s="3" t="s">
        <v>41</v>
      </c>
      <c r="C497" s="3">
        <v>2023</v>
      </c>
      <c r="D497" s="3">
        <v>4.9409999999999998</v>
      </c>
      <c r="E497" s="3">
        <v>1.2809999999999999</v>
      </c>
      <c r="F497" s="3">
        <v>4.4875253890409903</v>
      </c>
      <c r="G497" s="3">
        <v>-0.426361014882293</v>
      </c>
      <c r="H497" s="3">
        <v>5.8615927574036997</v>
      </c>
      <c r="I497" s="3">
        <v>4.6007738304607697</v>
      </c>
      <c r="J497" s="5"/>
      <c r="K497" s="3">
        <v>-9.6887923846192692</v>
      </c>
      <c r="L497" s="3">
        <v>0.95299999999999996</v>
      </c>
      <c r="M497" s="3">
        <v>0.32400000000000001</v>
      </c>
      <c r="N497" s="3">
        <v>0.35099999999999998</v>
      </c>
      <c r="O497" s="3">
        <v>0.13400000000000001</v>
      </c>
      <c r="P497" s="3">
        <v>3.7999999999999999E-2</v>
      </c>
    </row>
    <row r="498" spans="1:17" x14ac:dyDescent="0.25">
      <c r="A498" s="3" t="s">
        <v>104</v>
      </c>
      <c r="B498" s="3" t="s">
        <v>50</v>
      </c>
      <c r="C498" s="3">
        <v>2015</v>
      </c>
      <c r="D498" s="3">
        <v>6.94</v>
      </c>
      <c r="E498" s="3">
        <v>1.33596</v>
      </c>
      <c r="F498" s="3">
        <v>-0.289875358343124</v>
      </c>
      <c r="G498" s="3">
        <v>1.60292220115661</v>
      </c>
      <c r="H498" s="3">
        <v>-2.1372594833374001</v>
      </c>
      <c r="I498" s="3">
        <v>-12.5523014068603</v>
      </c>
      <c r="J498" s="3">
        <v>5.3833336830139098</v>
      </c>
      <c r="K498" s="3">
        <v>7.8086003931355803</v>
      </c>
      <c r="L498" s="3">
        <v>1.36948</v>
      </c>
      <c r="M498" s="3">
        <v>0.89532999999999996</v>
      </c>
      <c r="N498" s="3">
        <v>0.61777000000000004</v>
      </c>
      <c r="O498" s="3">
        <v>0.45900999999999997</v>
      </c>
      <c r="P498" s="3">
        <v>0.28703000000000001</v>
      </c>
      <c r="Q498" s="3"/>
    </row>
    <row r="499" spans="1:17" x14ac:dyDescent="0.25">
      <c r="A499" s="3" t="s">
        <v>104</v>
      </c>
      <c r="B499" s="3" t="s">
        <v>50</v>
      </c>
      <c r="C499" s="3">
        <v>2016</v>
      </c>
      <c r="D499" s="3">
        <v>6.907</v>
      </c>
      <c r="E499" s="3">
        <v>1.4834099999999999</v>
      </c>
      <c r="F499" s="3">
        <v>8.30841064453125E-3</v>
      </c>
      <c r="G499" s="3">
        <v>-0.47579908370971602</v>
      </c>
      <c r="H499" s="3">
        <v>-1.33462750911712</v>
      </c>
      <c r="I499" s="3">
        <v>0.96226048469543402</v>
      </c>
      <c r="J499" s="3">
        <v>-1.23333287239074</v>
      </c>
      <c r="K499" s="3">
        <v>0.71805377720870001</v>
      </c>
      <c r="L499" s="3">
        <v>1.16157</v>
      </c>
      <c r="M499" s="3">
        <v>0.81455</v>
      </c>
      <c r="N499" s="3">
        <v>0.54008</v>
      </c>
      <c r="O499" s="3">
        <v>0.44962999999999997</v>
      </c>
      <c r="P499" s="3">
        <v>0.29754000000000003</v>
      </c>
      <c r="Q499" s="3"/>
    </row>
    <row r="500" spans="1:17" x14ac:dyDescent="0.25">
      <c r="A500" s="3" t="s">
        <v>104</v>
      </c>
      <c r="B500" s="3" t="s">
        <v>50</v>
      </c>
      <c r="C500" s="3">
        <v>2017</v>
      </c>
      <c r="D500" s="3">
        <v>6.9770002370000004</v>
      </c>
      <c r="E500" s="3">
        <v>1.535706639</v>
      </c>
      <c r="F500" s="3">
        <v>0.251</v>
      </c>
      <c r="G500" s="3">
        <v>2.0296940803527801</v>
      </c>
      <c r="H500" s="3">
        <v>-2.07411456108093</v>
      </c>
      <c r="I500" s="3">
        <v>0.32826349139213501</v>
      </c>
      <c r="J500" s="3">
        <v>-0.15187367796897799</v>
      </c>
      <c r="K500" s="3">
        <v>1.03634847344548</v>
      </c>
      <c r="L500" s="3">
        <v>1.5582311149999999</v>
      </c>
      <c r="M500" s="3">
        <v>0.80978262400000001</v>
      </c>
      <c r="N500" s="3">
        <v>0.57311034199999999</v>
      </c>
      <c r="O500" s="3">
        <v>0.42785832299999998</v>
      </c>
      <c r="P500" s="3">
        <v>0.29838815299999999</v>
      </c>
      <c r="Q500" s="3"/>
    </row>
    <row r="501" spans="1:17" x14ac:dyDescent="0.25">
      <c r="A501" s="3" t="s">
        <v>104</v>
      </c>
      <c r="B501" s="3" t="s">
        <v>50</v>
      </c>
      <c r="C501" s="3">
        <v>2018</v>
      </c>
      <c r="D501" s="3">
        <v>6.9770000000000003</v>
      </c>
      <c r="E501" s="3">
        <v>1.448</v>
      </c>
      <c r="F501" s="3">
        <v>0.49</v>
      </c>
      <c r="G501" s="3">
        <v>5.1048116683959899</v>
      </c>
      <c r="H501" s="3">
        <v>-2.0259482860565101</v>
      </c>
      <c r="I501" s="3">
        <v>0.14059530198574</v>
      </c>
      <c r="J501" s="3">
        <v>-1.76609694957733</v>
      </c>
      <c r="K501" s="3">
        <v>0.50430318586743605</v>
      </c>
      <c r="L501" s="3">
        <v>1.583</v>
      </c>
      <c r="M501" s="3">
        <v>0.876</v>
      </c>
      <c r="N501" s="3">
        <v>0.61399999999999999</v>
      </c>
      <c r="O501" s="3">
        <v>0.307</v>
      </c>
      <c r="P501" s="3">
        <v>0.30599999999999999</v>
      </c>
      <c r="Q501" s="3"/>
    </row>
    <row r="502" spans="1:17" x14ac:dyDescent="0.25">
      <c r="A502" s="3" t="s">
        <v>104</v>
      </c>
      <c r="B502" s="3" t="s">
        <v>50</v>
      </c>
      <c r="C502" s="3">
        <v>2019</v>
      </c>
      <c r="D502" s="3">
        <v>7.0209999999999999</v>
      </c>
      <c r="E502" s="3">
        <v>1.4990000000000001</v>
      </c>
      <c r="F502" s="3">
        <v>0.87699997425079301</v>
      </c>
      <c r="G502" s="3">
        <v>1.0851160287857</v>
      </c>
      <c r="H502" s="3">
        <v>-0.66649580001830999</v>
      </c>
      <c r="I502" s="3">
        <v>1.13045394420623</v>
      </c>
      <c r="J502" s="3">
        <v>-1.47957062721252</v>
      </c>
      <c r="K502" s="3">
        <v>2.6380626164293002</v>
      </c>
      <c r="L502" s="3">
        <v>1.5529999999999999</v>
      </c>
      <c r="M502" s="3">
        <v>0.999</v>
      </c>
      <c r="N502" s="3">
        <v>0.51600000000000001</v>
      </c>
      <c r="O502" s="3">
        <v>0.29799999999999999</v>
      </c>
      <c r="P502" s="3">
        <v>0.31</v>
      </c>
      <c r="Q502" s="3"/>
    </row>
    <row r="503" spans="1:17" x14ac:dyDescent="0.25">
      <c r="A503" s="3" t="s">
        <v>104</v>
      </c>
      <c r="B503" s="3" t="s">
        <v>50</v>
      </c>
      <c r="C503" s="3">
        <v>2020</v>
      </c>
      <c r="D503" s="3">
        <v>7.0936999319999998</v>
      </c>
      <c r="E503" s="3">
        <v>1.4468867780000001</v>
      </c>
      <c r="F503" s="3">
        <v>-0.33458462542824402</v>
      </c>
      <c r="G503" s="3">
        <v>-1.0323261246326301</v>
      </c>
      <c r="H503" s="3">
        <v>-1.41101081707113</v>
      </c>
      <c r="I503" s="3">
        <v>0.26620700955390902</v>
      </c>
      <c r="J503" s="3">
        <v>-8.7167477245611504</v>
      </c>
      <c r="K503" s="3">
        <v>0.617681498829035</v>
      </c>
      <c r="L503" s="3">
        <v>1.4705964330000001</v>
      </c>
      <c r="M503" s="3">
        <v>0.97567069500000003</v>
      </c>
      <c r="N503" s="3">
        <v>0.58777993900000003</v>
      </c>
      <c r="O503" s="3">
        <v>0.29542699500000003</v>
      </c>
      <c r="P503" s="3">
        <v>0.37343326199999999</v>
      </c>
      <c r="Q503" s="3"/>
    </row>
    <row r="504" spans="1:17" x14ac:dyDescent="0.25">
      <c r="A504" s="3" t="s">
        <v>104</v>
      </c>
      <c r="B504" s="3" t="s">
        <v>50</v>
      </c>
      <c r="C504" s="3">
        <v>2021</v>
      </c>
      <c r="D504" s="3">
        <v>7.085</v>
      </c>
      <c r="E504" s="3">
        <v>1.6439999999999999</v>
      </c>
      <c r="F504" s="3">
        <v>2.3581430000000001</v>
      </c>
      <c r="G504" s="3">
        <v>12.28661</v>
      </c>
      <c r="H504" s="3">
        <v>-0.253</v>
      </c>
      <c r="I504" s="3">
        <v>1.804</v>
      </c>
      <c r="J504" s="3">
        <v>-0.93081278188263505</v>
      </c>
      <c r="K504" s="3">
        <v>0.65764322632376204</v>
      </c>
      <c r="L504" s="3">
        <v>1.0920000000000001</v>
      </c>
      <c r="M504" s="3">
        <v>0.753</v>
      </c>
      <c r="N504" s="3">
        <v>0.60599999999999998</v>
      </c>
      <c r="O504" s="3">
        <v>0.23799999999999999</v>
      </c>
      <c r="P504" s="3">
        <v>0.36699999999999999</v>
      </c>
      <c r="Q504" s="3"/>
    </row>
    <row r="505" spans="1:17" x14ac:dyDescent="0.25">
      <c r="A505" s="3" t="s">
        <v>104</v>
      </c>
      <c r="B505" s="3" t="s">
        <v>50</v>
      </c>
      <c r="C505" s="3">
        <v>2022</v>
      </c>
      <c r="D505" s="3">
        <v>7.0410000000000004</v>
      </c>
      <c r="E505" s="3">
        <v>2.129</v>
      </c>
      <c r="F505" s="3">
        <v>7.8073750000000004</v>
      </c>
      <c r="G505" s="3">
        <v>41.097695643745901</v>
      </c>
      <c r="H505" s="3">
        <v>6.9016799999999998</v>
      </c>
      <c r="I505" s="3">
        <v>4.68752986144289</v>
      </c>
      <c r="J505" s="3">
        <v>8.7175513366911908</v>
      </c>
      <c r="K505" s="3">
        <v>5.0291593326364401</v>
      </c>
      <c r="L505" s="3">
        <v>1.1659999999999999</v>
      </c>
      <c r="M505" s="3">
        <v>0.77900000000000003</v>
      </c>
      <c r="N505" s="3">
        <v>0.627</v>
      </c>
      <c r="O505" s="3">
        <v>0.19</v>
      </c>
      <c r="P505" s="3">
        <v>0.40799999999999997</v>
      </c>
      <c r="Q505" s="3"/>
    </row>
    <row r="506" spans="1:17" x14ac:dyDescent="0.25">
      <c r="A506" s="3" t="s">
        <v>104</v>
      </c>
      <c r="B506" s="3" t="s">
        <v>50</v>
      </c>
      <c r="C506" s="3">
        <v>2023</v>
      </c>
      <c r="D506" s="3">
        <v>6.9109999999999996</v>
      </c>
      <c r="E506" s="3">
        <v>2.1520000000000001</v>
      </c>
      <c r="F506" s="3">
        <v>6.29962157750247</v>
      </c>
      <c r="G506" s="3">
        <v>6.4278287159194001</v>
      </c>
      <c r="H506" s="3">
        <v>9.8191720279963608</v>
      </c>
      <c r="I506" s="3">
        <v>5.8993727683624098</v>
      </c>
      <c r="J506" s="3">
        <v>-4.1339985744833099</v>
      </c>
      <c r="K506" s="3">
        <v>3.00167704612244</v>
      </c>
      <c r="L506" s="3">
        <v>1.425</v>
      </c>
      <c r="M506" s="3">
        <v>0.53900000000000003</v>
      </c>
      <c r="N506" s="3">
        <v>0.65600000000000003</v>
      </c>
      <c r="O506" s="3">
        <v>0.186</v>
      </c>
      <c r="P506" s="3">
        <v>0.40899999999999997</v>
      </c>
      <c r="Q506" s="3"/>
    </row>
    <row r="507" spans="1:17" x14ac:dyDescent="0.25">
      <c r="A507" s="3" t="s">
        <v>105</v>
      </c>
      <c r="B507" s="3" t="s">
        <v>41</v>
      </c>
      <c r="C507" s="3">
        <v>2015</v>
      </c>
      <c r="D507" s="3">
        <v>7.2779999999999996</v>
      </c>
      <c r="E507" s="3">
        <v>1.2285699999999999</v>
      </c>
      <c r="F507" s="3">
        <v>-0.63248687982559204</v>
      </c>
      <c r="G507" s="3">
        <v>2.3076922893524099</v>
      </c>
      <c r="H507" s="3">
        <v>4.1544046252965899E-2</v>
      </c>
      <c r="I507" s="3">
        <v>0.50162947177886896</v>
      </c>
      <c r="J507" s="3">
        <v>-5.8640418052673304</v>
      </c>
      <c r="K507" s="3">
        <v>2.8425685959932401</v>
      </c>
      <c r="L507" s="3">
        <v>1.22393</v>
      </c>
      <c r="M507" s="3">
        <v>0.91386999999999996</v>
      </c>
      <c r="N507" s="3">
        <v>0.41319</v>
      </c>
      <c r="O507" s="3">
        <v>0.33172000000000001</v>
      </c>
      <c r="P507" s="3">
        <v>7.7850000000000003E-2</v>
      </c>
      <c r="Q507" s="3"/>
    </row>
    <row r="508" spans="1:17" x14ac:dyDescent="0.25">
      <c r="A508" s="3" t="s">
        <v>105</v>
      </c>
      <c r="B508" s="3" t="s">
        <v>41</v>
      </c>
      <c r="C508" s="3">
        <v>2016</v>
      </c>
      <c r="D508" s="3">
        <v>7.2670000000000003</v>
      </c>
      <c r="E508" s="3">
        <v>1.3376600000000001</v>
      </c>
      <c r="F508" s="3">
        <v>-0.54438781738281194</v>
      </c>
      <c r="G508" s="3">
        <v>2.1937184333801198</v>
      </c>
      <c r="H508" s="3">
        <v>-1.2706604003906199</v>
      </c>
      <c r="I508" s="3">
        <v>4.6739149838685899E-2</v>
      </c>
      <c r="J508" s="3">
        <v>-3.61962842941284</v>
      </c>
      <c r="K508" s="3">
        <v>1.03199999999999</v>
      </c>
      <c r="L508" s="3">
        <v>0.99536999999999998</v>
      </c>
      <c r="M508" s="3">
        <v>0.84916999999999998</v>
      </c>
      <c r="N508" s="3">
        <v>0.36431999999999998</v>
      </c>
      <c r="O508" s="3">
        <v>0.32288</v>
      </c>
      <c r="P508" s="3">
        <v>8.7279999999999996E-2</v>
      </c>
      <c r="Q508" s="3"/>
    </row>
    <row r="509" spans="1:17" x14ac:dyDescent="0.25">
      <c r="A509" s="3" t="s">
        <v>105</v>
      </c>
      <c r="B509" s="3" t="s">
        <v>41</v>
      </c>
      <c r="C509" s="3">
        <v>2017</v>
      </c>
      <c r="D509" s="3">
        <v>7.2129998210000004</v>
      </c>
      <c r="E509" s="3">
        <v>1.375382423</v>
      </c>
      <c r="F509" s="3">
        <v>0.24199999999999999</v>
      </c>
      <c r="G509" s="3">
        <v>1.7657719850540099</v>
      </c>
      <c r="H509" s="3">
        <v>4.2061250656843102E-2</v>
      </c>
      <c r="I509" s="3">
        <v>-1.8615201115608201E-2</v>
      </c>
      <c r="J509" s="3">
        <v>1.4465873241424501</v>
      </c>
      <c r="K509" s="3">
        <v>0.15440652466545801</v>
      </c>
      <c r="L509" s="3">
        <v>1.3762899639999999</v>
      </c>
      <c r="M509" s="3">
        <v>0.83840400000000004</v>
      </c>
      <c r="N509" s="3">
        <v>0.40598860399999998</v>
      </c>
      <c r="O509" s="3">
        <v>0.330082655</v>
      </c>
      <c r="P509" s="3">
        <v>8.5242100000000001E-2</v>
      </c>
      <c r="Q509" s="3"/>
    </row>
    <row r="510" spans="1:17" x14ac:dyDescent="0.25">
      <c r="A510" s="3" t="s">
        <v>105</v>
      </c>
      <c r="B510" s="3" t="s">
        <v>41</v>
      </c>
      <c r="C510" s="3">
        <v>2018</v>
      </c>
      <c r="D510" s="3">
        <v>6.8140000000000001</v>
      </c>
      <c r="E510" s="3">
        <v>1.3009999999999999</v>
      </c>
      <c r="F510" s="3">
        <v>0.81</v>
      </c>
      <c r="G510" s="3">
        <v>2.0668554306030198</v>
      </c>
      <c r="H510" s="3">
        <v>0.92491209506988503</v>
      </c>
      <c r="I510" s="3">
        <v>0.681024610996246</v>
      </c>
      <c r="J510" s="3">
        <v>3.3272404670715301</v>
      </c>
      <c r="K510" s="3">
        <v>1.2550895363086401</v>
      </c>
      <c r="L510" s="3">
        <v>1.5589999999999999</v>
      </c>
      <c r="M510" s="3">
        <v>0.88300000000000001</v>
      </c>
      <c r="N510" s="3">
        <v>0.53300000000000003</v>
      </c>
      <c r="O510" s="3">
        <v>0.35399999999999998</v>
      </c>
      <c r="P510" s="3">
        <v>0.27200000000000002</v>
      </c>
      <c r="Q510" s="3"/>
    </row>
    <row r="511" spans="1:17" x14ac:dyDescent="0.25">
      <c r="A511" s="3" t="s">
        <v>105</v>
      </c>
      <c r="B511" s="3" t="s">
        <v>41</v>
      </c>
      <c r="C511" s="3">
        <v>2019</v>
      </c>
      <c r="D511" s="3">
        <v>7.1390000000000002</v>
      </c>
      <c r="E511" s="3">
        <v>1.276</v>
      </c>
      <c r="F511" s="3">
        <v>0.84200000762939398</v>
      </c>
      <c r="G511" s="3">
        <v>-0.450794607400894</v>
      </c>
      <c r="H511" s="3">
        <v>2.0755360126495299</v>
      </c>
      <c r="I511" s="3">
        <v>0.90368396043777399</v>
      </c>
      <c r="J511" s="3">
        <v>-1.1146486997604299</v>
      </c>
      <c r="K511" s="3">
        <v>2.23603818149875</v>
      </c>
      <c r="L511" s="3">
        <v>1.4550000000000001</v>
      </c>
      <c r="M511" s="3">
        <v>1.0289999999999999</v>
      </c>
      <c r="N511" s="3">
        <v>0.371</v>
      </c>
      <c r="O511" s="3">
        <v>0.26100000000000001</v>
      </c>
      <c r="P511" s="3">
        <v>8.2000000000000003E-2</v>
      </c>
      <c r="Q511" s="3"/>
    </row>
    <row r="512" spans="1:17" x14ac:dyDescent="0.25">
      <c r="A512" s="3" t="s">
        <v>105</v>
      </c>
      <c r="B512" s="3" t="s">
        <v>41</v>
      </c>
      <c r="C512" s="3">
        <v>2020</v>
      </c>
      <c r="D512" s="3">
        <v>7.1286001209999998</v>
      </c>
      <c r="E512" s="3">
        <v>1.2164636849999999</v>
      </c>
      <c r="F512" s="3">
        <v>-0.58843030001726304</v>
      </c>
      <c r="G512" s="3">
        <v>0.77727868870089101</v>
      </c>
      <c r="H512" s="3">
        <v>-8.3333337679505296E-3</v>
      </c>
      <c r="I512" s="3">
        <v>-0.142166182398796</v>
      </c>
      <c r="J512" s="3">
        <v>-4.8966083526611301</v>
      </c>
      <c r="K512" s="3">
        <v>0.92697782317731303</v>
      </c>
      <c r="L512" s="3">
        <v>1.4032567739999999</v>
      </c>
      <c r="M512" s="3">
        <v>1.008052945</v>
      </c>
      <c r="N512" s="3">
        <v>0.42069947699999999</v>
      </c>
      <c r="O512" s="3">
        <v>0.26686179599999998</v>
      </c>
      <c r="P512" s="3">
        <v>9.989845E-2</v>
      </c>
      <c r="Q512" s="3"/>
    </row>
    <row r="513" spans="1:17" x14ac:dyDescent="0.25">
      <c r="A513" s="3" t="s">
        <v>105</v>
      </c>
      <c r="B513" s="3" t="s">
        <v>41</v>
      </c>
      <c r="C513" s="3">
        <v>2021</v>
      </c>
      <c r="D513" s="3">
        <v>7.157</v>
      </c>
      <c r="E513" s="3">
        <v>1.3759999999999999</v>
      </c>
      <c r="F513" s="3">
        <v>1.4922880000000001</v>
      </c>
      <c r="G513" s="3">
        <v>5.4073089999999997</v>
      </c>
      <c r="H513" s="3">
        <v>0.99</v>
      </c>
      <c r="I513" s="3">
        <v>1.2450000000000001</v>
      </c>
      <c r="J513" s="3">
        <v>6.8310563145618</v>
      </c>
      <c r="K513" s="3">
        <v>2.12829471719862</v>
      </c>
      <c r="L513" s="3">
        <v>1.0740000000000001</v>
      </c>
      <c r="M513" s="3">
        <v>0.78800000000000003</v>
      </c>
      <c r="N513" s="3">
        <v>0.50900000000000001</v>
      </c>
      <c r="O513" s="3">
        <v>0.20799999999999999</v>
      </c>
      <c r="P513" s="3">
        <v>0.11899999999999999</v>
      </c>
      <c r="Q513" s="3"/>
    </row>
    <row r="514" spans="1:17" x14ac:dyDescent="0.25">
      <c r="A514" s="3" t="s">
        <v>105</v>
      </c>
      <c r="B514" s="3" t="s">
        <v>41</v>
      </c>
      <c r="C514" s="3">
        <v>2022</v>
      </c>
      <c r="D514" s="3">
        <v>7.3639999999999999</v>
      </c>
      <c r="E514" s="3">
        <v>1.8260000000000001</v>
      </c>
      <c r="F514" s="3">
        <v>4.3935969999999998</v>
      </c>
      <c r="G514" s="3">
        <v>10.348907705450999</v>
      </c>
      <c r="H514" s="3">
        <v>4.347448</v>
      </c>
      <c r="I514" s="3">
        <v>3.9395121951219401</v>
      </c>
      <c r="J514" s="3">
        <v>13.061447286338099</v>
      </c>
      <c r="K514" s="3">
        <v>4.2841502877384201</v>
      </c>
      <c r="L514" s="3">
        <v>1.2210000000000001</v>
      </c>
      <c r="M514" s="3">
        <v>0.81799999999999995</v>
      </c>
      <c r="N514" s="3">
        <v>0.56799999999999995</v>
      </c>
      <c r="O514" s="3">
        <v>0.155</v>
      </c>
      <c r="P514" s="3">
        <v>0.14299999999999999</v>
      </c>
      <c r="Q514" s="3"/>
    </row>
    <row r="515" spans="1:17" x14ac:dyDescent="0.25">
      <c r="A515" s="3" t="s">
        <v>105</v>
      </c>
      <c r="B515" s="3" t="s">
        <v>41</v>
      </c>
      <c r="C515" s="3">
        <v>2023</v>
      </c>
      <c r="D515" s="3">
        <v>7.4729999999999999</v>
      </c>
      <c r="E515" s="3">
        <v>1.833</v>
      </c>
      <c r="F515" s="3">
        <v>4.2253521126760898</v>
      </c>
      <c r="G515" s="3">
        <v>4.3190011492047704</v>
      </c>
      <c r="H515" s="3">
        <v>4.6321266715156897</v>
      </c>
      <c r="I515" s="3">
        <v>4.1643667413907499</v>
      </c>
      <c r="J515" s="3">
        <v>1.0398563985451399</v>
      </c>
      <c r="K515" s="3">
        <v>3.7458735891969499</v>
      </c>
      <c r="L515" s="3">
        <v>1.5209999999999999</v>
      </c>
      <c r="M515" s="3">
        <v>0.57699999999999996</v>
      </c>
      <c r="N515" s="3">
        <v>0.56899999999999995</v>
      </c>
      <c r="O515" s="3">
        <v>0.124</v>
      </c>
      <c r="P515" s="3">
        <v>0.158</v>
      </c>
      <c r="Q515" s="3"/>
    </row>
    <row r="516" spans="1:17" x14ac:dyDescent="0.25">
      <c r="A516" s="3" t="s">
        <v>106</v>
      </c>
      <c r="B516" s="3" t="s">
        <v>50</v>
      </c>
      <c r="C516" s="3">
        <v>2015</v>
      </c>
      <c r="D516" s="3">
        <v>5.9480000000000004</v>
      </c>
      <c r="E516" s="3">
        <v>1.2511399999999999</v>
      </c>
      <c r="F516" s="3">
        <v>3.8792017847299499E-2</v>
      </c>
      <c r="G516" s="3">
        <v>-0.810191690921783</v>
      </c>
      <c r="H516" s="3">
        <v>1.10334420204162</v>
      </c>
      <c r="I516" s="3">
        <v>0.68034881353378296</v>
      </c>
      <c r="J516" s="3">
        <v>-2.67662000656127</v>
      </c>
      <c r="K516" s="3">
        <v>0.93159865559110699</v>
      </c>
      <c r="L516" s="3">
        <v>1.19777</v>
      </c>
      <c r="M516" s="3">
        <v>0.95445999999999998</v>
      </c>
      <c r="N516" s="3">
        <v>0.26235999999999998</v>
      </c>
      <c r="O516" s="3">
        <v>0.22822999999999999</v>
      </c>
      <c r="P516" s="3">
        <v>2.9010000000000001E-2</v>
      </c>
      <c r="Q516" s="3"/>
    </row>
    <row r="517" spans="1:17" x14ac:dyDescent="0.25">
      <c r="A517" s="3" t="s">
        <v>106</v>
      </c>
      <c r="B517" s="3" t="s">
        <v>50</v>
      </c>
      <c r="C517" s="3">
        <v>2016</v>
      </c>
      <c r="D517" s="3">
        <v>5.9770000000000003</v>
      </c>
      <c r="E517" s="3">
        <v>1.3549500000000001</v>
      </c>
      <c r="F517" s="3">
        <v>-9.4023294746875694E-2</v>
      </c>
      <c r="G517" s="3">
        <v>-1.6419363021850499</v>
      </c>
      <c r="H517" s="3">
        <v>0.17494474351406</v>
      </c>
      <c r="I517" s="3">
        <v>-28.6194152832031</v>
      </c>
      <c r="J517" s="3">
        <v>-1.9251583814620901</v>
      </c>
      <c r="K517" s="3">
        <v>1.1339999999999999</v>
      </c>
      <c r="L517" s="3">
        <v>1.0416700000000001</v>
      </c>
      <c r="M517" s="3">
        <v>0.85102</v>
      </c>
      <c r="N517" s="3">
        <v>0.18826999999999999</v>
      </c>
      <c r="O517" s="3">
        <v>0.16683999999999999</v>
      </c>
      <c r="P517" s="3">
        <v>2.5559999999999999E-2</v>
      </c>
      <c r="Q517" s="3"/>
    </row>
    <row r="518" spans="1:17" x14ac:dyDescent="0.25">
      <c r="A518" s="3" t="s">
        <v>106</v>
      </c>
      <c r="B518" s="3" t="s">
        <v>50</v>
      </c>
      <c r="C518" s="3">
        <v>2017</v>
      </c>
      <c r="D518" s="3">
        <v>5.9640002250000004</v>
      </c>
      <c r="E518" s="3">
        <v>1.3950666190000001</v>
      </c>
      <c r="F518" s="3">
        <v>1.3260000000000001</v>
      </c>
      <c r="G518" s="3">
        <v>1.7625588178634599</v>
      </c>
      <c r="H518" s="3">
        <v>1.87941575050354</v>
      </c>
      <c r="I518" s="3">
        <v>0.69149541854858398</v>
      </c>
      <c r="J518" s="3">
        <v>2.33684086799621</v>
      </c>
      <c r="K518" s="3">
        <v>0.72675855795281397</v>
      </c>
      <c r="L518" s="3">
        <v>1.444923282</v>
      </c>
      <c r="M518" s="3">
        <v>0.85314434800000005</v>
      </c>
      <c r="N518" s="3">
        <v>0.256450713</v>
      </c>
      <c r="O518" s="3">
        <v>0.17278964799999999</v>
      </c>
      <c r="P518" s="3">
        <v>2.8028091000000002E-2</v>
      </c>
      <c r="Q518" s="3"/>
    </row>
    <row r="519" spans="1:17" x14ac:dyDescent="0.25">
      <c r="A519" s="3" t="s">
        <v>106</v>
      </c>
      <c r="B519" s="3" t="s">
        <v>50</v>
      </c>
      <c r="C519" s="3">
        <v>2018</v>
      </c>
      <c r="D519" s="3">
        <v>6</v>
      </c>
      <c r="E519" s="3">
        <v>1.264</v>
      </c>
      <c r="F519" s="3">
        <v>1.1399999999999999</v>
      </c>
      <c r="G519" s="3">
        <v>2.5647497177124001</v>
      </c>
      <c r="H519" s="3">
        <v>1.2243897914886399</v>
      </c>
      <c r="I519" s="3">
        <v>0.60842692852020197</v>
      </c>
      <c r="J519" s="3">
        <v>3.2882173061370801</v>
      </c>
      <c r="K519" s="3">
        <v>1.06214844555261</v>
      </c>
      <c r="L519" s="3">
        <v>1.5009999999999999</v>
      </c>
      <c r="M519" s="3">
        <v>0.94599999999999995</v>
      </c>
      <c r="N519" s="3">
        <v>0.28100000000000003</v>
      </c>
      <c r="O519" s="3">
        <v>0.13700000000000001</v>
      </c>
      <c r="P519" s="3">
        <v>2.8000000000000001E-2</v>
      </c>
      <c r="Q519" s="3"/>
    </row>
    <row r="520" spans="1:17" x14ac:dyDescent="0.25">
      <c r="A520" s="3" t="s">
        <v>106</v>
      </c>
      <c r="B520" s="3" t="s">
        <v>50</v>
      </c>
      <c r="C520" s="3">
        <v>2019</v>
      </c>
      <c r="D520" s="3">
        <v>6.2229999999999999</v>
      </c>
      <c r="E520" s="3">
        <v>1.294</v>
      </c>
      <c r="F520" s="3">
        <v>0.63400000333786</v>
      </c>
      <c r="G520" s="3">
        <v>0.48491680622100802</v>
      </c>
      <c r="H520" s="3">
        <v>0.76606732606887795</v>
      </c>
      <c r="I520" s="3">
        <v>0.59610909223556496</v>
      </c>
      <c r="J520" s="3">
        <v>0.18491126596927601</v>
      </c>
      <c r="K520" s="3">
        <v>0.80426610717720304</v>
      </c>
      <c r="L520" s="3">
        <v>1.488</v>
      </c>
      <c r="M520" s="3">
        <v>1.0389999999999999</v>
      </c>
      <c r="N520" s="3">
        <v>0.23100000000000001</v>
      </c>
      <c r="O520" s="3">
        <v>0.158</v>
      </c>
      <c r="P520" s="3">
        <v>0.03</v>
      </c>
      <c r="Q520" s="3"/>
    </row>
    <row r="521" spans="1:17" x14ac:dyDescent="0.25">
      <c r="A521" s="3" t="s">
        <v>106</v>
      </c>
      <c r="B521" s="3" t="s">
        <v>50</v>
      </c>
      <c r="C521" s="3">
        <v>2020</v>
      </c>
      <c r="D521" s="3">
        <v>6.3874001500000004</v>
      </c>
      <c r="E521" s="3">
        <v>1.236396074</v>
      </c>
      <c r="F521" s="3">
        <v>-0.13770757391705701</v>
      </c>
      <c r="G521" s="3">
        <v>-8.2081651687621999</v>
      </c>
      <c r="H521" s="3">
        <v>1.4010020655051101</v>
      </c>
      <c r="I521" s="3">
        <v>0.49481078982353199</v>
      </c>
      <c r="J521" s="3">
        <v>56.138980865478501</v>
      </c>
      <c r="K521" s="3">
        <v>1.19581032771562</v>
      </c>
      <c r="L521" s="3">
        <v>1.347296</v>
      </c>
      <c r="M521" s="3">
        <v>1.0225049260000001</v>
      </c>
      <c r="N521" s="3">
        <v>0.32130557300000001</v>
      </c>
      <c r="O521" s="3">
        <v>0.170266211</v>
      </c>
      <c r="P521" s="3">
        <v>4.0145597999999998E-2</v>
      </c>
      <c r="Q521" s="3"/>
    </row>
    <row r="522" spans="1:17" x14ac:dyDescent="0.25">
      <c r="A522" s="3" t="s">
        <v>106</v>
      </c>
      <c r="B522" s="3" t="s">
        <v>50</v>
      </c>
      <c r="C522" s="3">
        <v>2021</v>
      </c>
      <c r="D522" s="3">
        <v>6.4829999999999997</v>
      </c>
      <c r="E522" s="3">
        <v>1.393</v>
      </c>
      <c r="F522" s="3">
        <v>1.873783</v>
      </c>
      <c r="G522" s="3">
        <v>14.08469</v>
      </c>
      <c r="H522" s="3">
        <v>0.57599999999999996</v>
      </c>
      <c r="I522" s="3">
        <v>0.79700000000000004</v>
      </c>
      <c r="J522" s="3">
        <v>6.22</v>
      </c>
      <c r="K522" s="3">
        <v>0.53869242260453598</v>
      </c>
      <c r="L522" s="3">
        <v>0.94</v>
      </c>
      <c r="M522" s="3">
        <v>0.79800000000000004</v>
      </c>
      <c r="N522" s="3">
        <v>0.379</v>
      </c>
      <c r="O522" s="3">
        <v>0.13300000000000001</v>
      </c>
      <c r="P522" s="3">
        <v>4.7E-2</v>
      </c>
      <c r="Q522" s="3"/>
    </row>
    <row r="523" spans="1:17" x14ac:dyDescent="0.25">
      <c r="A523" s="3" t="s">
        <v>106</v>
      </c>
      <c r="B523" s="3" t="s">
        <v>50</v>
      </c>
      <c r="C523" s="3">
        <v>2022</v>
      </c>
      <c r="D523" s="3">
        <v>6.4669999999999996</v>
      </c>
      <c r="E523" s="3">
        <v>1.8340000000000001</v>
      </c>
      <c r="F523" s="3">
        <v>8.2012900000000002</v>
      </c>
      <c r="G523" s="3">
        <v>50.172133535477997</v>
      </c>
      <c r="H523" s="3">
        <v>9.1415570000000006</v>
      </c>
      <c r="I523" s="3">
        <v>2.9187951807229102</v>
      </c>
      <c r="J523" s="3">
        <v>42.7716186252771</v>
      </c>
      <c r="K523" s="3">
        <v>2.9220693098901802</v>
      </c>
      <c r="L523" s="3">
        <v>1.052</v>
      </c>
      <c r="M523" s="3">
        <v>0.80100000000000005</v>
      </c>
      <c r="N523" s="3">
        <v>0.41199999999999998</v>
      </c>
      <c r="O523" s="3">
        <v>8.5000000000000006E-2</v>
      </c>
      <c r="P523" s="3">
        <v>5.8999999999999997E-2</v>
      </c>
      <c r="Q523" s="3"/>
    </row>
    <row r="524" spans="1:17" x14ac:dyDescent="0.25">
      <c r="A524" s="3" t="s">
        <v>106</v>
      </c>
      <c r="B524" s="3" t="s">
        <v>50</v>
      </c>
      <c r="C524" s="3">
        <v>2023</v>
      </c>
      <c r="D524" s="3">
        <v>6.4050000000000002</v>
      </c>
      <c r="E524" s="3">
        <v>1.8320000000000001</v>
      </c>
      <c r="F524" s="3">
        <v>5.6221944219590103</v>
      </c>
      <c r="G524" s="3">
        <v>3.7219050218682401</v>
      </c>
      <c r="H524" s="3">
        <v>10.015158534807201</v>
      </c>
      <c r="I524" s="3">
        <v>4.1533277011522403</v>
      </c>
      <c r="J524" s="3">
        <v>-5.6361607142852597</v>
      </c>
      <c r="K524" s="3">
        <v>5.2919032666820103</v>
      </c>
      <c r="L524" s="3">
        <v>1.365</v>
      </c>
      <c r="M524" s="3">
        <v>0.55900000000000005</v>
      </c>
      <c r="N524" s="3">
        <v>0.438</v>
      </c>
      <c r="O524" s="3">
        <v>9.7000000000000003E-2</v>
      </c>
      <c r="P524" s="3">
        <v>6.3E-2</v>
      </c>
      <c r="Q524" s="3"/>
    </row>
    <row r="525" spans="1:17" x14ac:dyDescent="0.25">
      <c r="A525" s="3" t="s">
        <v>107</v>
      </c>
      <c r="B525" s="3" t="s">
        <v>45</v>
      </c>
      <c r="C525" s="3">
        <v>2015</v>
      </c>
      <c r="D525" s="3">
        <v>5.7089999999999996</v>
      </c>
      <c r="E525" s="3">
        <v>0.81037999999999999</v>
      </c>
      <c r="F525" s="3">
        <v>3.6777267456054599</v>
      </c>
      <c r="G525" s="3">
        <v>-9.0977535247802699</v>
      </c>
      <c r="H525" s="3">
        <v>7.7670159339904696</v>
      </c>
      <c r="I525" s="5"/>
      <c r="J525" s="3">
        <v>-2.7519719600677401</v>
      </c>
      <c r="K525" s="3">
        <v>6.7105432959091402</v>
      </c>
      <c r="L525" s="3">
        <v>1.1510199999999999</v>
      </c>
      <c r="M525" s="3">
        <v>0.68740999999999997</v>
      </c>
      <c r="N525" s="3">
        <v>0.50441999999999998</v>
      </c>
      <c r="O525" s="3">
        <v>0.21229999999999999</v>
      </c>
      <c r="P525" s="3">
        <v>2.299E-2</v>
      </c>
      <c r="Q525" s="3"/>
    </row>
    <row r="526" spans="1:17" x14ac:dyDescent="0.25">
      <c r="A526" s="3" t="s">
        <v>107</v>
      </c>
      <c r="B526" s="3" t="s">
        <v>45</v>
      </c>
      <c r="C526" s="3">
        <v>2016</v>
      </c>
      <c r="D526" s="3">
        <v>5.51</v>
      </c>
      <c r="E526" s="3">
        <v>0.89332999999999996</v>
      </c>
      <c r="F526" s="3">
        <v>2.35259962081909</v>
      </c>
      <c r="G526" s="3">
        <v>-1.38072752952575</v>
      </c>
      <c r="H526" s="3">
        <v>3.9794039726257302</v>
      </c>
      <c r="I526" s="5"/>
      <c r="J526" s="3">
        <v>-0.480067759752273</v>
      </c>
      <c r="K526" s="3">
        <v>4.5372497906056903</v>
      </c>
      <c r="L526" s="3">
        <v>0.96372000000000002</v>
      </c>
      <c r="M526" s="3">
        <v>0.59469000000000005</v>
      </c>
      <c r="N526" s="3">
        <v>0.43597000000000002</v>
      </c>
      <c r="O526" s="3">
        <v>0.22245000000000001</v>
      </c>
      <c r="P526" s="3">
        <v>4.2939999999999999E-2</v>
      </c>
      <c r="Q526" s="3"/>
    </row>
    <row r="527" spans="1:17" x14ac:dyDescent="0.25">
      <c r="A527" s="3" t="s">
        <v>107</v>
      </c>
      <c r="B527" s="3" t="s">
        <v>45</v>
      </c>
      <c r="C527" s="3">
        <v>2017</v>
      </c>
      <c r="D527" s="3">
        <v>5.3109998699999998</v>
      </c>
      <c r="E527" s="3">
        <v>0.92557930899999996</v>
      </c>
      <c r="F527" s="3">
        <v>4.383</v>
      </c>
      <c r="G527" s="3">
        <v>11.1004438400268</v>
      </c>
      <c r="H527" s="3">
        <v>4.46063184738159</v>
      </c>
      <c r="I527" s="5"/>
      <c r="J527" s="3">
        <v>7.0326018333434996</v>
      </c>
      <c r="K527" s="3">
        <v>6.8862390902897701</v>
      </c>
      <c r="L527" s="3">
        <v>1.3682180639999999</v>
      </c>
      <c r="M527" s="3">
        <v>0.641022384</v>
      </c>
      <c r="N527" s="3">
        <v>0.47430723899999999</v>
      </c>
      <c r="O527" s="3">
        <v>0.23381833699999999</v>
      </c>
      <c r="P527" s="3">
        <v>5.5267781000000002E-2</v>
      </c>
      <c r="Q527" s="3"/>
    </row>
    <row r="528" spans="1:17" x14ac:dyDescent="0.25">
      <c r="A528" s="3" t="s">
        <v>107</v>
      </c>
      <c r="B528" s="3" t="s">
        <v>45</v>
      </c>
      <c r="C528" s="3">
        <v>2018</v>
      </c>
      <c r="D528" s="3">
        <v>5.89</v>
      </c>
      <c r="E528" s="3">
        <v>0.81899999999999995</v>
      </c>
      <c r="F528" s="3">
        <v>3.73</v>
      </c>
      <c r="G528" s="3">
        <v>6.30806064605712</v>
      </c>
      <c r="H528" s="3">
        <v>4.0771923065185502</v>
      </c>
      <c r="I528" s="5"/>
      <c r="J528" s="3">
        <v>7.2678942680358798</v>
      </c>
      <c r="K528" s="3">
        <v>5.0576233138917202</v>
      </c>
      <c r="L528" s="3">
        <v>1.4930000000000001</v>
      </c>
      <c r="M528" s="3">
        <v>0.69299999999999995</v>
      </c>
      <c r="N528" s="3">
        <v>0.57499999999999996</v>
      </c>
      <c r="O528" s="3">
        <v>9.6000000000000002E-2</v>
      </c>
      <c r="P528" s="3">
        <v>3.1E-2</v>
      </c>
      <c r="Q528" s="3"/>
    </row>
    <row r="529" spans="1:17" x14ac:dyDescent="0.25">
      <c r="A529" s="3" t="s">
        <v>107</v>
      </c>
      <c r="B529" s="3" t="s">
        <v>45</v>
      </c>
      <c r="C529" s="3">
        <v>2019</v>
      </c>
      <c r="D529" s="3">
        <v>5.89</v>
      </c>
      <c r="E529" s="3">
        <v>0.83099999999999996</v>
      </c>
      <c r="F529" s="3">
        <v>3.91000008583068</v>
      </c>
      <c r="G529" s="3">
        <v>1.2991257905960001</v>
      </c>
      <c r="H529" s="3">
        <v>6.3281960487365696</v>
      </c>
      <c r="I529" s="5"/>
      <c r="J529" s="3">
        <v>3.1135299205779998</v>
      </c>
      <c r="K529" s="3">
        <v>3.10284567425462</v>
      </c>
      <c r="L529" s="3">
        <v>1.478</v>
      </c>
      <c r="M529" s="3">
        <v>0.83099999999999996</v>
      </c>
      <c r="N529" s="3">
        <v>0.49</v>
      </c>
      <c r="O529" s="3">
        <v>0.107</v>
      </c>
      <c r="P529" s="3">
        <v>2.8000000000000001E-2</v>
      </c>
      <c r="Q529" s="3"/>
    </row>
    <row r="530" spans="1:17" x14ac:dyDescent="0.25">
      <c r="A530" s="3" t="s">
        <v>107</v>
      </c>
      <c r="B530" s="3" t="s">
        <v>45</v>
      </c>
      <c r="C530" s="3">
        <v>2020</v>
      </c>
      <c r="D530" s="3">
        <v>5.8898000719999999</v>
      </c>
      <c r="E530" s="3">
        <v>0.77905839700000001</v>
      </c>
      <c r="F530" s="3">
        <v>5.2267777929350103</v>
      </c>
      <c r="G530" s="3">
        <v>2.1374416351318302</v>
      </c>
      <c r="H530" s="3">
        <v>10.8287858963012</v>
      </c>
      <c r="I530" s="5"/>
      <c r="J530" s="3">
        <v>0.96933197975158603</v>
      </c>
      <c r="K530" s="3">
        <v>4.2851221624342202</v>
      </c>
      <c r="L530" s="3">
        <v>1.408289194</v>
      </c>
      <c r="M530" s="3">
        <v>0.78843408800000003</v>
      </c>
      <c r="N530" s="3">
        <v>0.55312460699999999</v>
      </c>
      <c r="O530" s="3">
        <v>0.116268493</v>
      </c>
      <c r="P530" s="3">
        <v>3.0147785E-2</v>
      </c>
      <c r="Q530" s="3"/>
    </row>
    <row r="531" spans="1:17" x14ac:dyDescent="0.25">
      <c r="A531" s="3" t="s">
        <v>107</v>
      </c>
      <c r="B531" s="3" t="s">
        <v>45</v>
      </c>
      <c r="C531" s="3">
        <v>2021</v>
      </c>
      <c r="D531" s="3">
        <v>6.3090000000000002</v>
      </c>
      <c r="E531" s="3">
        <v>0.89100000000000001</v>
      </c>
      <c r="F531" s="3">
        <v>5.8599936648716904</v>
      </c>
      <c r="G531" s="3">
        <v>5.31372157311751</v>
      </c>
      <c r="H531" s="3">
        <v>6.7193198600140702</v>
      </c>
      <c r="I531" s="5"/>
      <c r="J531" s="3">
        <v>12.939378502292399</v>
      </c>
      <c r="K531" s="3">
        <v>7.4274237024352496</v>
      </c>
      <c r="L531" s="3">
        <v>0.93200000000000005</v>
      </c>
      <c r="M531" s="3">
        <v>0.59899999999999998</v>
      </c>
      <c r="N531" s="3">
        <v>0.61799999999999999</v>
      </c>
      <c r="O531" s="3">
        <v>9.9000000000000005E-2</v>
      </c>
      <c r="P531" s="3">
        <v>3.5000000000000003E-2</v>
      </c>
      <c r="Q531" s="3"/>
    </row>
    <row r="532" spans="1:17" x14ac:dyDescent="0.25">
      <c r="A532" s="3" t="s">
        <v>107</v>
      </c>
      <c r="B532" s="3" t="s">
        <v>45</v>
      </c>
      <c r="C532" s="3">
        <v>2022</v>
      </c>
      <c r="D532" s="3">
        <v>5.85</v>
      </c>
      <c r="E532" s="3">
        <v>1.296</v>
      </c>
      <c r="F532" s="3">
        <v>10.349568839127199</v>
      </c>
      <c r="G532" s="3">
        <v>7.7923599157837202</v>
      </c>
      <c r="H532" s="3">
        <v>11.9535428847168</v>
      </c>
      <c r="I532" s="5"/>
      <c r="J532" s="3">
        <v>20.124793264170702</v>
      </c>
      <c r="K532" s="3">
        <v>7.4259143342573601</v>
      </c>
      <c r="L532" s="3">
        <v>1.0449999999999999</v>
      </c>
      <c r="M532" s="3">
        <v>0.64600000000000002</v>
      </c>
      <c r="N532" s="3">
        <v>0.56699999999999995</v>
      </c>
      <c r="O532" s="3">
        <v>0.08</v>
      </c>
      <c r="P532" s="3">
        <v>5.2999999999999999E-2</v>
      </c>
      <c r="Q532" s="3"/>
    </row>
    <row r="533" spans="1:17" x14ac:dyDescent="0.25">
      <c r="A533" s="3" t="s">
        <v>107</v>
      </c>
      <c r="B533" s="3" t="s">
        <v>45</v>
      </c>
      <c r="C533" s="3">
        <v>2023</v>
      </c>
      <c r="D533" s="3">
        <v>5.7030000000000003</v>
      </c>
      <c r="E533" s="3">
        <v>1.3049999999999999</v>
      </c>
      <c r="F533" s="3">
        <v>6.6189369372382201</v>
      </c>
      <c r="G533" s="5"/>
      <c r="H533" s="3">
        <v>10.093386209543199</v>
      </c>
      <c r="I533" s="5"/>
      <c r="J533" s="5"/>
      <c r="K533" s="3">
        <v>9.1999929155892506</v>
      </c>
      <c r="L533" s="3">
        <v>1.329</v>
      </c>
      <c r="M533" s="3">
        <v>0.41099999999999998</v>
      </c>
      <c r="N533" s="3">
        <v>0.58699999999999997</v>
      </c>
      <c r="O533" s="3">
        <v>7.9000000000000001E-2</v>
      </c>
      <c r="P533" s="3">
        <v>3.9E-2</v>
      </c>
      <c r="Q533" s="3"/>
    </row>
    <row r="534" spans="1:17" x14ac:dyDescent="0.25">
      <c r="A534" s="3" t="s">
        <v>108</v>
      </c>
      <c r="B534" s="3" t="s">
        <v>74</v>
      </c>
      <c r="C534" s="3">
        <v>2015</v>
      </c>
      <c r="D534" s="3">
        <v>5.9870000000000001</v>
      </c>
      <c r="E534" s="3">
        <v>1.27074</v>
      </c>
      <c r="F534" s="3">
        <v>0.789517402648925</v>
      </c>
      <c r="G534" s="3">
        <v>4.1678015142679201E-2</v>
      </c>
      <c r="H534" s="3">
        <v>3.08365678787231</v>
      </c>
      <c r="I534" s="3">
        <v>1.0212129999999999</v>
      </c>
      <c r="J534" s="3">
        <v>-2.2879061698913499</v>
      </c>
      <c r="K534" s="3">
        <v>2.1118634028777601</v>
      </c>
      <c r="L534" s="3">
        <v>1.25712</v>
      </c>
      <c r="M534" s="3">
        <v>0.99111000000000005</v>
      </c>
      <c r="N534" s="3">
        <v>0.49614999999999998</v>
      </c>
      <c r="O534" s="3">
        <v>0.10705000000000001</v>
      </c>
      <c r="P534" s="3">
        <v>0.18060000000000001</v>
      </c>
      <c r="Q534" s="3"/>
    </row>
    <row r="535" spans="1:17" x14ac:dyDescent="0.25">
      <c r="A535" s="3" t="s">
        <v>108</v>
      </c>
      <c r="B535" s="3" t="s">
        <v>74</v>
      </c>
      <c r="C535" s="3">
        <v>2016</v>
      </c>
      <c r="D535" s="3">
        <v>5.9210000000000003</v>
      </c>
      <c r="E535" s="3">
        <v>1.3800699999999999</v>
      </c>
      <c r="F535" s="3">
        <v>-0.116668701171875</v>
      </c>
      <c r="G535" s="3">
        <v>-0.133320197463035</v>
      </c>
      <c r="H535" s="3">
        <v>1.6915247440338099</v>
      </c>
      <c r="I535" s="3">
        <v>0.40401120000000001</v>
      </c>
      <c r="J535" s="3">
        <v>-3.49971151351928</v>
      </c>
      <c r="K535" s="3">
        <v>0.42003780340230701</v>
      </c>
      <c r="L535" s="3">
        <v>1.06054</v>
      </c>
      <c r="M535" s="3">
        <v>0.91491</v>
      </c>
      <c r="N535" s="3">
        <v>0.46761000000000003</v>
      </c>
      <c r="O535" s="3">
        <v>0.10224</v>
      </c>
      <c r="P535" s="3">
        <v>0.18984999999999999</v>
      </c>
      <c r="Q535" s="3"/>
    </row>
    <row r="536" spans="1:17" x14ac:dyDescent="0.25">
      <c r="A536" s="3" t="s">
        <v>108</v>
      </c>
      <c r="B536" s="3" t="s">
        <v>74</v>
      </c>
      <c r="C536" s="3">
        <v>2017</v>
      </c>
      <c r="D536" s="3">
        <v>5.920000076</v>
      </c>
      <c r="E536" s="3">
        <v>1.416915178</v>
      </c>
      <c r="F536" s="3">
        <v>0.46800000000000003</v>
      </c>
      <c r="G536" s="3">
        <v>-0.15853099524974801</v>
      </c>
      <c r="H536" s="3">
        <v>0.72107905149459794</v>
      </c>
      <c r="I536" s="3">
        <v>-6.723353E-2</v>
      </c>
      <c r="J536" s="3">
        <v>2.34005427360534</v>
      </c>
      <c r="K536" s="3">
        <v>-7.4693011721826102E-2</v>
      </c>
      <c r="L536" s="3">
        <v>1.436337829</v>
      </c>
      <c r="M536" s="3">
        <v>0.91347587100000005</v>
      </c>
      <c r="N536" s="3">
        <v>0.50562554599999998</v>
      </c>
      <c r="O536" s="3">
        <v>0.120572768</v>
      </c>
      <c r="P536" s="3">
        <v>0.16376073699999999</v>
      </c>
      <c r="Q536" s="3"/>
    </row>
    <row r="537" spans="1:17" x14ac:dyDescent="0.25">
      <c r="A537" s="3" t="s">
        <v>108</v>
      </c>
      <c r="B537" s="3" t="s">
        <v>74</v>
      </c>
      <c r="C537" s="3">
        <v>2018</v>
      </c>
      <c r="D537" s="3">
        <v>5.915</v>
      </c>
      <c r="E537" s="3">
        <v>1.294</v>
      </c>
      <c r="F537" s="3">
        <v>0.98</v>
      </c>
      <c r="G537" s="3">
        <v>-0.117000199854373</v>
      </c>
      <c r="H537" s="3">
        <v>1.4074184894561701</v>
      </c>
      <c r="I537" s="3">
        <v>0.19290309999999999</v>
      </c>
      <c r="J537" s="3">
        <v>2.5143296718597399</v>
      </c>
      <c r="K537" s="3">
        <v>4.9832562589653198E-3</v>
      </c>
      <c r="L537" s="3">
        <v>1.462</v>
      </c>
      <c r="M537" s="3">
        <v>0.98799999999999999</v>
      </c>
      <c r="N537" s="3">
        <v>0.55300000000000005</v>
      </c>
      <c r="O537" s="3">
        <v>7.9000000000000001E-2</v>
      </c>
      <c r="P537" s="3">
        <v>0.15</v>
      </c>
      <c r="Q537" s="3"/>
    </row>
    <row r="538" spans="1:17" x14ac:dyDescent="0.25">
      <c r="A538" s="3" t="s">
        <v>108</v>
      </c>
      <c r="B538" s="3" t="s">
        <v>74</v>
      </c>
      <c r="C538" s="3">
        <v>2019</v>
      </c>
      <c r="D538" s="3">
        <v>5.8860000000000001</v>
      </c>
      <c r="E538" s="3">
        <v>1.327</v>
      </c>
      <c r="F538" s="3">
        <v>0.47699999809265098</v>
      </c>
      <c r="G538" s="3">
        <v>1.3677190542221001</v>
      </c>
      <c r="H538" s="3">
        <v>0.21908807614539999</v>
      </c>
      <c r="I538" s="3">
        <v>0.45480880000000001</v>
      </c>
      <c r="J538" s="3">
        <v>4.1177468299865696</v>
      </c>
      <c r="K538" s="3">
        <v>0.64081482145882596</v>
      </c>
      <c r="L538" s="3">
        <v>1.419</v>
      </c>
      <c r="M538" s="3">
        <v>1.0880000000000001</v>
      </c>
      <c r="N538" s="3">
        <v>0.44500000000000001</v>
      </c>
      <c r="O538" s="3">
        <v>6.9000000000000006E-2</v>
      </c>
      <c r="P538" s="3">
        <v>0.14000000000000001</v>
      </c>
      <c r="Q538" s="3"/>
    </row>
    <row r="539" spans="1:17" x14ac:dyDescent="0.25">
      <c r="A539" s="3" t="s">
        <v>108</v>
      </c>
      <c r="B539" s="3" t="s">
        <v>74</v>
      </c>
      <c r="C539" s="3">
        <v>2020</v>
      </c>
      <c r="D539" s="3">
        <v>5.8708000179999997</v>
      </c>
      <c r="E539" s="3">
        <v>1.26672411</v>
      </c>
      <c r="F539" s="3">
        <v>-1.6369291210303099E-2</v>
      </c>
      <c r="G539" s="3">
        <v>-0.385692962693926</v>
      </c>
      <c r="H539" s="3">
        <v>1.2025117625586601</v>
      </c>
      <c r="I539" s="3">
        <v>0.1139894</v>
      </c>
      <c r="J539" s="3">
        <v>2.99885702133178</v>
      </c>
      <c r="K539" s="3">
        <v>0.91994771448942603</v>
      </c>
      <c r="L539" s="3">
        <v>1.3323386909999999</v>
      </c>
      <c r="M539" s="3">
        <v>1.072881341</v>
      </c>
      <c r="N539" s="3">
        <v>0.495465875</v>
      </c>
      <c r="O539" s="3">
        <v>3.5711779999999999E-2</v>
      </c>
      <c r="P539" s="3">
        <v>0.18143963799999999</v>
      </c>
      <c r="Q539" s="3"/>
    </row>
    <row r="540" spans="1:17" x14ac:dyDescent="0.25">
      <c r="A540" s="3" t="s">
        <v>108</v>
      </c>
      <c r="B540" s="3" t="s">
        <v>74</v>
      </c>
      <c r="C540" s="3">
        <v>2021</v>
      </c>
      <c r="D540" s="3">
        <v>5.94</v>
      </c>
      <c r="E540" s="3">
        <v>1.389</v>
      </c>
      <c r="F540" s="3">
        <v>-0.2333528</v>
      </c>
      <c r="G540" s="3">
        <v>3.958663</v>
      </c>
      <c r="H540" s="3">
        <v>-0.05</v>
      </c>
      <c r="I540" s="3">
        <v>-0.73299999999999998</v>
      </c>
      <c r="J540" s="3">
        <v>4.7503958663221901</v>
      </c>
      <c r="K540" s="3">
        <v>-0.87562675268752599</v>
      </c>
      <c r="L540" s="3">
        <v>0.94899999999999995</v>
      </c>
      <c r="M540" s="3">
        <v>0.83799999999999997</v>
      </c>
      <c r="N540" s="3">
        <v>0.504</v>
      </c>
      <c r="O540" s="3">
        <v>0.02</v>
      </c>
      <c r="P540" s="3">
        <v>0.192</v>
      </c>
      <c r="Q540" s="3"/>
    </row>
    <row r="541" spans="1:17" x14ac:dyDescent="0.25">
      <c r="A541" s="3" t="s">
        <v>108</v>
      </c>
      <c r="B541" s="3" t="s">
        <v>74</v>
      </c>
      <c r="C541" s="3">
        <v>2022</v>
      </c>
      <c r="D541" s="3">
        <v>6.0389999999999997</v>
      </c>
      <c r="E541" s="3">
        <v>1.835</v>
      </c>
      <c r="F541" s="3">
        <v>2.5083329999999999</v>
      </c>
      <c r="G541" s="3">
        <v>17.137692780051101</v>
      </c>
      <c r="H541" s="3">
        <v>4.9016339999999996</v>
      </c>
      <c r="I541" s="3">
        <v>0.33632286995515198</v>
      </c>
      <c r="J541" s="3">
        <v>8.4334473705147595</v>
      </c>
      <c r="K541" s="3">
        <v>0.243869778803953</v>
      </c>
      <c r="L541" s="3">
        <v>1.089</v>
      </c>
      <c r="M541" s="3">
        <v>0.86599999999999999</v>
      </c>
      <c r="N541" s="3">
        <v>0.53700000000000003</v>
      </c>
      <c r="O541" s="3">
        <v>7.0000000000000001E-3</v>
      </c>
      <c r="P541" s="3">
        <v>0.218</v>
      </c>
      <c r="Q541" s="3"/>
    </row>
    <row r="542" spans="1:17" x14ac:dyDescent="0.25">
      <c r="A542" s="3" t="s">
        <v>108</v>
      </c>
      <c r="B542" s="3" t="s">
        <v>74</v>
      </c>
      <c r="C542" s="3">
        <v>2023</v>
      </c>
      <c r="D542" s="3">
        <v>6.1289999999999996</v>
      </c>
      <c r="E542" s="3">
        <v>1.825</v>
      </c>
      <c r="F542" s="3">
        <v>3.2681336593316299</v>
      </c>
      <c r="G542" s="3">
        <v>-5.80371139126453</v>
      </c>
      <c r="H542" s="3">
        <v>8.0567964262922906</v>
      </c>
      <c r="I542" s="3">
        <v>2.7192156582329199</v>
      </c>
      <c r="J542" s="3">
        <v>4.3737048074625902</v>
      </c>
      <c r="K542" s="3">
        <v>3.6486878680005801</v>
      </c>
      <c r="L542" s="3">
        <v>1.3959999999999999</v>
      </c>
      <c r="M542" s="3">
        <v>0.622</v>
      </c>
      <c r="N542" s="3">
        <v>0.55600000000000005</v>
      </c>
      <c r="O542" s="3">
        <v>8.9999999999999993E-3</v>
      </c>
      <c r="P542" s="3">
        <v>0.20699999999999999</v>
      </c>
      <c r="Q542" s="3"/>
    </row>
    <row r="543" spans="1:17" x14ac:dyDescent="0.25">
      <c r="A543" s="3" t="s">
        <v>109</v>
      </c>
      <c r="B543" s="3" t="s">
        <v>41</v>
      </c>
      <c r="C543" s="3">
        <v>2015</v>
      </c>
      <c r="D543" s="3">
        <v>5.1920000000000002</v>
      </c>
      <c r="E543" s="3">
        <v>0.90198</v>
      </c>
      <c r="F543" s="3">
        <v>-0.87205451726913397</v>
      </c>
      <c r="G543" s="3">
        <v>0.56995660066604603</v>
      </c>
      <c r="H543" s="3">
        <v>1.12389695644378</v>
      </c>
      <c r="I543" s="3">
        <v>-0.69235402345657304</v>
      </c>
      <c r="J543" s="3">
        <v>-9.9315214157104492</v>
      </c>
      <c r="K543" s="3">
        <v>2.1696129907519501</v>
      </c>
      <c r="L543" s="3">
        <v>1.05392</v>
      </c>
      <c r="M543" s="3">
        <v>0.69638999999999995</v>
      </c>
      <c r="N543" s="3">
        <v>0.40661000000000003</v>
      </c>
      <c r="O543" s="3">
        <v>0.11053</v>
      </c>
      <c r="P543" s="3">
        <v>0.14293</v>
      </c>
      <c r="Q543" s="3"/>
    </row>
    <row r="544" spans="1:17" x14ac:dyDescent="0.25">
      <c r="A544" s="3" t="s">
        <v>109</v>
      </c>
      <c r="B544" s="3" t="s">
        <v>41</v>
      </c>
      <c r="C544" s="3">
        <v>2016</v>
      </c>
      <c r="D544" s="3">
        <v>5.3029999999999999</v>
      </c>
      <c r="E544" s="3">
        <v>0.99673</v>
      </c>
      <c r="F544" s="3">
        <v>-0.77736234664916903</v>
      </c>
      <c r="G544" s="3">
        <v>1.1575905084609901</v>
      </c>
      <c r="H544" s="3">
        <v>-3.4759495258331299</v>
      </c>
      <c r="I544" s="3">
        <v>0.61175560951232899</v>
      </c>
      <c r="J544" s="3">
        <v>-8.7676343917846609</v>
      </c>
      <c r="K544" s="3">
        <v>1.36230943885824</v>
      </c>
      <c r="L544" s="3">
        <v>0.86216000000000004</v>
      </c>
      <c r="M544" s="3">
        <v>0.60711999999999999</v>
      </c>
      <c r="N544" s="3">
        <v>0.36022999999999999</v>
      </c>
      <c r="O544" s="3">
        <v>0.14262</v>
      </c>
      <c r="P544" s="3">
        <v>0.13297</v>
      </c>
      <c r="Q544" s="3"/>
    </row>
    <row r="545" spans="1:17" x14ac:dyDescent="0.25">
      <c r="A545" s="3" t="s">
        <v>109</v>
      </c>
      <c r="B545" s="3" t="s">
        <v>41</v>
      </c>
      <c r="C545" s="3">
        <v>2017</v>
      </c>
      <c r="D545" s="3">
        <v>5.3359999660000001</v>
      </c>
      <c r="E545" s="3">
        <v>0.99101239399999996</v>
      </c>
      <c r="F545" s="3">
        <v>3.3239999999999998</v>
      </c>
      <c r="G545" s="3">
        <v>2.79576468467712</v>
      </c>
      <c r="H545" s="3">
        <v>-0.41203051805496199</v>
      </c>
      <c r="I545" s="3">
        <v>4.7364721298217702</v>
      </c>
      <c r="J545" s="3">
        <v>4.1149392127990696</v>
      </c>
      <c r="K545" s="3">
        <v>1.677</v>
      </c>
      <c r="L545" s="3">
        <v>1.2390888929999999</v>
      </c>
      <c r="M545" s="3">
        <v>0.60459005799999999</v>
      </c>
      <c r="N545" s="3">
        <v>0.41842114899999999</v>
      </c>
      <c r="O545" s="3">
        <v>0.17217046</v>
      </c>
      <c r="P545" s="3">
        <v>0.119803272</v>
      </c>
      <c r="Q545" s="3"/>
    </row>
    <row r="546" spans="1:17" x14ac:dyDescent="0.25">
      <c r="A546" s="3" t="s">
        <v>109</v>
      </c>
      <c r="B546" s="3" t="s">
        <v>41</v>
      </c>
      <c r="C546" s="3">
        <v>2018</v>
      </c>
      <c r="D546" s="3">
        <v>5.1609999999999996</v>
      </c>
      <c r="E546" s="3">
        <v>0.82199999999999995</v>
      </c>
      <c r="F546" s="3">
        <v>4.46</v>
      </c>
      <c r="G546" s="3">
        <v>3.5252938270568799</v>
      </c>
      <c r="H546" s="3">
        <v>3.2338907718658398</v>
      </c>
      <c r="I546" s="3">
        <v>4.6024703979492099</v>
      </c>
      <c r="J546" s="3">
        <v>7.5299110412597603</v>
      </c>
      <c r="K546" s="3">
        <v>1.71326848746519</v>
      </c>
      <c r="L546" s="3">
        <v>1.2649999999999999</v>
      </c>
      <c r="M546" s="3">
        <v>0.64500000000000002</v>
      </c>
      <c r="N546" s="3">
        <v>0.46800000000000003</v>
      </c>
      <c r="O546" s="3">
        <v>0.13</v>
      </c>
      <c r="P546" s="3">
        <v>0.13400000000000001</v>
      </c>
      <c r="Q546" s="3"/>
    </row>
    <row r="547" spans="1:17" x14ac:dyDescent="0.25">
      <c r="A547" s="3" t="s">
        <v>109</v>
      </c>
      <c r="B547" s="3" t="s">
        <v>41</v>
      </c>
      <c r="C547" s="3">
        <v>2019</v>
      </c>
      <c r="D547" s="3">
        <v>4.9059999999999997</v>
      </c>
      <c r="E547" s="3">
        <v>0.83699999999999997</v>
      </c>
      <c r="F547" s="3">
        <v>0.67699998617172197</v>
      </c>
      <c r="G547" s="3">
        <v>1.54916667938232</v>
      </c>
      <c r="H547" s="3">
        <v>0.27750229835510198</v>
      </c>
      <c r="I547" s="3">
        <v>1.0408246517181301</v>
      </c>
      <c r="J547" s="3">
        <v>-1.46856081485748</v>
      </c>
      <c r="K547" s="3">
        <v>1.67087285701854</v>
      </c>
      <c r="L547" s="3">
        <v>1.2250000000000001</v>
      </c>
      <c r="M547" s="3">
        <v>0.81499999999999995</v>
      </c>
      <c r="N547" s="3">
        <v>0.38300000000000001</v>
      </c>
      <c r="O547" s="3">
        <v>0.11</v>
      </c>
      <c r="P547" s="3">
        <v>0.13</v>
      </c>
      <c r="Q547" s="3"/>
    </row>
    <row r="548" spans="1:17" x14ac:dyDescent="0.25">
      <c r="A548" s="3" t="s">
        <v>109</v>
      </c>
      <c r="B548" s="3" t="s">
        <v>41</v>
      </c>
      <c r="C548" s="3">
        <v>2020</v>
      </c>
      <c r="D548" s="3">
        <v>4.6333999629999996</v>
      </c>
      <c r="E548" s="3">
        <v>0.78517919800000002</v>
      </c>
      <c r="F548" s="3">
        <v>0.33329435062869101</v>
      </c>
      <c r="G548" s="3">
        <v>-1.8183751366760099</v>
      </c>
      <c r="H548" s="3">
        <v>2.32772660255432</v>
      </c>
      <c r="I548" s="3">
        <v>0.18226803839206601</v>
      </c>
      <c r="J548" s="3">
        <v>-7.5156893730163503</v>
      </c>
      <c r="K548" s="3">
        <v>-0.469818444653675</v>
      </c>
      <c r="L548" s="3">
        <v>1.140118599</v>
      </c>
      <c r="M548" s="3">
        <v>0.77762472599999999</v>
      </c>
      <c r="N548" s="3">
        <v>0.42485508300000002</v>
      </c>
      <c r="O548" s="3">
        <v>9.1494769000000004E-2</v>
      </c>
      <c r="P548" s="3">
        <v>0.15187862499999999</v>
      </c>
      <c r="Q548" s="3"/>
    </row>
    <row r="549" spans="1:17" x14ac:dyDescent="0.25">
      <c r="A549" s="3" t="s">
        <v>109</v>
      </c>
      <c r="B549" s="3" t="s">
        <v>41</v>
      </c>
      <c r="C549" s="3">
        <v>2021</v>
      </c>
      <c r="D549" s="3">
        <v>4.3949999999999996</v>
      </c>
      <c r="E549" s="3">
        <v>0.89</v>
      </c>
      <c r="F549" s="3">
        <v>1.34689571037621</v>
      </c>
      <c r="G549" s="3">
        <v>1.56</v>
      </c>
      <c r="H549" s="3">
        <v>0.1</v>
      </c>
      <c r="I549" s="3">
        <v>1.76503033645888</v>
      </c>
      <c r="J549" s="3">
        <v>12.5267714397755</v>
      </c>
      <c r="K549" s="3">
        <v>1.2786634449929899</v>
      </c>
      <c r="L549" s="3">
        <v>0.68500000000000005</v>
      </c>
      <c r="M549" s="3">
        <v>0.58299999999999996</v>
      </c>
      <c r="N549" s="3">
        <v>0.45500000000000002</v>
      </c>
      <c r="O549" s="3">
        <v>7.9000000000000001E-2</v>
      </c>
      <c r="P549" s="3">
        <v>0.15</v>
      </c>
      <c r="Q549" s="3"/>
    </row>
    <row r="550" spans="1:17" x14ac:dyDescent="0.25">
      <c r="A550" s="3" t="s">
        <v>109</v>
      </c>
      <c r="B550" s="3" t="s">
        <v>41</v>
      </c>
      <c r="C550" s="3">
        <v>2022</v>
      </c>
      <c r="D550" s="3">
        <v>4.1520000000000001</v>
      </c>
      <c r="E550" s="3">
        <v>1.3240000000000001</v>
      </c>
      <c r="F550" s="3">
        <v>4.2291556889711801</v>
      </c>
      <c r="G550" s="3">
        <v>6.6171499637615998</v>
      </c>
      <c r="H550" s="3">
        <v>3.4383740441629498</v>
      </c>
      <c r="I550" s="3">
        <v>3.2213700935184102</v>
      </c>
      <c r="J550" s="3">
        <v>13.973796200113901</v>
      </c>
      <c r="K550" s="3">
        <v>2.5886524822695001</v>
      </c>
      <c r="L550" s="3">
        <v>0.72399999999999998</v>
      </c>
      <c r="M550" s="3">
        <v>0.67500000000000004</v>
      </c>
      <c r="N550" s="3">
        <v>0.47599999999999998</v>
      </c>
      <c r="O550" s="3">
        <v>5.8000000000000003E-2</v>
      </c>
      <c r="P550" s="3">
        <v>0.2</v>
      </c>
      <c r="Q550" s="3"/>
    </row>
    <row r="551" spans="1:17" x14ac:dyDescent="0.25">
      <c r="A551" s="3" t="s">
        <v>109</v>
      </c>
      <c r="B551" s="3" t="s">
        <v>41</v>
      </c>
      <c r="C551" s="3">
        <v>2023</v>
      </c>
      <c r="D551" s="3">
        <v>4.12</v>
      </c>
      <c r="E551" s="3">
        <v>1.292</v>
      </c>
      <c r="F551" s="3">
        <v>2.0848698632713401</v>
      </c>
      <c r="G551" s="3">
        <v>4.4471546856433504</v>
      </c>
      <c r="H551" s="3">
        <v>0.58134845758003395</v>
      </c>
      <c r="I551" s="3">
        <v>2.29552650553308</v>
      </c>
      <c r="J551" s="5"/>
      <c r="K551" s="3">
        <v>2.6267541650715498</v>
      </c>
      <c r="L551" s="3">
        <v>0.98</v>
      </c>
      <c r="M551" s="3">
        <v>0.438</v>
      </c>
      <c r="N551" s="3">
        <v>0.51700000000000002</v>
      </c>
      <c r="O551" s="3">
        <v>5.6000000000000001E-2</v>
      </c>
      <c r="P551" s="3">
        <v>0.17299999999999999</v>
      </c>
      <c r="Q551" s="3"/>
    </row>
    <row r="552" spans="1:17" x14ac:dyDescent="0.25">
      <c r="A552" s="3" t="s">
        <v>110</v>
      </c>
      <c r="B552" s="3" t="s">
        <v>111</v>
      </c>
      <c r="C552" s="3">
        <v>2015</v>
      </c>
      <c r="D552" s="3">
        <v>5.8550000000000004</v>
      </c>
      <c r="E552" s="3">
        <v>1.1225400000000001</v>
      </c>
      <c r="F552" s="3">
        <v>6.72047996520996</v>
      </c>
      <c r="G552" s="3">
        <v>4.0808801651000897</v>
      </c>
      <c r="H552" s="3">
        <v>6.5605001449584899</v>
      </c>
      <c r="I552" s="3">
        <v>7.6728754500000003</v>
      </c>
      <c r="J552" s="3">
        <v>-20.5207805633544</v>
      </c>
      <c r="K552" s="3">
        <v>1.8232692771568599</v>
      </c>
      <c r="L552" s="3">
        <v>1.1224099999999999</v>
      </c>
      <c r="M552" s="3">
        <v>0.64368000000000003</v>
      </c>
      <c r="N552" s="3">
        <v>0.51649</v>
      </c>
      <c r="O552" s="3">
        <v>0.11827</v>
      </c>
      <c r="P552" s="3">
        <v>8.4540000000000004E-2</v>
      </c>
      <c r="Q552" s="3"/>
    </row>
    <row r="553" spans="1:17" x14ac:dyDescent="0.25">
      <c r="A553" s="3" t="s">
        <v>110</v>
      </c>
      <c r="B553" s="3" t="s">
        <v>111</v>
      </c>
      <c r="C553" s="3">
        <v>2016</v>
      </c>
      <c r="D553" s="3">
        <v>5.9189999999999996</v>
      </c>
      <c r="E553" s="3">
        <v>1.22943</v>
      </c>
      <c r="F553" s="3">
        <v>14.590358734130801</v>
      </c>
      <c r="G553" s="3">
        <v>11.594799995422299</v>
      </c>
      <c r="H553" s="3">
        <v>12.7875003814697</v>
      </c>
      <c r="I553" s="3">
        <v>15.398985980000001</v>
      </c>
      <c r="J553" s="3">
        <v>16.837345123291001</v>
      </c>
      <c r="K553" s="3">
        <v>13.638603384776699</v>
      </c>
      <c r="L553" s="3">
        <v>0.95543999999999996</v>
      </c>
      <c r="M553" s="3">
        <v>0.57386000000000004</v>
      </c>
      <c r="N553" s="3">
        <v>0.4052</v>
      </c>
      <c r="O553" s="3">
        <v>0.15010999999999999</v>
      </c>
      <c r="P553" s="3">
        <v>0.11132</v>
      </c>
      <c r="Q553" s="3"/>
    </row>
    <row r="554" spans="1:17" x14ac:dyDescent="0.25">
      <c r="A554" s="3" t="s">
        <v>110</v>
      </c>
      <c r="B554" s="3" t="s">
        <v>111</v>
      </c>
      <c r="C554" s="3">
        <v>2017</v>
      </c>
      <c r="D554" s="3">
        <v>5.8189997670000002</v>
      </c>
      <c r="E554" s="3">
        <v>1.2845562699999999</v>
      </c>
      <c r="F554" s="3">
        <v>7.4290000000000003</v>
      </c>
      <c r="G554" s="3">
        <v>0.75390996682557498</v>
      </c>
      <c r="H554" s="3">
        <v>8.58</v>
      </c>
      <c r="I554" s="3">
        <v>6.9642073299999998</v>
      </c>
      <c r="J554" s="3">
        <v>15.2923212051391</v>
      </c>
      <c r="K554" s="3">
        <v>11.2112359737945</v>
      </c>
      <c r="L554" s="3">
        <v>1.384369016</v>
      </c>
      <c r="M554" s="3">
        <v>0.60604155100000001</v>
      </c>
      <c r="N554" s="3">
        <v>0.437454283</v>
      </c>
      <c r="O554" s="3">
        <v>0.201964423</v>
      </c>
      <c r="P554" s="3">
        <v>0.119282886</v>
      </c>
      <c r="Q554" s="3"/>
    </row>
    <row r="555" spans="1:17" x14ac:dyDescent="0.25">
      <c r="A555" s="3" t="s">
        <v>110</v>
      </c>
      <c r="B555" s="3" t="s">
        <v>111</v>
      </c>
      <c r="C555" s="3">
        <v>2018</v>
      </c>
      <c r="D555" s="3">
        <v>5.79</v>
      </c>
      <c r="E555" s="3">
        <v>1.143</v>
      </c>
      <c r="F555" s="3">
        <v>6.02</v>
      </c>
      <c r="G555" s="3">
        <v>0.57077055798189702</v>
      </c>
      <c r="H555" s="3">
        <v>4.7300000000000004</v>
      </c>
      <c r="I555" s="3">
        <v>6.1928276999999996</v>
      </c>
      <c r="J555" s="3">
        <v>18.962652206420898</v>
      </c>
      <c r="K555" s="3">
        <v>9.2055145110820007</v>
      </c>
      <c r="L555" s="3">
        <v>1.516</v>
      </c>
      <c r="M555" s="3">
        <v>0.63100000000000001</v>
      </c>
      <c r="N555" s="3">
        <v>0.45400000000000001</v>
      </c>
      <c r="O555" s="3">
        <v>0.14799999999999999</v>
      </c>
      <c r="P555" s="3">
        <v>0.121</v>
      </c>
      <c r="Q555" s="3"/>
    </row>
    <row r="556" spans="1:17" x14ac:dyDescent="0.25">
      <c r="A556" s="3" t="s">
        <v>110</v>
      </c>
      <c r="B556" s="3" t="s">
        <v>111</v>
      </c>
      <c r="C556" s="3">
        <v>2019</v>
      </c>
      <c r="D556" s="3">
        <v>5.8090000000000002</v>
      </c>
      <c r="E556" s="3">
        <v>1.173</v>
      </c>
      <c r="F556" s="3">
        <v>5.2439999580383301</v>
      </c>
      <c r="G556" s="3">
        <v>1.31882560686683</v>
      </c>
      <c r="H556" s="3">
        <v>8.0897290805334396</v>
      </c>
      <c r="I556" s="3">
        <v>7.4156825399999997</v>
      </c>
      <c r="J556" s="3">
        <v>5.0941481590270996</v>
      </c>
      <c r="K556" s="3">
        <v>7.6333134984208302</v>
      </c>
      <c r="L556" s="3">
        <v>1.508</v>
      </c>
      <c r="M556" s="3">
        <v>0.72899999999999998</v>
      </c>
      <c r="N556" s="3">
        <v>0.41</v>
      </c>
      <c r="O556" s="3">
        <v>0.14599999999999999</v>
      </c>
      <c r="P556" s="3">
        <v>9.6000000000000002E-2</v>
      </c>
      <c r="Q556" s="3"/>
    </row>
    <row r="557" spans="1:17" x14ac:dyDescent="0.25">
      <c r="A557" s="3" t="s">
        <v>110</v>
      </c>
      <c r="B557" s="3" t="s">
        <v>111</v>
      </c>
      <c r="C557" s="3">
        <v>2020</v>
      </c>
      <c r="D557" s="3">
        <v>6.0578999519999996</v>
      </c>
      <c r="E557" s="3">
        <v>1.1225942369999999</v>
      </c>
      <c r="F557" s="3">
        <v>6.7490018381599697</v>
      </c>
      <c r="G557" s="3">
        <v>2.2890192561593299</v>
      </c>
      <c r="H557" s="3">
        <v>10.4417036534857</v>
      </c>
      <c r="I557" s="3">
        <v>7.4343716200000003</v>
      </c>
      <c r="J557" s="3">
        <v>-7.9301581382751403</v>
      </c>
      <c r="K557" s="3">
        <v>0.479913585785883</v>
      </c>
      <c r="L557" s="3">
        <v>1.453267694</v>
      </c>
      <c r="M557" s="3">
        <v>0.698788941</v>
      </c>
      <c r="N557" s="3">
        <v>0.49743214200000002</v>
      </c>
      <c r="O557" s="3">
        <v>0.15371379299999999</v>
      </c>
      <c r="P557" s="3">
        <v>0.11046368600000001</v>
      </c>
      <c r="Q557" s="3"/>
    </row>
    <row r="558" spans="1:17" x14ac:dyDescent="0.25">
      <c r="A558" s="3" t="s">
        <v>110</v>
      </c>
      <c r="B558" s="3" t="s">
        <v>111</v>
      </c>
      <c r="C558" s="3">
        <v>2021</v>
      </c>
      <c r="D558" s="3">
        <v>6.1520000000000001</v>
      </c>
      <c r="E558" s="3">
        <v>1.23</v>
      </c>
      <c r="F558" s="3">
        <v>8.0020000000000007</v>
      </c>
      <c r="G558" s="3">
        <v>6.5012329400379398</v>
      </c>
      <c r="H558" s="3">
        <v>10.770985037104699</v>
      </c>
      <c r="I558" s="3">
        <v>7.9884009300000001</v>
      </c>
      <c r="J558" s="3">
        <v>32.456323629701899</v>
      </c>
      <c r="K558" s="3">
        <v>13.9300750522063</v>
      </c>
      <c r="L558" s="3">
        <v>1.103</v>
      </c>
      <c r="M558" s="3">
        <v>0.52700000000000002</v>
      </c>
      <c r="N558" s="3">
        <v>0.57299999999999995</v>
      </c>
      <c r="O558" s="3">
        <v>0.14299999999999999</v>
      </c>
      <c r="P558" s="3">
        <v>0.13200000000000001</v>
      </c>
      <c r="Q558" s="3"/>
    </row>
    <row r="559" spans="1:17" x14ac:dyDescent="0.25">
      <c r="A559" s="3" t="s">
        <v>110</v>
      </c>
      <c r="B559" s="3" t="s">
        <v>111</v>
      </c>
      <c r="C559" s="3">
        <v>2022</v>
      </c>
      <c r="D559" s="3">
        <v>6.234</v>
      </c>
      <c r="E559" s="3">
        <v>1.6679999999999999</v>
      </c>
      <c r="F559" s="3">
        <v>14.355580324917</v>
      </c>
      <c r="G559" s="3">
        <v>11.530010544020501</v>
      </c>
      <c r="H559" s="3">
        <v>19.183599999999998</v>
      </c>
      <c r="I559" s="3">
        <v>15.1281229980781</v>
      </c>
      <c r="J559" s="3">
        <v>29.820262792977601</v>
      </c>
      <c r="K559" s="3">
        <v>14.1484836845966</v>
      </c>
      <c r="L559" s="3">
        <v>1.22</v>
      </c>
      <c r="M559" s="3">
        <v>0.61099999999999999</v>
      </c>
      <c r="N559" s="3">
        <v>0.58399999999999996</v>
      </c>
      <c r="O559" s="3">
        <v>0.13400000000000001</v>
      </c>
      <c r="P559" s="3">
        <v>0.157</v>
      </c>
      <c r="Q559" s="3"/>
    </row>
    <row r="560" spans="1:17" x14ac:dyDescent="0.25">
      <c r="A560" s="3" t="s">
        <v>110</v>
      </c>
      <c r="B560" s="3" t="s">
        <v>111</v>
      </c>
      <c r="C560" s="3">
        <v>2023</v>
      </c>
      <c r="D560" s="3">
        <v>6.1440000000000001</v>
      </c>
      <c r="E560" s="3">
        <v>1.6639999999999999</v>
      </c>
      <c r="F560" s="3">
        <v>14.7168014554676</v>
      </c>
      <c r="G560" s="5"/>
      <c r="H560" s="3">
        <v>15.0795222068237</v>
      </c>
      <c r="I560" s="3">
        <v>14.943799905405699</v>
      </c>
      <c r="J560" s="5"/>
      <c r="K560" s="3">
        <v>9.3462282398452601</v>
      </c>
      <c r="L560" s="3">
        <v>1.4910000000000001</v>
      </c>
      <c r="M560" s="3">
        <v>0.38900000000000001</v>
      </c>
      <c r="N560" s="3">
        <v>0.628</v>
      </c>
      <c r="O560" s="3">
        <v>0.13600000000000001</v>
      </c>
      <c r="P560" s="3">
        <v>0.14899999999999999</v>
      </c>
      <c r="Q560" s="3"/>
    </row>
    <row r="561" spans="1:17" x14ac:dyDescent="0.25">
      <c r="A561" s="3" t="s">
        <v>112</v>
      </c>
      <c r="B561" s="3" t="s">
        <v>43</v>
      </c>
      <c r="C561" s="3">
        <v>2015</v>
      </c>
      <c r="D561" s="3">
        <v>4.4189999999999996</v>
      </c>
      <c r="E561" s="3">
        <v>0.36470999999999998</v>
      </c>
      <c r="F561" s="3">
        <v>6.5907716751098597</v>
      </c>
      <c r="G561" s="3">
        <v>3.1900000572204501</v>
      </c>
      <c r="H561" s="3">
        <v>11.386846542358301</v>
      </c>
      <c r="I561" s="5"/>
      <c r="J561" s="5"/>
      <c r="K561" s="3">
        <v>10.0246063692093</v>
      </c>
      <c r="L561" s="3">
        <v>0.99875999999999998</v>
      </c>
      <c r="M561" s="3">
        <v>0.41435</v>
      </c>
      <c r="N561" s="3">
        <v>0.42215000000000003</v>
      </c>
      <c r="O561" s="3">
        <v>0.37541999999999998</v>
      </c>
      <c r="P561" s="3">
        <v>5.8389999999999997E-2</v>
      </c>
      <c r="Q561" s="3"/>
    </row>
    <row r="562" spans="1:17" x14ac:dyDescent="0.25">
      <c r="A562" s="3" t="s">
        <v>112</v>
      </c>
      <c r="B562" s="3" t="s">
        <v>43</v>
      </c>
      <c r="C562" s="3">
        <v>2016</v>
      </c>
      <c r="D562" s="3">
        <v>4.3559999999999999</v>
      </c>
      <c r="E562" s="3">
        <v>0.52266999999999997</v>
      </c>
      <c r="F562" s="3">
        <v>6.3273210525512598</v>
      </c>
      <c r="G562" s="3">
        <v>1.6499999761581401</v>
      </c>
      <c r="H562" s="3">
        <v>10.0824432373046</v>
      </c>
      <c r="I562" s="5"/>
      <c r="J562" s="5"/>
      <c r="K562" s="3">
        <v>5.5510309611531197</v>
      </c>
      <c r="L562" s="3">
        <v>0.76239999999999997</v>
      </c>
      <c r="M562" s="3">
        <v>0.30147000000000002</v>
      </c>
      <c r="N562" s="3">
        <v>0.40576000000000001</v>
      </c>
      <c r="O562" s="3">
        <v>0.41327999999999998</v>
      </c>
      <c r="P562" s="3">
        <v>6.6860000000000003E-2</v>
      </c>
      <c r="Q562" s="3"/>
    </row>
    <row r="563" spans="1:17" x14ac:dyDescent="0.25">
      <c r="A563" s="3" t="s">
        <v>112</v>
      </c>
      <c r="B563" s="3" t="s">
        <v>43</v>
      </c>
      <c r="C563" s="3">
        <v>2017</v>
      </c>
      <c r="D563" s="3">
        <v>4.5529999730000004</v>
      </c>
      <c r="E563" s="3">
        <v>0.56047946199999998</v>
      </c>
      <c r="F563" s="3">
        <v>7.9850000000000003</v>
      </c>
      <c r="G563" s="3">
        <v>3.1199998855590798</v>
      </c>
      <c r="H563" s="3">
        <v>13.374490737915</v>
      </c>
      <c r="I563" s="5"/>
      <c r="J563" s="5"/>
      <c r="K563" s="3">
        <v>10.9419588727357</v>
      </c>
      <c r="L563" s="3">
        <v>1.0679507260000001</v>
      </c>
      <c r="M563" s="3">
        <v>0.30998835000000002</v>
      </c>
      <c r="N563" s="3">
        <v>0.45276376600000001</v>
      </c>
      <c r="O563" s="3">
        <v>0.44486030900000001</v>
      </c>
      <c r="P563" s="3">
        <v>6.4641319000000003E-2</v>
      </c>
      <c r="Q563" s="3"/>
    </row>
    <row r="564" spans="1:17" x14ac:dyDescent="0.25">
      <c r="A564" s="3" t="s">
        <v>112</v>
      </c>
      <c r="B564" s="3" t="s">
        <v>43</v>
      </c>
      <c r="C564" s="3">
        <v>2018</v>
      </c>
      <c r="D564" s="3">
        <v>4.41</v>
      </c>
      <c r="E564" s="3">
        <v>0.49299999999999999</v>
      </c>
      <c r="F564" s="3">
        <v>4.6900000000000004</v>
      </c>
      <c r="G564" s="3">
        <v>12.762671470641999</v>
      </c>
      <c r="H564" s="3">
        <v>1.5506441593170099</v>
      </c>
      <c r="I564" s="5"/>
      <c r="J564" s="3">
        <v>0.83688205480575495</v>
      </c>
      <c r="K564" s="3">
        <v>2.4226400097148502</v>
      </c>
      <c r="L564" s="3">
        <v>1.048</v>
      </c>
      <c r="M564" s="3">
        <v>0.45400000000000001</v>
      </c>
      <c r="N564" s="3">
        <v>0.504</v>
      </c>
      <c r="O564" s="3">
        <v>0.35199999999999998</v>
      </c>
      <c r="P564" s="3">
        <v>5.5E-2</v>
      </c>
      <c r="Q564" s="3"/>
    </row>
    <row r="565" spans="1:17" x14ac:dyDescent="0.25">
      <c r="A565" s="3" t="s">
        <v>112</v>
      </c>
      <c r="B565" s="3" t="s">
        <v>43</v>
      </c>
      <c r="C565" s="3">
        <v>2019</v>
      </c>
      <c r="D565" s="3">
        <v>4.5090000000000003</v>
      </c>
      <c r="E565" s="3">
        <v>0.51200000000000001</v>
      </c>
      <c r="F565" s="3">
        <v>5.2039999961853001</v>
      </c>
      <c r="G565" s="3">
        <v>4.59476470947265</v>
      </c>
      <c r="H565" s="3">
        <v>7.9649071693420401</v>
      </c>
      <c r="I565" s="5"/>
      <c r="J565" s="3">
        <v>1.19024169445037</v>
      </c>
      <c r="K565" s="3">
        <v>3.9610897038613802</v>
      </c>
      <c r="L565" s="3">
        <v>0.98299999999999998</v>
      </c>
      <c r="M565" s="3">
        <v>0.58099999999999996</v>
      </c>
      <c r="N565" s="3">
        <v>0.43099999999999999</v>
      </c>
      <c r="O565" s="3">
        <v>0.372</v>
      </c>
      <c r="P565" s="3">
        <v>5.2999999999999999E-2</v>
      </c>
      <c r="Q565" s="3"/>
    </row>
    <row r="566" spans="1:17" x14ac:dyDescent="0.25">
      <c r="A566" s="3" t="s">
        <v>112</v>
      </c>
      <c r="B566" s="3" t="s">
        <v>43</v>
      </c>
      <c r="C566" s="3">
        <v>2020</v>
      </c>
      <c r="D566" s="3">
        <v>4.5830001830000002</v>
      </c>
      <c r="E566" s="3">
        <v>0.47641339900000002</v>
      </c>
      <c r="F566" s="3">
        <v>5.4048146718454202</v>
      </c>
      <c r="G566" s="3">
        <v>0.51500823202134804</v>
      </c>
      <c r="H566" s="3">
        <v>9.1287307739257795</v>
      </c>
      <c r="I566" s="5"/>
      <c r="J566" s="3">
        <v>0.14242565626305501</v>
      </c>
      <c r="K566" s="3">
        <v>8.1895233405043903</v>
      </c>
      <c r="L566" s="3">
        <v>0.90507775499999998</v>
      </c>
      <c r="M566" s="3">
        <v>0.53631275899999997</v>
      </c>
      <c r="N566" s="3">
        <v>0.51918053600000003</v>
      </c>
      <c r="O566" s="3">
        <v>0.39390209300000001</v>
      </c>
      <c r="P566" s="3">
        <v>6.7201077999999997E-2</v>
      </c>
      <c r="Q566" s="3"/>
    </row>
    <row r="567" spans="1:17" x14ac:dyDescent="0.25">
      <c r="A567" s="3" t="s">
        <v>112</v>
      </c>
      <c r="B567" s="3" t="s">
        <v>43</v>
      </c>
      <c r="C567" s="3">
        <v>2021</v>
      </c>
      <c r="D567" s="3">
        <v>4.6070000000000002</v>
      </c>
      <c r="E567" s="3">
        <v>0.60299999999999998</v>
      </c>
      <c r="F567" s="3">
        <v>6.1109091637816499</v>
      </c>
      <c r="G567" s="3">
        <v>4.7696311837014997</v>
      </c>
      <c r="H567" s="3">
        <v>8.4454083821496102</v>
      </c>
      <c r="I567" s="5"/>
      <c r="J567" s="3">
        <v>7.4176699933792802</v>
      </c>
      <c r="K567" s="3">
        <v>5.0045464434697804</v>
      </c>
      <c r="L567" s="3">
        <v>0.50800000000000001</v>
      </c>
      <c r="M567" s="3">
        <v>0.38500000000000001</v>
      </c>
      <c r="N567" s="3">
        <v>0.48299999999999998</v>
      </c>
      <c r="O567" s="3">
        <v>0.375</v>
      </c>
      <c r="P567" s="3">
        <v>7.2999999999999995E-2</v>
      </c>
      <c r="Q567" s="3"/>
    </row>
    <row r="568" spans="1:17" x14ac:dyDescent="0.25">
      <c r="A568" s="3" t="s">
        <v>112</v>
      </c>
      <c r="B568" s="3" t="s">
        <v>43</v>
      </c>
      <c r="C568" s="3">
        <v>2022</v>
      </c>
      <c r="D568" s="3">
        <v>4.5430000000000001</v>
      </c>
      <c r="E568" s="3">
        <v>1.032</v>
      </c>
      <c r="F568" s="3">
        <v>7.65687456104604</v>
      </c>
      <c r="G568" s="5"/>
      <c r="H568" s="3">
        <v>12.2462145704867</v>
      </c>
      <c r="I568" s="5"/>
      <c r="J568" s="5"/>
      <c r="K568" s="3">
        <v>3.7167662938472898</v>
      </c>
      <c r="L568" s="3">
        <v>0.60499999999999998</v>
      </c>
      <c r="M568" s="3">
        <v>0.40100000000000002</v>
      </c>
      <c r="N568" s="3">
        <v>0.44</v>
      </c>
      <c r="O568" s="3">
        <v>0.32200000000000001</v>
      </c>
      <c r="P568" s="3">
        <v>8.2000000000000003E-2</v>
      </c>
      <c r="Q568" s="3"/>
    </row>
    <row r="569" spans="1:17" x14ac:dyDescent="0.25">
      <c r="A569" s="3" t="s">
        <v>112</v>
      </c>
      <c r="B569" s="3" t="s">
        <v>43</v>
      </c>
      <c r="C569" s="3">
        <v>2023</v>
      </c>
      <c r="D569" s="3">
        <v>4.4870000000000001</v>
      </c>
      <c r="E569" s="3">
        <v>1.0509999999999999</v>
      </c>
      <c r="F569" s="3">
        <v>7.6749999999999998</v>
      </c>
      <c r="G569" s="5"/>
      <c r="H569" s="3">
        <v>9.6720863187470396</v>
      </c>
      <c r="I569" s="5"/>
      <c r="J569" s="5"/>
      <c r="K569" s="3">
        <v>7.3212430269489497</v>
      </c>
      <c r="L569" s="3">
        <v>0.88100000000000001</v>
      </c>
      <c r="M569" s="3">
        <v>0.19</v>
      </c>
      <c r="N569" s="3">
        <v>0.41799999999999998</v>
      </c>
      <c r="O569" s="3">
        <v>0.29099999999999998</v>
      </c>
      <c r="P569" s="3">
        <v>5.5E-2</v>
      </c>
      <c r="Q569" s="3"/>
    </row>
    <row r="570" spans="1:17" x14ac:dyDescent="0.25">
      <c r="A570" s="3" t="s">
        <v>113</v>
      </c>
      <c r="B570" s="3" t="s">
        <v>39</v>
      </c>
      <c r="C570" s="3">
        <v>2015</v>
      </c>
      <c r="D570" s="3">
        <v>5.5890000000000004</v>
      </c>
      <c r="E570" s="3">
        <v>0.80147999999999997</v>
      </c>
      <c r="F570" s="3">
        <v>-0.53371286247999306</v>
      </c>
      <c r="G570" s="5"/>
      <c r="H570" s="5"/>
      <c r="I570" s="3">
        <v>-0.74452298879623402</v>
      </c>
      <c r="J570" s="3">
        <v>2.6600375175475999</v>
      </c>
      <c r="K570" s="3">
        <v>0.19826293489528499</v>
      </c>
      <c r="L570" s="3">
        <v>0.81198000000000004</v>
      </c>
      <c r="M570" s="3">
        <v>0.63131999999999999</v>
      </c>
      <c r="N570" s="3">
        <v>0.24748999999999999</v>
      </c>
      <c r="O570" s="3">
        <v>0.28310000000000002</v>
      </c>
      <c r="P570" s="3">
        <v>4.7410000000000001E-2</v>
      </c>
      <c r="Q570" s="3"/>
    </row>
    <row r="571" spans="1:17" x14ac:dyDescent="0.25">
      <c r="A571" s="3" t="s">
        <v>113</v>
      </c>
      <c r="B571" s="3" t="s">
        <v>39</v>
      </c>
      <c r="C571" s="3">
        <v>2016</v>
      </c>
      <c r="D571" s="3">
        <v>5.4009999999999998</v>
      </c>
      <c r="E571" s="3">
        <v>0.90144999999999997</v>
      </c>
      <c r="F571" s="3">
        <v>0.26828832051512302</v>
      </c>
      <c r="G571" s="5"/>
      <c r="H571" s="5"/>
      <c r="I571" s="3">
        <v>-2.6025695800781201</v>
      </c>
      <c r="J571" s="3">
        <v>-6.58925026655197E-2</v>
      </c>
      <c r="K571" s="3">
        <v>0.44194455604660199</v>
      </c>
      <c r="L571" s="3">
        <v>0.66061999999999999</v>
      </c>
      <c r="M571" s="3">
        <v>0.54</v>
      </c>
      <c r="N571" s="3">
        <v>0.14396</v>
      </c>
      <c r="O571" s="3">
        <v>0.27992</v>
      </c>
      <c r="P571" s="3">
        <v>6.547E-2</v>
      </c>
      <c r="Q571" s="3"/>
    </row>
    <row r="572" spans="1:17" x14ac:dyDescent="0.25">
      <c r="A572" s="3" t="s">
        <v>113</v>
      </c>
      <c r="B572" s="3" t="s">
        <v>39</v>
      </c>
      <c r="C572" s="3">
        <v>2017</v>
      </c>
      <c r="D572" s="3">
        <v>5.2789998049999998</v>
      </c>
      <c r="E572" s="3">
        <v>0.95148438199999996</v>
      </c>
      <c r="F572" s="3">
        <v>1.48947556189796</v>
      </c>
      <c r="G572" s="5"/>
      <c r="H572" s="5"/>
      <c r="I572" s="5"/>
      <c r="J572" s="3">
        <v>0.59298396110534601</v>
      </c>
      <c r="K572" s="3">
        <v>1.379</v>
      </c>
      <c r="L572" s="3">
        <v>1.1378535030000001</v>
      </c>
      <c r="M572" s="3">
        <v>0.54145204999999996</v>
      </c>
      <c r="N572" s="3">
        <v>0.26028794100000002</v>
      </c>
      <c r="O572" s="3">
        <v>0.31993144800000001</v>
      </c>
      <c r="P572" s="3">
        <v>5.7471618000000002E-2</v>
      </c>
      <c r="Q572" s="3"/>
    </row>
    <row r="573" spans="1:17" x14ac:dyDescent="0.25">
      <c r="A573" s="3" t="s">
        <v>113</v>
      </c>
      <c r="B573" s="3" t="s">
        <v>39</v>
      </c>
      <c r="C573" s="3">
        <v>2018</v>
      </c>
      <c r="D573" s="3">
        <v>5.6619999999999999</v>
      </c>
      <c r="E573" s="3">
        <v>0.85499999999999998</v>
      </c>
      <c r="F573" s="3">
        <v>1.0545742156604101</v>
      </c>
      <c r="G573" s="5"/>
      <c r="H573" s="5"/>
      <c r="I573" s="5"/>
      <c r="J573" s="3">
        <v>1.35442495346069</v>
      </c>
      <c r="K573" s="3">
        <v>1.0130303119975499</v>
      </c>
      <c r="L573" s="3">
        <v>1.23</v>
      </c>
      <c r="M573" s="3">
        <v>0.57799999999999996</v>
      </c>
      <c r="N573" s="3">
        <v>0.44800000000000001</v>
      </c>
      <c r="O573" s="3">
        <v>0.27400000000000002</v>
      </c>
      <c r="P573" s="3">
        <v>2.3E-2</v>
      </c>
      <c r="Q573" s="3"/>
    </row>
    <row r="574" spans="1:17" x14ac:dyDescent="0.25">
      <c r="A574" s="3" t="s">
        <v>113</v>
      </c>
      <c r="B574" s="3" t="s">
        <v>39</v>
      </c>
      <c r="C574" s="3">
        <v>2019</v>
      </c>
      <c r="D574" s="3">
        <v>6.1</v>
      </c>
      <c r="E574" s="3">
        <v>0.88200000000000001</v>
      </c>
      <c r="F574" s="3">
        <v>2.6784937820680002</v>
      </c>
      <c r="G574" s="5"/>
      <c r="H574" s="5"/>
      <c r="I574" s="5"/>
      <c r="J574" s="3">
        <v>0.92695587873458796</v>
      </c>
      <c r="K574" s="3">
        <v>0.64351698142686098</v>
      </c>
      <c r="L574" s="3">
        <v>1.232</v>
      </c>
      <c r="M574" s="3">
        <v>0.75800000000000001</v>
      </c>
      <c r="N574" s="3">
        <v>0.48899999999999999</v>
      </c>
      <c r="O574" s="3">
        <v>0.26200000000000001</v>
      </c>
      <c r="P574" s="3">
        <v>6.0000000000000001E-3</v>
      </c>
      <c r="Q574" s="3"/>
    </row>
    <row r="575" spans="1:17" x14ac:dyDescent="0.25">
      <c r="A575" s="3" t="s">
        <v>113</v>
      </c>
      <c r="B575" s="3" t="s">
        <v>39</v>
      </c>
      <c r="C575" s="3">
        <v>2020</v>
      </c>
      <c r="D575" s="3">
        <v>6.3252000810000002</v>
      </c>
      <c r="E575" s="3">
        <v>0.84048134100000005</v>
      </c>
      <c r="F575" s="3">
        <v>0.19479969509613199</v>
      </c>
      <c r="G575" s="5"/>
      <c r="H575" s="5"/>
      <c r="I575" s="5"/>
      <c r="J575" s="3">
        <v>-0.57655349135173595</v>
      </c>
      <c r="K575" s="3">
        <v>2.1995827875612401</v>
      </c>
      <c r="L575" s="3">
        <v>1.183962822</v>
      </c>
      <c r="M575" s="3">
        <v>0.67270916700000005</v>
      </c>
      <c r="N575" s="3">
        <v>0.55728042099999997</v>
      </c>
      <c r="O575" s="3">
        <v>0.32528686499999998</v>
      </c>
      <c r="P575" s="3">
        <v>8.5590240000000001E-3</v>
      </c>
      <c r="Q575" s="3"/>
    </row>
    <row r="576" spans="1:17" x14ac:dyDescent="0.25">
      <c r="A576" s="3" t="s">
        <v>113</v>
      </c>
      <c r="B576" s="3" t="s">
        <v>39</v>
      </c>
      <c r="C576" s="3">
        <v>2021</v>
      </c>
      <c r="D576" s="3">
        <v>6.3719999999999999</v>
      </c>
      <c r="E576" s="3">
        <v>0.93700000000000006</v>
      </c>
      <c r="F576" s="3">
        <v>3.3558748943364298</v>
      </c>
      <c r="G576" s="5"/>
      <c r="H576" s="5"/>
      <c r="I576" s="5"/>
      <c r="J576" s="3">
        <v>4.91838487972508</v>
      </c>
      <c r="K576" s="3">
        <v>6.1155825467174898</v>
      </c>
      <c r="L576" s="3">
        <v>0.80700000000000005</v>
      </c>
      <c r="M576" s="3">
        <v>0.48299999999999998</v>
      </c>
      <c r="N576" s="3">
        <v>0.59299999999999997</v>
      </c>
      <c r="O576" s="3">
        <v>0.35599999999999998</v>
      </c>
      <c r="P576" s="3">
        <v>1.4E-2</v>
      </c>
      <c r="Q576" s="3"/>
    </row>
    <row r="577" spans="1:17" x14ac:dyDescent="0.25">
      <c r="A577" s="3" t="s">
        <v>113</v>
      </c>
      <c r="B577" s="3" t="s">
        <v>39</v>
      </c>
      <c r="C577" s="3">
        <v>2022</v>
      </c>
      <c r="D577" s="3">
        <v>6.4550000000000001</v>
      </c>
      <c r="E577" s="3">
        <v>1.3620000000000001</v>
      </c>
      <c r="F577" s="3">
        <v>11.673999999999999</v>
      </c>
      <c r="G577" s="5"/>
      <c r="H577" s="5"/>
      <c r="I577" s="5"/>
      <c r="J577" s="3">
        <v>9.3346980552712395</v>
      </c>
      <c r="K577" s="3">
        <v>3.6449017995643</v>
      </c>
      <c r="L577" s="3">
        <v>0.94899999999999995</v>
      </c>
      <c r="M577" s="3">
        <v>0.56899999999999995</v>
      </c>
      <c r="N577" s="3">
        <v>0.59899999999999998</v>
      </c>
      <c r="O577" s="3">
        <v>0.309</v>
      </c>
      <c r="P577" s="3">
        <v>3.5000000000000003E-2</v>
      </c>
      <c r="Q577" s="3"/>
    </row>
    <row r="578" spans="1:17" x14ac:dyDescent="0.25">
      <c r="A578" s="3" t="s">
        <v>113</v>
      </c>
      <c r="B578" s="3" t="s">
        <v>39</v>
      </c>
      <c r="C578" s="3">
        <v>2023</v>
      </c>
      <c r="D578" s="3">
        <v>6.3680000000000003</v>
      </c>
      <c r="E578" s="3">
        <v>1.3740000000000001</v>
      </c>
      <c r="F578" s="3">
        <v>4.9442270964587101</v>
      </c>
      <c r="G578" s="5"/>
      <c r="H578" s="5"/>
      <c r="I578" s="5"/>
      <c r="J578" s="5"/>
      <c r="K578" s="5"/>
      <c r="L578" s="3">
        <v>1.2689999999999999</v>
      </c>
      <c r="M578" s="3">
        <v>0.372</v>
      </c>
      <c r="N578" s="3">
        <v>0.63900000000000001</v>
      </c>
      <c r="O578" s="3">
        <v>0.27500000000000002</v>
      </c>
      <c r="P578" s="3">
        <v>4.4999999999999998E-2</v>
      </c>
      <c r="Q578" s="3"/>
    </row>
    <row r="579" spans="1:17" x14ac:dyDescent="0.25">
      <c r="A579" s="3" t="s">
        <v>114</v>
      </c>
      <c r="B579" s="3" t="s">
        <v>41</v>
      </c>
      <c r="C579" s="3">
        <v>2015</v>
      </c>
      <c r="D579" s="3">
        <v>6.2949999999999999</v>
      </c>
      <c r="E579" s="3">
        <v>1.5542199999999999</v>
      </c>
      <c r="F579" s="3">
        <v>3.2684464454650799</v>
      </c>
      <c r="G579" s="3">
        <v>5.9699997901916504</v>
      </c>
      <c r="H579" s="3">
        <v>3.3866441249847399</v>
      </c>
      <c r="I579" s="5"/>
      <c r="J579" s="3">
        <v>2.9830839633941602</v>
      </c>
      <c r="K579" s="3">
        <v>-25.958574303839299</v>
      </c>
      <c r="L579" s="3">
        <v>1.16594</v>
      </c>
      <c r="M579" s="3">
        <v>0.72492000000000001</v>
      </c>
      <c r="N579" s="3">
        <v>0.55498999999999998</v>
      </c>
      <c r="O579" s="3">
        <v>0.16228000000000001</v>
      </c>
      <c r="P579" s="3">
        <v>0.25608999999999998</v>
      </c>
      <c r="Q579" s="3"/>
    </row>
    <row r="580" spans="1:17" x14ac:dyDescent="0.25">
      <c r="A580" s="3" t="s">
        <v>114</v>
      </c>
      <c r="B580" s="3" t="s">
        <v>41</v>
      </c>
      <c r="C580" s="3">
        <v>2016</v>
      </c>
      <c r="D580" s="3">
        <v>6.2389999999999999</v>
      </c>
      <c r="E580" s="3">
        <v>1.61714</v>
      </c>
      <c r="F580" s="3">
        <v>2.9555461406707701</v>
      </c>
      <c r="G580" s="3">
        <v>6.7800002098083496</v>
      </c>
      <c r="H580" s="3">
        <v>1.7128434181213299</v>
      </c>
      <c r="I580" s="5"/>
      <c r="J580" s="3">
        <v>1.27375864982604</v>
      </c>
      <c r="K580" s="3">
        <v>-6.8382538480948796</v>
      </c>
      <c r="L580" s="3">
        <v>0.87758000000000003</v>
      </c>
      <c r="M580" s="3">
        <v>0.63568999999999998</v>
      </c>
      <c r="N580" s="3">
        <v>0.43165999999999999</v>
      </c>
      <c r="O580" s="3">
        <v>0.15964999999999999</v>
      </c>
      <c r="P580" s="3">
        <v>0.23669000000000001</v>
      </c>
      <c r="Q580" s="3"/>
    </row>
    <row r="581" spans="1:17" x14ac:dyDescent="0.25">
      <c r="A581" s="3" t="s">
        <v>114</v>
      </c>
      <c r="B581" s="3" t="s">
        <v>41</v>
      </c>
      <c r="C581" s="3">
        <v>2017</v>
      </c>
      <c r="D581" s="3">
        <v>6.1050000190000002</v>
      </c>
      <c r="E581" s="3">
        <v>1.6329524520000001</v>
      </c>
      <c r="F581" s="3">
        <v>1.5069999999999999</v>
      </c>
      <c r="G581" s="3">
        <v>2.5899999141693102</v>
      </c>
      <c r="H581" s="3">
        <v>0.16297040879726399</v>
      </c>
      <c r="I581" s="5"/>
      <c r="J581" s="3">
        <v>3.1028563976287802</v>
      </c>
      <c r="K581" s="3">
        <v>16.227962178666399</v>
      </c>
      <c r="L581" s="3">
        <v>1.259698749</v>
      </c>
      <c r="M581" s="3">
        <v>0.63210570799999999</v>
      </c>
      <c r="N581" s="3">
        <v>0.49633759300000002</v>
      </c>
      <c r="O581" s="3">
        <v>0.22828979799999999</v>
      </c>
      <c r="P581" s="3">
        <v>0.21515955</v>
      </c>
      <c r="Q581" s="3"/>
    </row>
    <row r="582" spans="1:17" x14ac:dyDescent="0.25">
      <c r="A582" s="3" t="s">
        <v>114</v>
      </c>
      <c r="B582" s="3" t="s">
        <v>41</v>
      </c>
      <c r="C582" s="3">
        <v>2018</v>
      </c>
      <c r="D582" s="3">
        <v>6.0830000000000002</v>
      </c>
      <c r="E582" s="3">
        <v>1.474</v>
      </c>
      <c r="F582" s="3">
        <v>0.56999999999999995</v>
      </c>
      <c r="G582" s="3">
        <v>-1.14170649635787</v>
      </c>
      <c r="H582" s="3">
        <v>5.4235078394412897E-2</v>
      </c>
      <c r="I582" s="3">
        <v>0.64729678630828802</v>
      </c>
      <c r="J582" s="3">
        <v>1.31277179718017</v>
      </c>
      <c r="K582" s="3">
        <v>14.5903289020708</v>
      </c>
      <c r="L582" s="3">
        <v>1.3009999999999999</v>
      </c>
      <c r="M582" s="3">
        <v>0.67500000000000004</v>
      </c>
      <c r="N582" s="3">
        <v>0.55400000000000005</v>
      </c>
      <c r="O582" s="3">
        <v>0.16700000000000001</v>
      </c>
      <c r="P582" s="3">
        <v>0.106</v>
      </c>
      <c r="Q582" s="3"/>
    </row>
    <row r="583" spans="1:17" x14ac:dyDescent="0.25">
      <c r="A583" s="3" t="s">
        <v>114</v>
      </c>
      <c r="B583" s="3" t="s">
        <v>41</v>
      </c>
      <c r="C583" s="3">
        <v>2019</v>
      </c>
      <c r="D583" s="3">
        <v>6.0209999999999999</v>
      </c>
      <c r="E583" s="3">
        <v>1.5</v>
      </c>
      <c r="F583" s="3">
        <v>1.1000000238418499</v>
      </c>
      <c r="G583" s="3">
        <v>-0.81773185729980402</v>
      </c>
      <c r="H583" s="3">
        <v>1.0763512849807699</v>
      </c>
      <c r="I583" s="3">
        <v>1.0889425277709901</v>
      </c>
      <c r="J583" s="3">
        <v>0.63565951585769598</v>
      </c>
      <c r="K583" s="3">
        <v>-4.17918449976428</v>
      </c>
      <c r="L583" s="3">
        <v>1.319</v>
      </c>
      <c r="M583" s="3">
        <v>0.80800000000000005</v>
      </c>
      <c r="N583" s="3">
        <v>0.49299999999999999</v>
      </c>
      <c r="O583" s="3">
        <v>0.14199999999999999</v>
      </c>
      <c r="P583" s="3">
        <v>9.7000000000000003E-2</v>
      </c>
      <c r="Q583" s="3"/>
    </row>
    <row r="584" spans="1:17" x14ac:dyDescent="0.25">
      <c r="A584" s="3" t="s">
        <v>114</v>
      </c>
      <c r="B584" s="3" t="s">
        <v>41</v>
      </c>
      <c r="C584" s="3">
        <v>2020</v>
      </c>
      <c r="D584" s="3">
        <v>6.1020998950000003</v>
      </c>
      <c r="E584" s="3">
        <v>1.424833655</v>
      </c>
      <c r="F584" s="3">
        <v>1</v>
      </c>
      <c r="G584" s="3">
        <v>-0.195270121097564</v>
      </c>
      <c r="H584" s="3">
        <v>4.8801040649414</v>
      </c>
      <c r="I584" s="3">
        <v>1.56159627437591</v>
      </c>
      <c r="J584" s="3">
        <v>-30.591727307545</v>
      </c>
      <c r="K584" s="3">
        <v>-11.971097262150501</v>
      </c>
      <c r="L584" s="3">
        <v>1.244779825</v>
      </c>
      <c r="M584" s="3">
        <v>0.77646893299999997</v>
      </c>
      <c r="N584" s="3">
        <v>0.57026141900000005</v>
      </c>
      <c r="O584" s="3">
        <v>0.13275109199999999</v>
      </c>
      <c r="P584" s="3">
        <v>0.11281493300000001</v>
      </c>
      <c r="Q584" s="3"/>
    </row>
    <row r="585" spans="1:17" x14ac:dyDescent="0.25">
      <c r="A585" s="3" t="s">
        <v>114</v>
      </c>
      <c r="B585" s="3" t="s">
        <v>41</v>
      </c>
      <c r="C585" s="3">
        <v>2021</v>
      </c>
      <c r="D585" s="3">
        <v>6.1059999999999999</v>
      </c>
      <c r="E585" s="3">
        <v>1.4610000000000001</v>
      </c>
      <c r="F585" s="3">
        <v>3.4236294760917501</v>
      </c>
      <c r="G585" s="3">
        <v>0.46</v>
      </c>
      <c r="H585" s="3">
        <v>9.48</v>
      </c>
      <c r="I585" s="3">
        <v>2.2565489749430498</v>
      </c>
      <c r="J585" s="3">
        <v>54.655814595116503</v>
      </c>
      <c r="K585" s="3">
        <v>25.396737321052001</v>
      </c>
      <c r="L585" s="3">
        <v>0.85699999999999998</v>
      </c>
      <c r="M585" s="3">
        <v>0.57999999999999996</v>
      </c>
      <c r="N585" s="3">
        <v>0.59099999999999997</v>
      </c>
      <c r="O585" s="3">
        <v>0.12</v>
      </c>
      <c r="P585" s="3">
        <v>0.13</v>
      </c>
      <c r="Q585" s="3"/>
    </row>
    <row r="586" spans="1:17" x14ac:dyDescent="0.25">
      <c r="A586" s="3" t="s">
        <v>114</v>
      </c>
      <c r="B586" s="3" t="s">
        <v>41</v>
      </c>
      <c r="C586" s="3">
        <v>2022</v>
      </c>
      <c r="D586" s="3">
        <v>6.1059999999999999</v>
      </c>
      <c r="E586" s="3">
        <v>1.9039999999999999</v>
      </c>
      <c r="F586" s="3">
        <v>4.0640271869423996</v>
      </c>
      <c r="G586" s="3">
        <v>2.2377400825903102</v>
      </c>
      <c r="H586" s="3">
        <v>6.8786771268989204</v>
      </c>
      <c r="I586" s="3">
        <v>3.2788026453185002</v>
      </c>
      <c r="J586" s="3">
        <v>42.187042970017799</v>
      </c>
      <c r="K586" s="3">
        <v>25.541005437798201</v>
      </c>
      <c r="L586" s="3">
        <v>0.98299999999999998</v>
      </c>
      <c r="M586" s="3">
        <v>0.747</v>
      </c>
      <c r="N586" s="3">
        <v>0.61699999999999999</v>
      </c>
      <c r="O586" s="3">
        <v>8.6999999999999994E-2</v>
      </c>
      <c r="P586" s="3">
        <v>0.14699999999999999</v>
      </c>
      <c r="Q586" s="3"/>
    </row>
    <row r="587" spans="1:17" x14ac:dyDescent="0.25">
      <c r="A587" s="3" t="s">
        <v>115</v>
      </c>
      <c r="B587" s="3" t="s">
        <v>39</v>
      </c>
      <c r="C587" s="3">
        <v>2015</v>
      </c>
      <c r="D587" s="3">
        <v>5.0979999999999999</v>
      </c>
      <c r="E587" s="3">
        <v>1.1131200000000001</v>
      </c>
      <c r="F587" s="3">
        <v>0.174237996339797</v>
      </c>
      <c r="G587" s="3">
        <v>3.56373119354248</v>
      </c>
      <c r="H587" s="3">
        <v>-1.2588462829589799</v>
      </c>
      <c r="I587" s="3">
        <v>1.8073822259902901</v>
      </c>
      <c r="J587" s="3">
        <v>-0.94113063812255804</v>
      </c>
      <c r="K587" s="3">
        <v>3.0000900027001899E-3</v>
      </c>
      <c r="L587" s="3">
        <v>1.09562</v>
      </c>
      <c r="M587" s="3">
        <v>0.72436999999999996</v>
      </c>
      <c r="N587" s="3">
        <v>0.29670999999999997</v>
      </c>
      <c r="O587" s="3">
        <v>0.18226000000000001</v>
      </c>
      <c r="P587" s="3">
        <v>6.3320000000000001E-2</v>
      </c>
      <c r="Q587" s="3"/>
    </row>
    <row r="588" spans="1:17" x14ac:dyDescent="0.25">
      <c r="A588" s="3" t="s">
        <v>115</v>
      </c>
      <c r="B588" s="3" t="s">
        <v>39</v>
      </c>
      <c r="C588" s="3">
        <v>2016</v>
      </c>
      <c r="D588" s="3">
        <v>5.56</v>
      </c>
      <c r="E588" s="3">
        <v>1.2178800000000001</v>
      </c>
      <c r="F588" s="3">
        <v>0.140632629394531</v>
      </c>
      <c r="G588" s="3">
        <v>-2.94118309020996</v>
      </c>
      <c r="H588" s="3">
        <v>1.0665768384933401</v>
      </c>
      <c r="I588" s="3">
        <v>1.5502583980560301</v>
      </c>
      <c r="J588" s="3">
        <v>-2.4085416793823202</v>
      </c>
      <c r="K588" s="3">
        <v>0.86100000000000398</v>
      </c>
      <c r="L588" s="3">
        <v>0.95025000000000004</v>
      </c>
      <c r="M588" s="3">
        <v>0.63951999999999998</v>
      </c>
      <c r="N588" s="3">
        <v>0.27995999999999999</v>
      </c>
      <c r="O588" s="3">
        <v>0.17444999999999999</v>
      </c>
      <c r="P588" s="3">
        <v>8.8900000000000007E-2</v>
      </c>
      <c r="Q588" s="3"/>
    </row>
    <row r="589" spans="1:17" x14ac:dyDescent="0.25">
      <c r="A589" s="3" t="s">
        <v>115</v>
      </c>
      <c r="B589" s="3" t="s">
        <v>39</v>
      </c>
      <c r="C589" s="3">
        <v>2017</v>
      </c>
      <c r="D589" s="3">
        <v>5.8499999049999998</v>
      </c>
      <c r="E589" s="3">
        <v>1.260748625</v>
      </c>
      <c r="F589" s="3">
        <v>2.8940000000000001</v>
      </c>
      <c r="G589" s="3">
        <v>2.0430979728698699</v>
      </c>
      <c r="H589" s="3">
        <v>5.5899100303649902</v>
      </c>
      <c r="I589" s="3">
        <v>1.60045957565307</v>
      </c>
      <c r="J589" s="3">
        <v>2.45089364051818</v>
      </c>
      <c r="K589" s="3">
        <v>2.9704246438167301</v>
      </c>
      <c r="L589" s="3">
        <v>1.404714942</v>
      </c>
      <c r="M589" s="3">
        <v>0.63856697100000004</v>
      </c>
      <c r="N589" s="3">
        <v>0.32570791199999999</v>
      </c>
      <c r="O589" s="3">
        <v>0.15307478599999999</v>
      </c>
      <c r="P589" s="3">
        <v>7.3842726999999997E-2</v>
      </c>
      <c r="Q589" s="3"/>
    </row>
    <row r="590" spans="1:17" x14ac:dyDescent="0.25">
      <c r="A590" s="3" t="s">
        <v>115</v>
      </c>
      <c r="B590" s="3" t="s">
        <v>39</v>
      </c>
      <c r="C590" s="3">
        <v>2018</v>
      </c>
      <c r="D590" s="3">
        <v>5.9329999999999998</v>
      </c>
      <c r="E590" s="3">
        <v>1.1479999999999999</v>
      </c>
      <c r="F590" s="3">
        <v>2.5299999999999998</v>
      </c>
      <c r="G590" s="3">
        <v>4.1305632591247496</v>
      </c>
      <c r="H590" s="3">
        <v>0.57781094312667802</v>
      </c>
      <c r="I590" s="3">
        <v>2.2538168430328298</v>
      </c>
      <c r="J590" s="3">
        <v>4.3927688598632804</v>
      </c>
      <c r="K590" s="3">
        <v>3.9044070211926001</v>
      </c>
      <c r="L590" s="3">
        <v>1.454</v>
      </c>
      <c r="M590" s="3">
        <v>0.67100000000000004</v>
      </c>
      <c r="N590" s="3">
        <v>0.36299999999999999</v>
      </c>
      <c r="O590" s="3">
        <v>9.1999999999999998E-2</v>
      </c>
      <c r="P590" s="3">
        <v>6.6000000000000003E-2</v>
      </c>
      <c r="Q590" s="3"/>
    </row>
    <row r="591" spans="1:17" x14ac:dyDescent="0.25">
      <c r="A591" s="3" t="s">
        <v>115</v>
      </c>
      <c r="B591" s="3" t="s">
        <v>39</v>
      </c>
      <c r="C591" s="3">
        <v>2019</v>
      </c>
      <c r="D591" s="3">
        <v>5.94</v>
      </c>
      <c r="E591" s="3">
        <v>1.1870000000000001</v>
      </c>
      <c r="F591" s="3">
        <v>2.7469999790191602</v>
      </c>
      <c r="G591" s="3">
        <v>3.0745210647582999</v>
      </c>
      <c r="H591" s="3">
        <v>2.9190280437469398</v>
      </c>
      <c r="I591" s="3">
        <v>2.78085017204284</v>
      </c>
      <c r="J591" s="3">
        <v>1.7486457824707</v>
      </c>
      <c r="K591" s="3">
        <v>2.3129957743346301</v>
      </c>
      <c r="L591" s="3">
        <v>1.4650000000000001</v>
      </c>
      <c r="M591" s="3">
        <v>0.81200000000000006</v>
      </c>
      <c r="N591" s="3">
        <v>0.26400000000000001</v>
      </c>
      <c r="O591" s="3">
        <v>7.4999999999999997E-2</v>
      </c>
      <c r="P591" s="3">
        <v>6.4000000000000001E-2</v>
      </c>
      <c r="Q591" s="3"/>
    </row>
    <row r="592" spans="1:17" x14ac:dyDescent="0.25">
      <c r="A592" s="3" t="s">
        <v>115</v>
      </c>
      <c r="B592" s="3" t="s">
        <v>39</v>
      </c>
      <c r="C592" s="3">
        <v>2020</v>
      </c>
      <c r="D592" s="3">
        <v>5.9499998090000004</v>
      </c>
      <c r="E592" s="3">
        <v>1.1413954500000001</v>
      </c>
      <c r="F592" s="3">
        <v>0.21906490484285199</v>
      </c>
      <c r="G592" s="3">
        <v>-2.4138944264345401</v>
      </c>
      <c r="H592" s="3">
        <v>2.3836464881896902</v>
      </c>
      <c r="I592" s="3">
        <v>1.219808</v>
      </c>
      <c r="J592" s="3">
        <v>-1.8661688566207799</v>
      </c>
      <c r="K592" s="3">
        <v>5.2532425186574E-2</v>
      </c>
      <c r="L592" s="3">
        <v>1.414398789</v>
      </c>
      <c r="M592" s="3">
        <v>0.77790242399999998</v>
      </c>
      <c r="N592" s="3">
        <v>0.32919880699999998</v>
      </c>
      <c r="O592" s="3">
        <v>7.5407945000000004E-2</v>
      </c>
      <c r="P592" s="3">
        <v>9.0391524000000001E-2</v>
      </c>
      <c r="Q592" s="3"/>
    </row>
    <row r="593" spans="1:17" x14ac:dyDescent="0.25">
      <c r="A593" s="3" t="s">
        <v>115</v>
      </c>
      <c r="B593" s="3" t="s">
        <v>39</v>
      </c>
      <c r="C593" s="3">
        <v>2021</v>
      </c>
      <c r="D593" s="3">
        <v>6.032</v>
      </c>
      <c r="E593" s="3">
        <v>1.2849999999999999</v>
      </c>
      <c r="F593" s="3">
        <v>3.275814</v>
      </c>
      <c r="G593" s="3">
        <v>10.496409999999999</v>
      </c>
      <c r="H593" s="3">
        <v>2.2370000000000001</v>
      </c>
      <c r="I593" s="3">
        <v>1.877</v>
      </c>
      <c r="J593" s="3">
        <v>13.071999999999701</v>
      </c>
      <c r="K593" s="3">
        <v>6.8814418039080598</v>
      </c>
      <c r="L593" s="3">
        <v>1.0469999999999999</v>
      </c>
      <c r="M593" s="3">
        <v>0.58699999999999997</v>
      </c>
      <c r="N593" s="3">
        <v>0.40500000000000003</v>
      </c>
      <c r="O593" s="3">
        <v>8.2000000000000003E-2</v>
      </c>
      <c r="P593" s="3">
        <v>8.8999999999999996E-2</v>
      </c>
      <c r="Q593" s="3"/>
    </row>
    <row r="594" spans="1:17" x14ac:dyDescent="0.25">
      <c r="A594" s="3" t="s">
        <v>115</v>
      </c>
      <c r="B594" s="3" t="s">
        <v>39</v>
      </c>
      <c r="C594" s="3">
        <v>2022</v>
      </c>
      <c r="D594" s="3">
        <v>6.18</v>
      </c>
      <c r="E594" s="3">
        <v>1.732</v>
      </c>
      <c r="F594" s="3">
        <v>17.310289999999998</v>
      </c>
      <c r="G594" s="3">
        <v>48.347946133053902</v>
      </c>
      <c r="H594" s="3">
        <v>21.640450000000001</v>
      </c>
      <c r="I594" s="3">
        <v>7.17110266159695</v>
      </c>
      <c r="J594" s="3">
        <v>30.812225838404501</v>
      </c>
      <c r="K594" s="3">
        <v>12.3574984615513</v>
      </c>
      <c r="L594" s="3">
        <v>1.2210000000000001</v>
      </c>
      <c r="M594" s="3">
        <v>0.63700000000000001</v>
      </c>
      <c r="N594" s="3">
        <v>0.502</v>
      </c>
      <c r="O594" s="3">
        <v>7.4999999999999997E-2</v>
      </c>
      <c r="P594" s="3">
        <v>0.09</v>
      </c>
      <c r="Q594" s="3"/>
    </row>
    <row r="595" spans="1:17" x14ac:dyDescent="0.25">
      <c r="A595" s="3" t="s">
        <v>115</v>
      </c>
      <c r="B595" s="3" t="s">
        <v>39</v>
      </c>
      <c r="C595" s="3">
        <v>2023</v>
      </c>
      <c r="D595" s="3">
        <v>6.2130000000000001</v>
      </c>
      <c r="E595" s="3">
        <v>1.7370000000000001</v>
      </c>
      <c r="F595" s="3">
        <v>8.9380462331663697</v>
      </c>
      <c r="G595" s="3">
        <v>8.4092359248132897</v>
      </c>
      <c r="H595" s="3">
        <v>13.192691856538501</v>
      </c>
      <c r="I595" s="3">
        <v>8.2527400599774197</v>
      </c>
      <c r="J595" s="3">
        <v>0.76802423062321701</v>
      </c>
      <c r="K595" s="3">
        <v>5.6135737330778603</v>
      </c>
      <c r="L595" s="3">
        <v>1.5049999999999999</v>
      </c>
      <c r="M595" s="3">
        <v>0.40500000000000003</v>
      </c>
      <c r="N595" s="3">
        <v>0.57999999999999996</v>
      </c>
      <c r="O595" s="3">
        <v>0.107</v>
      </c>
      <c r="P595" s="3">
        <v>7.0999999999999994E-2</v>
      </c>
      <c r="Q595" s="3"/>
    </row>
    <row r="596" spans="1:17" x14ac:dyDescent="0.25">
      <c r="A596" s="3" t="s">
        <v>116</v>
      </c>
      <c r="B596" s="3" t="s">
        <v>41</v>
      </c>
      <c r="C596" s="3">
        <v>2015</v>
      </c>
      <c r="D596" s="3">
        <v>4.8390000000000004</v>
      </c>
      <c r="E596" s="3">
        <v>1.0256400000000001</v>
      </c>
      <c r="F596" s="3">
        <v>-3.7529959678649898</v>
      </c>
      <c r="G596" s="3">
        <v>-5.5300002098083496</v>
      </c>
      <c r="H596" s="3">
        <v>-1.10270106792449</v>
      </c>
      <c r="I596" s="5"/>
      <c r="J596" s="5"/>
      <c r="K596" s="3">
        <v>3.5304454793076099</v>
      </c>
      <c r="L596" s="3">
        <v>0.80001</v>
      </c>
      <c r="M596" s="3">
        <v>0.83947000000000005</v>
      </c>
      <c r="N596" s="3">
        <v>0.33916000000000002</v>
      </c>
      <c r="O596" s="3">
        <v>0.21854000000000001</v>
      </c>
      <c r="P596" s="3">
        <v>4.582E-2</v>
      </c>
      <c r="Q596" s="3"/>
    </row>
    <row r="597" spans="1:17" x14ac:dyDescent="0.25">
      <c r="A597" s="3" t="s">
        <v>116</v>
      </c>
      <c r="B597" s="3" t="s">
        <v>41</v>
      </c>
      <c r="C597" s="3">
        <v>2016</v>
      </c>
      <c r="D597" s="3">
        <v>5.1289999999999996</v>
      </c>
      <c r="E597" s="3">
        <v>1.1226799999999999</v>
      </c>
      <c r="F597" s="3">
        <v>-0.81594616174697798</v>
      </c>
      <c r="G597" s="3">
        <v>-1.8400000333786</v>
      </c>
      <c r="H597" s="3">
        <v>-1.2231637239456099</v>
      </c>
      <c r="I597" s="5"/>
      <c r="J597" s="5"/>
      <c r="K597" s="3">
        <v>0.98957802899140801</v>
      </c>
      <c r="L597" s="3">
        <v>0.64183999999999997</v>
      </c>
      <c r="M597" s="3">
        <v>0.76171</v>
      </c>
      <c r="N597" s="3">
        <v>0.26228000000000001</v>
      </c>
      <c r="O597" s="3">
        <v>0.23693</v>
      </c>
      <c r="P597" s="3">
        <v>3.0609999999999998E-2</v>
      </c>
      <c r="Q597" s="3"/>
    </row>
    <row r="598" spans="1:17" x14ac:dyDescent="0.25">
      <c r="A598" s="3" t="s">
        <v>116</v>
      </c>
      <c r="B598" s="3" t="s">
        <v>41</v>
      </c>
      <c r="C598" s="3">
        <v>2017</v>
      </c>
      <c r="D598" s="3">
        <v>5.2249999049999998</v>
      </c>
      <c r="E598" s="3">
        <v>1.0749875310000001</v>
      </c>
      <c r="F598" s="3">
        <v>4.476</v>
      </c>
      <c r="G598" s="3">
        <v>5.1100001335143999</v>
      </c>
      <c r="H598" s="3">
        <v>3.6728138923645002</v>
      </c>
      <c r="I598" s="5"/>
      <c r="J598" s="5"/>
      <c r="K598" s="3">
        <v>2.9043481183925199</v>
      </c>
      <c r="L598" s="3">
        <v>1.1296242480000001</v>
      </c>
      <c r="M598" s="3">
        <v>0.73508107700000003</v>
      </c>
      <c r="N598" s="3">
        <v>0.28851598499999997</v>
      </c>
      <c r="O598" s="3">
        <v>0.26445075899999998</v>
      </c>
      <c r="P598" s="3">
        <v>3.7513829999999998E-2</v>
      </c>
      <c r="Q598" s="3"/>
    </row>
    <row r="599" spans="1:17" x14ac:dyDescent="0.25">
      <c r="A599" s="3" t="s">
        <v>116</v>
      </c>
      <c r="B599" s="3" t="s">
        <v>41</v>
      </c>
      <c r="C599" s="3">
        <v>2018</v>
      </c>
      <c r="D599" s="3">
        <v>5.3579999999999997</v>
      </c>
      <c r="E599" s="3">
        <v>0.96499999999999997</v>
      </c>
      <c r="F599" s="3">
        <v>6.07</v>
      </c>
      <c r="G599" s="3">
        <v>6.8395404815673801</v>
      </c>
      <c r="H599" s="3">
        <v>5.1921639442443803</v>
      </c>
      <c r="I599" s="5"/>
      <c r="J599" s="5"/>
      <c r="K599" s="3">
        <v>5.4577378521845699</v>
      </c>
      <c r="L599" s="3">
        <v>1.179</v>
      </c>
      <c r="M599" s="3">
        <v>0.78500000000000003</v>
      </c>
      <c r="N599" s="3">
        <v>0.503</v>
      </c>
      <c r="O599" s="3">
        <v>0.214</v>
      </c>
      <c r="P599" s="3">
        <v>0.13600000000000001</v>
      </c>
      <c r="Q599" s="3"/>
    </row>
    <row r="600" spans="1:17" x14ac:dyDescent="0.25">
      <c r="A600" s="3" t="s">
        <v>116</v>
      </c>
      <c r="B600" s="3" t="s">
        <v>41</v>
      </c>
      <c r="C600" s="3">
        <v>2019</v>
      </c>
      <c r="D600" s="3">
        <v>5.1970000000000001</v>
      </c>
      <c r="E600" s="3">
        <v>0.98699999999999999</v>
      </c>
      <c r="F600" s="3">
        <v>2.8949999809265101</v>
      </c>
      <c r="G600" s="3">
        <v>1.40601682662963</v>
      </c>
      <c r="H600" s="3">
        <v>4.1325507164001403</v>
      </c>
      <c r="I600" s="5"/>
      <c r="J600" s="5"/>
      <c r="K600" s="3">
        <v>2.5214313924403502</v>
      </c>
      <c r="L600" s="3">
        <v>1.224</v>
      </c>
      <c r="M600" s="3">
        <v>0.81499999999999995</v>
      </c>
      <c r="N600" s="3">
        <v>0.216</v>
      </c>
      <c r="O600" s="3">
        <v>0.16600000000000001</v>
      </c>
      <c r="P600" s="3">
        <v>2.7E-2</v>
      </c>
      <c r="Q600" s="3"/>
    </row>
    <row r="601" spans="1:17" x14ac:dyDescent="0.25">
      <c r="A601" s="3" t="s">
        <v>116</v>
      </c>
      <c r="B601" s="3" t="s">
        <v>41</v>
      </c>
      <c r="C601" s="3">
        <v>2020</v>
      </c>
      <c r="D601" s="3">
        <v>4.7715001109999999</v>
      </c>
      <c r="E601" s="3">
        <v>0.88923251599999997</v>
      </c>
      <c r="F601" s="3">
        <v>84.864333047204994</v>
      </c>
      <c r="G601" s="3">
        <v>7.6554496148108404</v>
      </c>
      <c r="H601" s="3">
        <v>253.96</v>
      </c>
      <c r="I601" s="5"/>
      <c r="J601" s="5"/>
      <c r="K601" s="3">
        <v>60.8864784838619</v>
      </c>
      <c r="L601" s="3">
        <v>1.1924933200000001</v>
      </c>
      <c r="M601" s="3">
        <v>0.78867113600000005</v>
      </c>
      <c r="N601" s="3">
        <v>0.18551666999999999</v>
      </c>
      <c r="O601" s="3">
        <v>0.15852414100000001</v>
      </c>
      <c r="P601" s="3">
        <v>2.1518147000000001E-2</v>
      </c>
      <c r="Q601" s="3"/>
    </row>
    <row r="602" spans="1:17" x14ac:dyDescent="0.25">
      <c r="A602" s="3" t="s">
        <v>116</v>
      </c>
      <c r="B602" s="3" t="s">
        <v>41</v>
      </c>
      <c r="C602" s="3">
        <v>2021</v>
      </c>
      <c r="D602" s="3">
        <v>4.5839999999999996</v>
      </c>
      <c r="E602" s="3">
        <v>1.0449999999999999</v>
      </c>
      <c r="F602" s="3">
        <v>154.75867734647699</v>
      </c>
      <c r="G602" s="3">
        <v>49.6</v>
      </c>
      <c r="H602" s="3">
        <v>310.68</v>
      </c>
      <c r="I602" s="5"/>
      <c r="J602" s="5"/>
      <c r="K602" s="3">
        <v>150.00070498920101</v>
      </c>
      <c r="L602" s="3">
        <v>0.86799999999999999</v>
      </c>
      <c r="M602" s="3">
        <v>0.59499999999999997</v>
      </c>
      <c r="N602" s="3">
        <v>0.17499999999999999</v>
      </c>
      <c r="O602" s="3">
        <v>0.14000000000000001</v>
      </c>
      <c r="P602" s="3">
        <v>2.5999999999999999E-2</v>
      </c>
      <c r="Q602" s="3"/>
    </row>
    <row r="603" spans="1:17" x14ac:dyDescent="0.25">
      <c r="A603" s="3" t="s">
        <v>116</v>
      </c>
      <c r="B603" s="3" t="s">
        <v>41</v>
      </c>
      <c r="C603" s="3">
        <v>2022</v>
      </c>
      <c r="D603" s="3">
        <v>2.9550000000000001</v>
      </c>
      <c r="E603" s="3">
        <v>1.3919999999999999</v>
      </c>
      <c r="F603" s="3">
        <v>189.43640861597501</v>
      </c>
      <c r="G603" s="3">
        <v>105.214321800615</v>
      </c>
      <c r="H603" s="3">
        <v>276.07528872263902</v>
      </c>
      <c r="I603" s="5"/>
      <c r="J603" s="5"/>
      <c r="K603" s="3">
        <v>24.336132581641198</v>
      </c>
      <c r="L603" s="3">
        <v>0.498</v>
      </c>
      <c r="M603" s="3">
        <v>0.63100000000000001</v>
      </c>
      <c r="N603" s="3">
        <v>0.10299999999999999</v>
      </c>
      <c r="O603" s="3">
        <v>8.2000000000000003E-2</v>
      </c>
      <c r="P603" s="3">
        <v>3.4000000000000002E-2</v>
      </c>
      <c r="Q603" s="3"/>
    </row>
    <row r="604" spans="1:17" x14ac:dyDescent="0.25">
      <c r="A604" s="3" t="s">
        <v>116</v>
      </c>
      <c r="B604" s="3" t="s">
        <v>41</v>
      </c>
      <c r="C604" s="3">
        <v>2023</v>
      </c>
      <c r="D604" s="3">
        <v>2.3919999999999999</v>
      </c>
      <c r="E604" s="3">
        <v>1.417</v>
      </c>
      <c r="F604" s="3">
        <v>221.34164402336501</v>
      </c>
      <c r="G604" s="3">
        <v>180.52601493791099</v>
      </c>
      <c r="H604" s="3">
        <v>254.55638948275501</v>
      </c>
      <c r="I604" s="5"/>
      <c r="J604" s="5"/>
      <c r="K604" s="5"/>
      <c r="L604" s="3">
        <v>0.47599999999999998</v>
      </c>
      <c r="M604" s="3">
        <v>0.39800000000000002</v>
      </c>
      <c r="N604" s="3">
        <v>0.123</v>
      </c>
      <c r="O604" s="3">
        <v>6.0999999999999999E-2</v>
      </c>
      <c r="P604" s="3">
        <v>2.7E-2</v>
      </c>
      <c r="Q604" s="3"/>
    </row>
    <row r="605" spans="1:17" x14ac:dyDescent="0.25">
      <c r="A605" s="3" t="s">
        <v>117</v>
      </c>
      <c r="B605" s="3" t="s">
        <v>43</v>
      </c>
      <c r="C605" s="3">
        <v>2015</v>
      </c>
      <c r="D605" s="3">
        <v>4.8979999999999997</v>
      </c>
      <c r="E605" s="3">
        <v>0.37545000000000001</v>
      </c>
      <c r="F605" s="3">
        <v>4.3000001907348597</v>
      </c>
      <c r="G605" s="3">
        <v>-6.8727931976318297</v>
      </c>
      <c r="H605" s="3">
        <v>6.1406478881835902</v>
      </c>
      <c r="I605" s="5"/>
      <c r="J605" s="5"/>
      <c r="K605" s="3">
        <v>7.5348729076255498</v>
      </c>
      <c r="L605" s="3">
        <v>1.0410299999999999</v>
      </c>
      <c r="M605" s="3">
        <v>7.6119999999999993E-2</v>
      </c>
      <c r="N605" s="3">
        <v>0.31767000000000001</v>
      </c>
      <c r="O605" s="3">
        <v>0.16388</v>
      </c>
      <c r="P605" s="3">
        <v>0.12504000000000001</v>
      </c>
      <c r="Q605" s="3"/>
    </row>
    <row r="606" spans="1:17" x14ac:dyDescent="0.25">
      <c r="A606" s="3" t="s">
        <v>117</v>
      </c>
      <c r="B606" s="3" t="s">
        <v>43</v>
      </c>
      <c r="C606" s="3">
        <v>2017</v>
      </c>
      <c r="D606" s="3">
        <v>3.808000088</v>
      </c>
      <c r="E606" s="3">
        <v>0.52102124699999997</v>
      </c>
      <c r="F606" s="3">
        <v>4.4589999999999996</v>
      </c>
      <c r="G606" s="3">
        <v>6.2766842842101997</v>
      </c>
      <c r="H606" s="3">
        <v>6.4310951232910103</v>
      </c>
      <c r="I606" s="5"/>
      <c r="J606" s="5"/>
      <c r="K606" s="3">
        <v>0.90062356369153995</v>
      </c>
      <c r="L606" s="3">
        <v>1.190095186</v>
      </c>
      <c r="M606" s="3">
        <v>0</v>
      </c>
      <c r="N606" s="3">
        <v>0.39066129900000002</v>
      </c>
      <c r="O606" s="3">
        <v>0.15749727199999999</v>
      </c>
      <c r="P606" s="3">
        <v>0.11909464</v>
      </c>
      <c r="Q606" s="3"/>
    </row>
    <row r="607" spans="1:17" x14ac:dyDescent="0.25">
      <c r="A607" s="3" t="s">
        <v>117</v>
      </c>
      <c r="B607" s="3" t="s">
        <v>43</v>
      </c>
      <c r="C607" s="3">
        <v>2018</v>
      </c>
      <c r="D607" s="3">
        <v>3.8079999999999998</v>
      </c>
      <c r="E607" s="3">
        <v>0.47199999999999998</v>
      </c>
      <c r="F607" s="3">
        <v>4.01</v>
      </c>
      <c r="G607" s="3">
        <v>8.8111362457275302</v>
      </c>
      <c r="H607" s="3">
        <v>4.4365348815917898</v>
      </c>
      <c r="I607" s="5"/>
      <c r="J607" s="5"/>
      <c r="K607" s="3">
        <v>5.2717842470856198</v>
      </c>
      <c r="L607" s="3">
        <v>1.2150000000000001</v>
      </c>
      <c r="M607" s="3">
        <v>7.9000000000000001E-2</v>
      </c>
      <c r="N607" s="3">
        <v>0.42299999999999999</v>
      </c>
      <c r="O607" s="3">
        <v>0.11600000000000001</v>
      </c>
      <c r="P607" s="3">
        <v>0.112</v>
      </c>
      <c r="Q607" s="3"/>
    </row>
    <row r="608" spans="1:17" x14ac:dyDescent="0.25">
      <c r="A608" s="3" t="s">
        <v>117</v>
      </c>
      <c r="B608" s="3" t="s">
        <v>43</v>
      </c>
      <c r="C608" s="3">
        <v>2019</v>
      </c>
      <c r="D608" s="3">
        <v>3.802</v>
      </c>
      <c r="E608" s="3">
        <v>0.48899999999999999</v>
      </c>
      <c r="F608" s="3">
        <v>5.1890001296996999</v>
      </c>
      <c r="G608" s="3">
        <v>7.9988989830017001</v>
      </c>
      <c r="H608" s="3">
        <v>6.8292441368103001</v>
      </c>
      <c r="I608" s="5"/>
      <c r="J608" s="5"/>
      <c r="K608" s="3">
        <v>4.9161212921836803</v>
      </c>
      <c r="L608" s="3">
        <v>1.169</v>
      </c>
      <c r="M608" s="3">
        <v>0.16800000000000001</v>
      </c>
      <c r="N608" s="3">
        <v>0.35899999999999999</v>
      </c>
      <c r="O608" s="3">
        <v>0.107</v>
      </c>
      <c r="P608" s="3">
        <v>9.2999999999999999E-2</v>
      </c>
      <c r="Q608" s="3"/>
    </row>
    <row r="609" spans="1:17" x14ac:dyDescent="0.25">
      <c r="A609" s="3" t="s">
        <v>117</v>
      </c>
      <c r="B609" s="3" t="s">
        <v>43</v>
      </c>
      <c r="C609" s="3">
        <v>2020</v>
      </c>
      <c r="D609" s="3">
        <v>3.6528000829999998</v>
      </c>
      <c r="E609" s="3">
        <v>0.45493874000000001</v>
      </c>
      <c r="F609" s="3">
        <v>4.9780967625233403</v>
      </c>
      <c r="G609" s="3">
        <v>-1.9274648474369001</v>
      </c>
      <c r="H609" s="3">
        <v>10.343191146850501</v>
      </c>
      <c r="I609" s="5"/>
      <c r="J609" s="5"/>
      <c r="K609" s="3">
        <v>4.6652062468280802</v>
      </c>
      <c r="L609" s="3">
        <v>1.088940024</v>
      </c>
      <c r="M609" s="3">
        <v>0.100934811</v>
      </c>
      <c r="N609" s="3">
        <v>0.40936753199999998</v>
      </c>
      <c r="O609" s="3">
        <v>0.10262764200000001</v>
      </c>
      <c r="P609" s="3">
        <v>5.0483822999999997E-2</v>
      </c>
      <c r="Q609" s="3"/>
    </row>
    <row r="610" spans="1:17" x14ac:dyDescent="0.25">
      <c r="A610" s="3" t="s">
        <v>117</v>
      </c>
      <c r="B610" s="3" t="s">
        <v>43</v>
      </c>
      <c r="C610" s="3">
        <v>2021</v>
      </c>
      <c r="D610" s="3">
        <v>3.512</v>
      </c>
      <c r="E610" s="3">
        <v>0.45100000000000001</v>
      </c>
      <c r="F610" s="3">
        <v>6.0486710532480803</v>
      </c>
      <c r="G610" s="3">
        <v>6.87</v>
      </c>
      <c r="H610" s="3">
        <v>9.64</v>
      </c>
      <c r="I610" s="5"/>
      <c r="J610" s="5"/>
      <c r="K610" s="3">
        <v>-0.88411327628559799</v>
      </c>
      <c r="L610" s="3">
        <v>0.73099999999999998</v>
      </c>
      <c r="M610" s="3">
        <v>7.0000000000000001E-3</v>
      </c>
      <c r="N610" s="3">
        <v>0.40500000000000003</v>
      </c>
      <c r="O610" s="3">
        <v>0.10299999999999999</v>
      </c>
      <c r="P610" s="3">
        <v>1.4999999999999999E-2</v>
      </c>
      <c r="Q610" s="3"/>
    </row>
    <row r="611" spans="1:17" x14ac:dyDescent="0.25">
      <c r="A611" s="3" t="s">
        <v>117</v>
      </c>
      <c r="B611" s="3" t="s">
        <v>43</v>
      </c>
      <c r="C611" s="3">
        <v>2022</v>
      </c>
      <c r="D611" s="3">
        <v>3.512</v>
      </c>
      <c r="E611" s="3">
        <v>0.83899999999999997</v>
      </c>
      <c r="F611" s="3">
        <v>8.2718038994303402</v>
      </c>
      <c r="G611" s="3">
        <v>15.5457259679846</v>
      </c>
      <c r="H611" s="3">
        <v>8.6414525275981102</v>
      </c>
      <c r="I611" s="5"/>
      <c r="J611" s="5"/>
      <c r="K611" s="3">
        <v>18.107483954628499</v>
      </c>
      <c r="L611" s="3">
        <v>0.84799999999999998</v>
      </c>
      <c r="M611" s="3">
        <v>0</v>
      </c>
      <c r="N611" s="3">
        <v>0.41899999999999998</v>
      </c>
      <c r="O611" s="3">
        <v>7.5999999999999998E-2</v>
      </c>
      <c r="P611" s="3">
        <v>1.7999999999999999E-2</v>
      </c>
      <c r="Q611" s="3"/>
    </row>
    <row r="612" spans="1:17" x14ac:dyDescent="0.25">
      <c r="A612" s="3" t="s">
        <v>118</v>
      </c>
      <c r="B612" s="3" t="s">
        <v>43</v>
      </c>
      <c r="C612" s="3">
        <v>2015</v>
      </c>
      <c r="D612" s="3">
        <v>4.5709999999999997</v>
      </c>
      <c r="E612" s="3">
        <v>7.1199999999999999E-2</v>
      </c>
      <c r="F612" s="3">
        <v>7.74200010299682</v>
      </c>
      <c r="G612" s="3">
        <v>-0.37000000476837103</v>
      </c>
      <c r="H612" s="3">
        <v>10.079999923706</v>
      </c>
      <c r="I612" s="5"/>
      <c r="J612" s="5"/>
      <c r="K612" s="3">
        <v>-8.6934923000485304E-2</v>
      </c>
      <c r="L612" s="3">
        <v>0.78968000000000005</v>
      </c>
      <c r="M612" s="3">
        <v>0.34200999999999998</v>
      </c>
      <c r="N612" s="3">
        <v>0.28531000000000001</v>
      </c>
      <c r="O612" s="3">
        <v>0.24362</v>
      </c>
      <c r="P612" s="3">
        <v>6.232E-2</v>
      </c>
      <c r="Q612" s="3"/>
    </row>
    <row r="613" spans="1:17" x14ac:dyDescent="0.25">
      <c r="A613" s="3" t="s">
        <v>118</v>
      </c>
      <c r="B613" s="3" t="s">
        <v>43</v>
      </c>
      <c r="C613" s="3">
        <v>2016</v>
      </c>
      <c r="D613" s="3">
        <v>3.6219999999999999</v>
      </c>
      <c r="E613" s="3">
        <v>0.10706</v>
      </c>
      <c r="F613" s="3">
        <v>8.8439998626708896</v>
      </c>
      <c r="G613" s="3">
        <v>-5.3899998664855904</v>
      </c>
      <c r="H613" s="3">
        <v>7.8899998664855904</v>
      </c>
      <c r="I613" s="5"/>
      <c r="J613" s="5"/>
      <c r="K613" s="3">
        <v>7.2591671845866896</v>
      </c>
      <c r="L613" s="3">
        <v>0.50353000000000003</v>
      </c>
      <c r="M613" s="3">
        <v>0.23164999999999999</v>
      </c>
      <c r="N613" s="3">
        <v>0.25747999999999999</v>
      </c>
      <c r="O613" s="3">
        <v>0.24063000000000001</v>
      </c>
      <c r="P613" s="3">
        <v>4.8520000000000001E-2</v>
      </c>
      <c r="Q613" s="3"/>
    </row>
    <row r="614" spans="1:17" x14ac:dyDescent="0.25">
      <c r="A614" s="3" t="s">
        <v>118</v>
      </c>
      <c r="B614" s="3" t="s">
        <v>43</v>
      </c>
      <c r="C614" s="3">
        <v>2017</v>
      </c>
      <c r="D614" s="3">
        <v>3.5329999920000001</v>
      </c>
      <c r="E614" s="3">
        <v>0.11904179300000001</v>
      </c>
      <c r="F614" s="3">
        <v>12.435</v>
      </c>
      <c r="G614" s="3">
        <v>11.549279255001601</v>
      </c>
      <c r="H614" s="3">
        <v>6.4514497694772999</v>
      </c>
      <c r="I614" s="5"/>
      <c r="J614" s="5"/>
      <c r="K614" s="3">
        <v>-0.114922547997063</v>
      </c>
      <c r="L614" s="3">
        <v>0.87211793699999995</v>
      </c>
      <c r="M614" s="3">
        <v>0.22991819699999999</v>
      </c>
      <c r="N614" s="3">
        <v>0.332881182</v>
      </c>
      <c r="O614" s="3">
        <v>0.26654988499999999</v>
      </c>
      <c r="P614" s="3">
        <v>3.8948248999999997E-2</v>
      </c>
    </row>
    <row r="615" spans="1:17" x14ac:dyDescent="0.25">
      <c r="A615" s="3" t="s">
        <v>118</v>
      </c>
      <c r="B615" s="3" t="s">
        <v>43</v>
      </c>
      <c r="C615" s="3">
        <v>2018</v>
      </c>
      <c r="D615" s="3">
        <v>3.4950000000000001</v>
      </c>
      <c r="E615" s="3">
        <v>7.5999999999999998E-2</v>
      </c>
      <c r="F615" s="3">
        <v>23.56</v>
      </c>
      <c r="G615" s="3">
        <v>19.149562190094599</v>
      </c>
      <c r="H615" s="3">
        <v>20.907375970014101</v>
      </c>
      <c r="I615" s="5"/>
      <c r="J615" s="5"/>
      <c r="K615" s="3">
        <v>-3.3153177542082002</v>
      </c>
      <c r="L615" s="3">
        <v>0.85799999999999998</v>
      </c>
      <c r="M615" s="3">
        <v>0.26700000000000002</v>
      </c>
      <c r="N615" s="3">
        <v>0.41899999999999998</v>
      </c>
      <c r="O615" s="3">
        <v>0.20599999999999999</v>
      </c>
      <c r="P615" s="3">
        <v>0.03</v>
      </c>
      <c r="Q615" s="3"/>
    </row>
    <row r="616" spans="1:17" x14ac:dyDescent="0.25">
      <c r="A616" s="3" t="s">
        <v>118</v>
      </c>
      <c r="B616" s="3" t="s">
        <v>43</v>
      </c>
      <c r="C616" s="3">
        <v>2019</v>
      </c>
      <c r="D616" s="3">
        <v>3.9750000000000001</v>
      </c>
      <c r="E616" s="3">
        <v>7.2999999999999995E-2</v>
      </c>
      <c r="F616" s="3">
        <v>26.968999862670898</v>
      </c>
      <c r="G616" s="5"/>
      <c r="H616" s="3">
        <v>28.8911190961513</v>
      </c>
      <c r="I616" s="5"/>
      <c r="J616" s="5"/>
      <c r="K616" s="3">
        <v>-3.71999999999999</v>
      </c>
      <c r="L616" s="3">
        <v>0.92200000000000004</v>
      </c>
      <c r="M616" s="3">
        <v>0.443</v>
      </c>
      <c r="N616" s="3">
        <v>0.37</v>
      </c>
      <c r="O616" s="3">
        <v>0.23300000000000001</v>
      </c>
      <c r="P616" s="3">
        <v>3.3000000000000002E-2</v>
      </c>
      <c r="Q616" s="3"/>
    </row>
    <row r="617" spans="1:17" x14ac:dyDescent="0.25">
      <c r="A617" s="3" t="s">
        <v>118</v>
      </c>
      <c r="B617" s="3" t="s">
        <v>43</v>
      </c>
      <c r="C617" s="3">
        <v>2020</v>
      </c>
      <c r="D617" s="3">
        <v>4.5578999519999996</v>
      </c>
      <c r="E617" s="3">
        <v>0.174103007</v>
      </c>
      <c r="F617" s="3">
        <v>11.8940000534057</v>
      </c>
      <c r="G617" s="5"/>
      <c r="H617" s="5"/>
      <c r="I617" s="5"/>
      <c r="J617" s="5"/>
      <c r="K617" s="3">
        <v>2.0378063980058099</v>
      </c>
      <c r="L617" s="3">
        <v>0.92073392899999995</v>
      </c>
      <c r="M617" s="3">
        <v>0.39228427399999999</v>
      </c>
      <c r="N617" s="3">
        <v>0.405943096</v>
      </c>
      <c r="O617" s="3">
        <v>0.22696787099999999</v>
      </c>
      <c r="P617" s="3">
        <v>5.1139876000000001E-2</v>
      </c>
      <c r="Q617" s="3"/>
    </row>
    <row r="618" spans="1:17" x14ac:dyDescent="0.25">
      <c r="A618" s="3" t="s">
        <v>118</v>
      </c>
      <c r="B618" s="3" t="s">
        <v>43</v>
      </c>
      <c r="C618" s="3">
        <v>2021</v>
      </c>
      <c r="D618" s="3">
        <v>4.625</v>
      </c>
      <c r="E618" s="3">
        <v>0.22800000000000001</v>
      </c>
      <c r="F618" s="3">
        <v>7.8159999999999998</v>
      </c>
      <c r="G618" s="5"/>
      <c r="H618" s="5"/>
      <c r="I618" s="5"/>
      <c r="J618" s="5"/>
      <c r="K618" s="3">
        <v>9.9456235311021892</v>
      </c>
      <c r="L618" s="3">
        <v>0.57999999999999996</v>
      </c>
      <c r="M618" s="3">
        <v>0.253</v>
      </c>
      <c r="N618" s="3">
        <v>0.43</v>
      </c>
      <c r="O618" s="3">
        <v>0.221</v>
      </c>
      <c r="P618" s="3">
        <v>5.7000000000000002E-2</v>
      </c>
      <c r="Q618" s="3"/>
    </row>
    <row r="619" spans="1:17" x14ac:dyDescent="0.25">
      <c r="A619" s="3" t="s">
        <v>118</v>
      </c>
      <c r="B619" s="3" t="s">
        <v>43</v>
      </c>
      <c r="C619" s="3">
        <v>2022</v>
      </c>
      <c r="D619" s="3">
        <v>5.1219999999999999</v>
      </c>
      <c r="E619" s="3">
        <v>0.63600000000000001</v>
      </c>
      <c r="F619" s="3">
        <v>7.593</v>
      </c>
      <c r="G619" s="5"/>
      <c r="H619" s="5"/>
      <c r="I619" s="5"/>
      <c r="J619" s="5"/>
      <c r="K619" s="3">
        <v>10.0166724274647</v>
      </c>
      <c r="L619" s="3">
        <v>0.67</v>
      </c>
      <c r="M619" s="3">
        <v>0.309</v>
      </c>
      <c r="N619" s="3">
        <v>0.40500000000000003</v>
      </c>
      <c r="O619" s="3">
        <v>0.17799999999999999</v>
      </c>
      <c r="P619" s="3">
        <v>0.08</v>
      </c>
      <c r="Q619" s="3"/>
    </row>
    <row r="620" spans="1:17" x14ac:dyDescent="0.25">
      <c r="A620" s="3" t="s">
        <v>118</v>
      </c>
      <c r="B620" s="3" t="s">
        <v>43</v>
      </c>
      <c r="C620" s="3">
        <v>2023</v>
      </c>
      <c r="D620" s="3">
        <v>4.0419999999999998</v>
      </c>
      <c r="E620" s="3">
        <v>0.628</v>
      </c>
      <c r="F620" s="3">
        <v>2.55517671442635</v>
      </c>
      <c r="G620" s="5"/>
      <c r="H620" s="5"/>
      <c r="I620" s="5"/>
      <c r="J620" s="5"/>
      <c r="K620" s="3">
        <v>5.6228196183049501</v>
      </c>
      <c r="L620" s="3">
        <v>0.64400000000000002</v>
      </c>
      <c r="M620" s="3">
        <v>0.14099999999999999</v>
      </c>
      <c r="N620" s="3">
        <v>0.47099999999999997</v>
      </c>
      <c r="O620" s="3">
        <v>0.219</v>
      </c>
      <c r="P620" s="3">
        <v>7.0999999999999994E-2</v>
      </c>
      <c r="Q620" s="3"/>
    </row>
    <row r="621" spans="1:17" x14ac:dyDescent="0.25">
      <c r="A621" s="3" t="s">
        <v>119</v>
      </c>
      <c r="B621" s="3" t="s">
        <v>41</v>
      </c>
      <c r="C621" s="3">
        <v>2015</v>
      </c>
      <c r="D621" s="3">
        <v>5.7539999999999996</v>
      </c>
      <c r="E621" s="3">
        <v>1.1314500000000001</v>
      </c>
      <c r="F621" s="3">
        <v>9.8389997482299805</v>
      </c>
      <c r="G621" s="5"/>
      <c r="H621" s="5"/>
      <c r="I621" s="5"/>
      <c r="J621" s="5"/>
      <c r="K621" s="3">
        <v>-11.442690929586499</v>
      </c>
      <c r="L621" s="3">
        <v>1.1186199999999999</v>
      </c>
      <c r="M621" s="3">
        <v>0.70379999999999998</v>
      </c>
      <c r="N621" s="3">
        <v>0.41667999999999999</v>
      </c>
      <c r="O621" s="3">
        <v>0.18295</v>
      </c>
      <c r="P621" s="3">
        <v>0.11022999999999999</v>
      </c>
      <c r="Q621" s="3"/>
    </row>
    <row r="622" spans="1:17" x14ac:dyDescent="0.25">
      <c r="A622" s="3" t="s">
        <v>119</v>
      </c>
      <c r="B622" s="3" t="s">
        <v>41</v>
      </c>
      <c r="C622" s="3">
        <v>2016</v>
      </c>
      <c r="D622" s="3">
        <v>5.6150000000000002</v>
      </c>
      <c r="E622" s="3">
        <v>1.0668800000000001</v>
      </c>
      <c r="F622" s="3">
        <v>25.8810005187988</v>
      </c>
      <c r="G622" s="5"/>
      <c r="H622" s="3">
        <v>29.809036254882798</v>
      </c>
      <c r="I622" s="5"/>
      <c r="J622" s="5"/>
      <c r="K622" s="3">
        <v>17.096275586166101</v>
      </c>
      <c r="L622" s="3">
        <v>0.95076000000000005</v>
      </c>
      <c r="M622" s="3">
        <v>0.52303999999999995</v>
      </c>
      <c r="N622" s="3">
        <v>0.40672000000000003</v>
      </c>
      <c r="O622" s="3">
        <v>0.17086999999999999</v>
      </c>
      <c r="P622" s="3">
        <v>0.10339</v>
      </c>
      <c r="Q622" s="3"/>
    </row>
    <row r="623" spans="1:17" x14ac:dyDescent="0.25">
      <c r="A623" s="3" t="s">
        <v>119</v>
      </c>
      <c r="B623" s="3" t="s">
        <v>41</v>
      </c>
      <c r="C623" s="3">
        <v>2017</v>
      </c>
      <c r="D623" s="3">
        <v>5.5250000950000002</v>
      </c>
      <c r="E623" s="3">
        <v>1.1018030640000001</v>
      </c>
      <c r="F623" s="3">
        <v>28.472999999999999</v>
      </c>
      <c r="G623" s="5"/>
      <c r="H623" s="3">
        <v>35.127376556396399</v>
      </c>
      <c r="I623" s="5"/>
      <c r="J623" s="5"/>
      <c r="K623" s="3">
        <v>-1.03465512304728</v>
      </c>
      <c r="L623" s="3">
        <v>1.35756433</v>
      </c>
      <c r="M623" s="3">
        <v>0.52016901999999998</v>
      </c>
      <c r="N623" s="3">
        <v>0.46573323</v>
      </c>
      <c r="O623" s="3">
        <v>0.152073666</v>
      </c>
      <c r="P623" s="3">
        <v>9.2610209999999998E-2</v>
      </c>
      <c r="Q623" s="3"/>
    </row>
    <row r="624" spans="1:17" x14ac:dyDescent="0.25">
      <c r="A624" s="3" t="s">
        <v>119</v>
      </c>
      <c r="B624" s="3" t="s">
        <v>41</v>
      </c>
      <c r="C624" s="3">
        <v>2018</v>
      </c>
      <c r="D624" s="3">
        <v>5.5659999999999998</v>
      </c>
      <c r="E624" s="3">
        <v>0.98499999999999999</v>
      </c>
      <c r="F624" s="3">
        <v>-1.196</v>
      </c>
      <c r="G624" s="5"/>
      <c r="H624" s="5"/>
      <c r="I624" s="5"/>
      <c r="J624" s="5"/>
      <c r="K624" s="3">
        <v>16.3396705683896</v>
      </c>
      <c r="L624" s="3">
        <v>1.35</v>
      </c>
      <c r="M624" s="3">
        <v>0.55300000000000005</v>
      </c>
      <c r="N624" s="3">
        <v>0.496</v>
      </c>
      <c r="O624" s="3">
        <v>0.11600000000000001</v>
      </c>
      <c r="P624" s="3">
        <v>0.14799999999999999</v>
      </c>
      <c r="Q624" s="3"/>
    </row>
    <row r="625" spans="1:17" x14ac:dyDescent="0.25">
      <c r="A625" s="3" t="s">
        <v>119</v>
      </c>
      <c r="B625" s="3" t="s">
        <v>41</v>
      </c>
      <c r="C625" s="3">
        <v>2019</v>
      </c>
      <c r="D625" s="3">
        <v>5.5250000000000004</v>
      </c>
      <c r="E625" s="3">
        <v>1.044</v>
      </c>
      <c r="F625" s="3">
        <v>4.5630002021789497</v>
      </c>
      <c r="G625" s="5"/>
      <c r="H625" s="5"/>
      <c r="I625" s="5"/>
      <c r="J625" s="5"/>
      <c r="K625" s="3">
        <v>-15.062297680064701</v>
      </c>
      <c r="L625" s="3">
        <v>1.3029999999999999</v>
      </c>
      <c r="M625" s="3">
        <v>0.67300000000000004</v>
      </c>
      <c r="N625" s="3">
        <v>0.41599999999999998</v>
      </c>
      <c r="O625" s="3">
        <v>0.13300000000000001</v>
      </c>
      <c r="P625" s="3">
        <v>0.152</v>
      </c>
      <c r="Q625" s="3"/>
    </row>
    <row r="626" spans="1:17" x14ac:dyDescent="0.25">
      <c r="A626" s="3" t="s">
        <v>119</v>
      </c>
      <c r="B626" s="3" t="s">
        <v>41</v>
      </c>
      <c r="C626" s="3">
        <v>2020</v>
      </c>
      <c r="D626" s="3">
        <v>5.488800049</v>
      </c>
      <c r="E626" s="3">
        <v>1.021913767</v>
      </c>
      <c r="F626" s="3">
        <v>22.256</v>
      </c>
      <c r="G626" s="5"/>
      <c r="H626" s="5"/>
      <c r="I626" s="5"/>
      <c r="J626" s="5"/>
      <c r="K626" s="3">
        <v>35.846818815659503</v>
      </c>
      <c r="L626" s="3">
        <v>1.196283698</v>
      </c>
      <c r="M626" s="3">
        <v>0.61562663299999998</v>
      </c>
      <c r="N626" s="3">
        <v>0.45135405699999998</v>
      </c>
      <c r="O626" s="3">
        <v>0.14275769899999999</v>
      </c>
      <c r="P626" s="3">
        <v>0.17225807900000001</v>
      </c>
      <c r="Q626" s="3"/>
    </row>
    <row r="627" spans="1:17" x14ac:dyDescent="0.25">
      <c r="A627" s="3" t="s">
        <v>119</v>
      </c>
      <c r="B627" s="3" t="s">
        <v>41</v>
      </c>
      <c r="C627" s="3">
        <v>2021</v>
      </c>
      <c r="D627" s="3">
        <v>5.41</v>
      </c>
      <c r="E627" s="3">
        <v>1.044</v>
      </c>
      <c r="F627" s="3">
        <v>2.7690000000000001</v>
      </c>
      <c r="G627" s="5"/>
      <c r="H627" s="5"/>
      <c r="I627" s="5"/>
      <c r="J627" s="5"/>
      <c r="K627" s="3">
        <v>110.400070705125</v>
      </c>
      <c r="L627" s="3">
        <v>0.82099999999999995</v>
      </c>
      <c r="M627" s="3">
        <v>0.435</v>
      </c>
      <c r="N627" s="3">
        <v>0.47399999999999998</v>
      </c>
      <c r="O627" s="3">
        <v>0.13100000000000001</v>
      </c>
      <c r="P627" s="3">
        <v>0.17399999999999999</v>
      </c>
      <c r="Q627" s="3"/>
    </row>
    <row r="628" spans="1:17" x14ac:dyDescent="0.25">
      <c r="A628" s="3" t="s">
        <v>119</v>
      </c>
      <c r="B628" s="3" t="s">
        <v>41</v>
      </c>
      <c r="C628" s="3">
        <v>2022</v>
      </c>
      <c r="D628" s="3">
        <v>5.33</v>
      </c>
      <c r="E628" s="3">
        <v>1.476</v>
      </c>
      <c r="F628" s="3">
        <v>4.51</v>
      </c>
      <c r="G628" s="5"/>
      <c r="H628" s="5"/>
      <c r="I628" s="5"/>
      <c r="J628" s="5"/>
      <c r="K628" s="3">
        <v>110.882545476185</v>
      </c>
      <c r="L628" s="3">
        <v>0.94299999999999995</v>
      </c>
      <c r="M628" s="3">
        <v>0.60599999999999998</v>
      </c>
      <c r="N628" s="3">
        <v>0.47699999999999998</v>
      </c>
      <c r="O628" s="3">
        <v>0.106</v>
      </c>
      <c r="P628" s="3">
        <v>0.17899999999999999</v>
      </c>
      <c r="Q628" s="3"/>
    </row>
    <row r="629" spans="1:17" x14ac:dyDescent="0.25">
      <c r="A629" s="3" t="s">
        <v>120</v>
      </c>
      <c r="B629" s="3" t="s">
        <v>39</v>
      </c>
      <c r="C629" s="3">
        <v>2015</v>
      </c>
      <c r="D629" s="3">
        <v>5.8330000000000002</v>
      </c>
      <c r="E629" s="3">
        <v>1.14723</v>
      </c>
      <c r="F629" s="3">
        <v>-0.884097099304199</v>
      </c>
      <c r="G629" s="3">
        <v>-4.7584247589111301</v>
      </c>
      <c r="H629" s="3">
        <v>-0.86143422126769997</v>
      </c>
      <c r="I629" s="3">
        <v>1.2436089515686</v>
      </c>
      <c r="J629" s="3">
        <v>-9.6174125671386701</v>
      </c>
      <c r="K629" s="3">
        <v>6.4040986231180902E-2</v>
      </c>
      <c r="L629" s="3">
        <v>1.25745</v>
      </c>
      <c r="M629" s="3">
        <v>0.73128000000000004</v>
      </c>
      <c r="N629" s="3">
        <v>0.21342</v>
      </c>
      <c r="O629" s="3">
        <v>2.6409999999999999E-2</v>
      </c>
      <c r="P629" s="3">
        <v>1.031E-2</v>
      </c>
      <c r="Q629" s="3"/>
    </row>
    <row r="630" spans="1:17" x14ac:dyDescent="0.25">
      <c r="A630" s="3" t="s">
        <v>120</v>
      </c>
      <c r="B630" s="3" t="s">
        <v>39</v>
      </c>
      <c r="C630" s="3">
        <v>2016</v>
      </c>
      <c r="D630" s="3">
        <v>5.8129999999999997</v>
      </c>
      <c r="E630" s="3">
        <v>1.2692000000000001</v>
      </c>
      <c r="F630" s="3">
        <v>0.90552526712417603</v>
      </c>
      <c r="G630" s="3">
        <v>-2.0323579311370801</v>
      </c>
      <c r="H630" s="3">
        <v>1.2333450317382799</v>
      </c>
      <c r="I630" s="3">
        <v>2.2258334159850999</v>
      </c>
      <c r="J630" s="3">
        <v>-4.3746347427368102</v>
      </c>
      <c r="K630" s="3">
        <v>1.5759999999999901</v>
      </c>
      <c r="L630" s="3">
        <v>1.0641099999999999</v>
      </c>
      <c r="M630" s="3">
        <v>0.64673999999999998</v>
      </c>
      <c r="N630" s="3">
        <v>0.18929000000000001</v>
      </c>
      <c r="O630" s="3">
        <v>2.0250000000000001E-2</v>
      </c>
      <c r="P630" s="3">
        <v>1.8200000000000001E-2</v>
      </c>
      <c r="Q630" s="3"/>
    </row>
    <row r="631" spans="1:17" x14ac:dyDescent="0.25">
      <c r="A631" s="3" t="s">
        <v>120</v>
      </c>
      <c r="B631" s="3" t="s">
        <v>39</v>
      </c>
      <c r="C631" s="3">
        <v>2017</v>
      </c>
      <c r="D631" s="3">
        <v>5.9019999500000004</v>
      </c>
      <c r="E631" s="3">
        <v>1.3145823480000001</v>
      </c>
      <c r="F631" s="3">
        <v>3.718</v>
      </c>
      <c r="G631" s="3">
        <v>1.1213122606277399</v>
      </c>
      <c r="H631" s="3">
        <v>3.5610601902007999</v>
      </c>
      <c r="I631" s="3">
        <v>3.8892648220062198</v>
      </c>
      <c r="J631" s="3">
        <v>5.06273937225341</v>
      </c>
      <c r="K631" s="3">
        <v>4.2431282980231497</v>
      </c>
      <c r="L631" s="3">
        <v>1.473516107</v>
      </c>
      <c r="M631" s="3">
        <v>0.62894994000000004</v>
      </c>
      <c r="N631" s="3">
        <v>0.234231785</v>
      </c>
      <c r="O631" s="3">
        <v>1.0164657000000001E-2</v>
      </c>
      <c r="P631" s="3">
        <v>1.1865643E-2</v>
      </c>
      <c r="Q631" s="3"/>
    </row>
    <row r="632" spans="1:17" x14ac:dyDescent="0.25">
      <c r="A632" s="3" t="s">
        <v>120</v>
      </c>
      <c r="B632" s="3" t="s">
        <v>39</v>
      </c>
      <c r="C632" s="3">
        <v>2018</v>
      </c>
      <c r="D632" s="3">
        <v>5.952</v>
      </c>
      <c r="E632" s="3">
        <v>1.1970000000000001</v>
      </c>
      <c r="F632" s="3">
        <v>2.7</v>
      </c>
      <c r="G632" s="3">
        <v>4.05245018005371</v>
      </c>
      <c r="H632" s="3">
        <v>1.4433568716049101</v>
      </c>
      <c r="I632" s="3">
        <v>2.1766765117645201</v>
      </c>
      <c r="J632" s="3">
        <v>5.6232886314392001</v>
      </c>
      <c r="K632" s="3">
        <v>3.5292673252365798</v>
      </c>
      <c r="L632" s="3">
        <v>1.5269999999999999</v>
      </c>
      <c r="M632" s="3">
        <v>0.71599999999999997</v>
      </c>
      <c r="N632" s="3">
        <v>0.35</v>
      </c>
      <c r="O632" s="3">
        <v>2.5999999999999999E-2</v>
      </c>
      <c r="P632" s="3">
        <v>6.0000000000000001E-3</v>
      </c>
      <c r="Q632" s="3"/>
    </row>
    <row r="633" spans="1:17" x14ac:dyDescent="0.25">
      <c r="A633" s="3" t="s">
        <v>120</v>
      </c>
      <c r="B633" s="3" t="s">
        <v>39</v>
      </c>
      <c r="C633" s="3">
        <v>2019</v>
      </c>
      <c r="D633" s="3">
        <v>6.149</v>
      </c>
      <c r="E633" s="3">
        <v>1.238</v>
      </c>
      <c r="F633" s="3">
        <v>2.24200010299682</v>
      </c>
      <c r="G633" s="3">
        <v>0.12721650302410101</v>
      </c>
      <c r="H633" s="3">
        <v>2.9298751354217498</v>
      </c>
      <c r="I633" s="3">
        <v>2.4106099605560298</v>
      </c>
      <c r="J633" s="3">
        <v>-7.8523710370063698E-2</v>
      </c>
      <c r="K633" s="3">
        <v>2.80689271412021</v>
      </c>
      <c r="L633" s="3">
        <v>1.5149999999999999</v>
      </c>
      <c r="M633" s="3">
        <v>0.81799999999999995</v>
      </c>
      <c r="N633" s="3">
        <v>0.29099999999999998</v>
      </c>
      <c r="O633" s="3">
        <v>4.2999999999999997E-2</v>
      </c>
      <c r="P633" s="3">
        <v>4.2000000000000003E-2</v>
      </c>
      <c r="Q633" s="3"/>
    </row>
    <row r="634" spans="1:17" x14ac:dyDescent="0.25">
      <c r="A634" s="3" t="s">
        <v>120</v>
      </c>
      <c r="B634" s="3" t="s">
        <v>39</v>
      </c>
      <c r="C634" s="3">
        <v>2020</v>
      </c>
      <c r="D634" s="3">
        <v>6.2154998780000001</v>
      </c>
      <c r="E634" s="3">
        <v>1.1935596470000001</v>
      </c>
      <c r="F634" s="3">
        <v>1.1998944498358499</v>
      </c>
      <c r="G634" s="3">
        <v>-3.4034307048791201</v>
      </c>
      <c r="H634" s="3">
        <v>2.2611813545227002</v>
      </c>
      <c r="I634" s="3">
        <v>3.055183</v>
      </c>
      <c r="J634" s="3">
        <v>-8.8801546096801705</v>
      </c>
      <c r="K634" s="3">
        <v>0.82342502218278302</v>
      </c>
      <c r="L634" s="3">
        <v>1.4328657389999999</v>
      </c>
      <c r="M634" s="3">
        <v>0.79542118299999998</v>
      </c>
      <c r="N634" s="3">
        <v>0.42046078999999997</v>
      </c>
      <c r="O634" s="3">
        <v>5.3691041000000002E-2</v>
      </c>
      <c r="P634" s="3">
        <v>8.1350274E-2</v>
      </c>
      <c r="Q634" s="3"/>
    </row>
    <row r="635" spans="1:17" x14ac:dyDescent="0.25">
      <c r="A635" s="3" t="s">
        <v>120</v>
      </c>
      <c r="B635" s="3" t="s">
        <v>39</v>
      </c>
      <c r="C635" s="3">
        <v>2021</v>
      </c>
      <c r="D635" s="3">
        <v>6.2549999999999999</v>
      </c>
      <c r="E635" s="3">
        <v>1.35</v>
      </c>
      <c r="F635" s="3">
        <v>4.6835440000000004</v>
      </c>
      <c r="G635" s="3">
        <v>14.33189</v>
      </c>
      <c r="H635" s="3">
        <v>2.766</v>
      </c>
      <c r="I635" s="3">
        <v>3.5019999999999998</v>
      </c>
      <c r="J635" s="3">
        <v>9.6195323958245407</v>
      </c>
      <c r="K635" s="3">
        <v>6.5080531383613298</v>
      </c>
      <c r="L635" s="3">
        <v>1.0649999999999999</v>
      </c>
      <c r="M635" s="3">
        <v>0.61199999999999999</v>
      </c>
      <c r="N635" s="3">
        <v>0.47599999999999998</v>
      </c>
      <c r="O635" s="3">
        <v>5.6000000000000001E-2</v>
      </c>
      <c r="P635" s="3">
        <v>7.2999999999999995E-2</v>
      </c>
      <c r="Q635" s="3"/>
    </row>
    <row r="636" spans="1:17" x14ac:dyDescent="0.25">
      <c r="A636" s="3" t="s">
        <v>120</v>
      </c>
      <c r="B636" s="3" t="s">
        <v>39</v>
      </c>
      <c r="C636" s="3">
        <v>2022</v>
      </c>
      <c r="D636" s="3">
        <v>6.4459999999999997</v>
      </c>
      <c r="E636" s="3">
        <v>1.804</v>
      </c>
      <c r="F636" s="3">
        <v>19.70505</v>
      </c>
      <c r="G636" s="3">
        <v>56.049164486094703</v>
      </c>
      <c r="H636" s="3">
        <v>26.343620000000001</v>
      </c>
      <c r="I636" s="3">
        <v>10.3134987384356</v>
      </c>
      <c r="J636" s="3">
        <v>25.885408468440001</v>
      </c>
      <c r="K636" s="3">
        <v>14.463527708425101</v>
      </c>
      <c r="L636" s="3">
        <v>1.204</v>
      </c>
      <c r="M636" s="3">
        <v>0.65900000000000003</v>
      </c>
      <c r="N636" s="3">
        <v>0.496</v>
      </c>
      <c r="O636" s="3">
        <v>5.2999999999999999E-2</v>
      </c>
      <c r="P636" s="3">
        <v>7.6999999999999999E-2</v>
      </c>
      <c r="Q636" s="3"/>
    </row>
    <row r="637" spans="1:17" x14ac:dyDescent="0.25">
      <c r="A637" s="3" t="s">
        <v>120</v>
      </c>
      <c r="B637" s="3" t="s">
        <v>39</v>
      </c>
      <c r="C637" s="3">
        <v>2023</v>
      </c>
      <c r="D637" s="3">
        <v>6.7629999999999999</v>
      </c>
      <c r="E637" s="3">
        <v>1.8080000000000001</v>
      </c>
      <c r="F637" s="3">
        <v>9.1173196239047503</v>
      </c>
      <c r="G637" s="3">
        <v>0.169712974355718</v>
      </c>
      <c r="H637" s="3">
        <v>14.572627491398</v>
      </c>
      <c r="I637" s="3">
        <v>9.9095005375073395</v>
      </c>
      <c r="J637" s="3">
        <v>-2.2798251093061799</v>
      </c>
      <c r="K637" s="3">
        <v>7.2039328352366203</v>
      </c>
      <c r="L637" s="3">
        <v>1.5109999999999999</v>
      </c>
      <c r="M637" s="3">
        <v>0.432</v>
      </c>
      <c r="N637" s="3">
        <v>0.48699999999999999</v>
      </c>
      <c r="O637" s="3">
        <v>5.8999999999999997E-2</v>
      </c>
      <c r="P637" s="3">
        <v>8.8999999999999996E-2</v>
      </c>
      <c r="Q637" s="3"/>
    </row>
    <row r="638" spans="1:17" x14ac:dyDescent="0.25">
      <c r="A638" s="3" t="s">
        <v>121</v>
      </c>
      <c r="B638" s="3" t="s">
        <v>50</v>
      </c>
      <c r="C638" s="3">
        <v>2015</v>
      </c>
      <c r="D638" s="3">
        <v>6.9459999999999997</v>
      </c>
      <c r="E638" s="3">
        <v>1.5639099999999999</v>
      </c>
      <c r="F638" s="3">
        <v>0.47474685311317399</v>
      </c>
      <c r="G638" s="3">
        <v>-0.91411358118057195</v>
      </c>
      <c r="H638" s="3">
        <v>0.76749837398528997</v>
      </c>
      <c r="I638" s="3">
        <v>1.6062559999999999</v>
      </c>
      <c r="J638" s="3">
        <v>-0.82724303007125799</v>
      </c>
      <c r="K638" s="3">
        <v>0.18527921042551701</v>
      </c>
      <c r="L638" s="3">
        <v>1.21963</v>
      </c>
      <c r="M638" s="3">
        <v>0.91893999999999998</v>
      </c>
      <c r="N638" s="3">
        <v>0.61582999999999999</v>
      </c>
      <c r="O638" s="3">
        <v>0.28033999999999998</v>
      </c>
      <c r="P638" s="3">
        <v>0.37797999999999998</v>
      </c>
      <c r="Q638" s="3"/>
    </row>
    <row r="639" spans="1:17" x14ac:dyDescent="0.25">
      <c r="A639" s="3" t="s">
        <v>121</v>
      </c>
      <c r="B639" s="3" t="s">
        <v>50</v>
      </c>
      <c r="C639" s="3">
        <v>2016</v>
      </c>
      <c r="D639" s="3">
        <v>6.8710000000000004</v>
      </c>
      <c r="E639" s="3">
        <v>1.6975199999999999</v>
      </c>
      <c r="F639" s="3">
        <v>0.29083251953125</v>
      </c>
      <c r="G639" s="3">
        <v>-1.5734124183654701</v>
      </c>
      <c r="H639" s="3">
        <v>1.52914178371429</v>
      </c>
      <c r="I639" s="3">
        <v>0.95165869999999997</v>
      </c>
      <c r="J639" s="3">
        <v>-1.17498326301574</v>
      </c>
      <c r="K639" s="3">
        <v>0.77086537863092697</v>
      </c>
      <c r="L639" s="3">
        <v>1.03999</v>
      </c>
      <c r="M639" s="3">
        <v>0.84541999999999995</v>
      </c>
      <c r="N639" s="3">
        <v>0.54869999999999997</v>
      </c>
      <c r="O639" s="3">
        <v>0.27571000000000001</v>
      </c>
      <c r="P639" s="3">
        <v>0.35328999999999999</v>
      </c>
      <c r="Q639" s="3"/>
    </row>
    <row r="640" spans="1:17" x14ac:dyDescent="0.25">
      <c r="A640" s="3" t="s">
        <v>121</v>
      </c>
      <c r="B640" s="3" t="s">
        <v>50</v>
      </c>
      <c r="C640" s="3">
        <v>2017</v>
      </c>
      <c r="D640" s="3">
        <v>6.8629999159999997</v>
      </c>
      <c r="E640" s="3">
        <v>1.741943598</v>
      </c>
      <c r="F640" s="3">
        <v>2.1110000000000002</v>
      </c>
      <c r="G640" s="3">
        <v>1.67137646675109</v>
      </c>
      <c r="H640" s="3">
        <v>2.8160598278045601</v>
      </c>
      <c r="I640" s="3">
        <v>1.3669789999999999</v>
      </c>
      <c r="J640" s="3">
        <v>2.9183697700500399</v>
      </c>
      <c r="K640" s="3">
        <v>1.7161058074079301</v>
      </c>
      <c r="L640" s="3">
        <v>1.4575836660000001</v>
      </c>
      <c r="M640" s="3">
        <v>0.84508949499999997</v>
      </c>
      <c r="N640" s="3">
        <v>0.59662789100000002</v>
      </c>
      <c r="O640" s="3">
        <v>0.28318098200000003</v>
      </c>
      <c r="P640" s="3">
        <v>0.31883442400000001</v>
      </c>
    </row>
    <row r="641" spans="1:17" x14ac:dyDescent="0.25">
      <c r="A641" s="3" t="s">
        <v>121</v>
      </c>
      <c r="B641" s="3" t="s">
        <v>50</v>
      </c>
      <c r="C641" s="3">
        <v>2018</v>
      </c>
      <c r="D641" s="3">
        <v>6.91</v>
      </c>
      <c r="E641" s="3">
        <v>1.5760000000000001</v>
      </c>
      <c r="F641" s="3">
        <v>1.53</v>
      </c>
      <c r="G641" s="3">
        <v>3.1787128448486301</v>
      </c>
      <c r="H641" s="3">
        <v>2.21126008033752</v>
      </c>
      <c r="I641" s="3">
        <v>0.88274339999999996</v>
      </c>
      <c r="J641" s="3">
        <v>4.5590052604675204</v>
      </c>
      <c r="K641" s="3">
        <v>2.5120789708803501</v>
      </c>
      <c r="L641" s="3">
        <v>1.52</v>
      </c>
      <c r="M641" s="3">
        <v>0.89600000000000002</v>
      </c>
      <c r="N641" s="3">
        <v>0.63200000000000001</v>
      </c>
      <c r="O641" s="3">
        <v>0.19600000000000001</v>
      </c>
      <c r="P641" s="3">
        <v>0.32100000000000001</v>
      </c>
      <c r="Q641" s="3"/>
    </row>
    <row r="642" spans="1:17" x14ac:dyDescent="0.25">
      <c r="A642" s="3" t="s">
        <v>121</v>
      </c>
      <c r="B642" s="3" t="s">
        <v>50</v>
      </c>
      <c r="C642" s="3">
        <v>2019</v>
      </c>
      <c r="D642" s="3">
        <v>7.09</v>
      </c>
      <c r="E642" s="3">
        <v>1.609</v>
      </c>
      <c r="F642" s="3">
        <v>1.6540000438690099</v>
      </c>
      <c r="G642" s="3">
        <v>1.61465799808502</v>
      </c>
      <c r="H642" s="3">
        <v>1.40192794799804</v>
      </c>
      <c r="I642" s="3">
        <v>1.7984709999999999</v>
      </c>
      <c r="J642" s="3">
        <v>-1.8697413206100399</v>
      </c>
      <c r="K642" s="3">
        <v>3.39146548879242</v>
      </c>
      <c r="L642" s="3">
        <v>1.4790000000000001</v>
      </c>
      <c r="M642" s="3">
        <v>1.012</v>
      </c>
      <c r="N642" s="3">
        <v>0.52600000000000002</v>
      </c>
      <c r="O642" s="3">
        <v>0.19400000000000001</v>
      </c>
      <c r="P642" s="3">
        <v>0.316</v>
      </c>
      <c r="Q642" s="3"/>
    </row>
    <row r="643" spans="1:17" x14ac:dyDescent="0.25">
      <c r="A643" s="3" t="s">
        <v>121</v>
      </c>
      <c r="B643" s="3" t="s">
        <v>50</v>
      </c>
      <c r="C643" s="3">
        <v>2020</v>
      </c>
      <c r="D643" s="3">
        <v>7.2375001909999996</v>
      </c>
      <c r="E643" s="3">
        <v>1.536676049</v>
      </c>
      <c r="F643" s="3">
        <v>0.819957302127031</v>
      </c>
      <c r="G643" s="3">
        <v>-0.76677518753514196</v>
      </c>
      <c r="H643" s="3">
        <v>2.72657895088195</v>
      </c>
      <c r="I643" s="3">
        <v>1.290133</v>
      </c>
      <c r="J643" s="3">
        <v>-1.9492290124492</v>
      </c>
      <c r="K643" s="3">
        <v>2.3308535277893698</v>
      </c>
      <c r="L643" s="3">
        <v>1.3875284189999999</v>
      </c>
      <c r="M643" s="3">
        <v>0.98644268499999999</v>
      </c>
      <c r="N643" s="3">
        <v>0.61013704499999999</v>
      </c>
      <c r="O643" s="3">
        <v>0.19595392</v>
      </c>
      <c r="P643" s="3">
        <v>0.36704146900000001</v>
      </c>
      <c r="Q643" s="3"/>
    </row>
    <row r="644" spans="1:17" x14ac:dyDescent="0.25">
      <c r="A644" s="3" t="s">
        <v>121</v>
      </c>
      <c r="B644" s="3" t="s">
        <v>50</v>
      </c>
      <c r="C644" s="3">
        <v>2021</v>
      </c>
      <c r="D644" s="3">
        <v>7.3239999999999998</v>
      </c>
      <c r="E644" s="3">
        <v>1.7509999999999999</v>
      </c>
      <c r="F644" s="3">
        <v>2.5269200000000001</v>
      </c>
      <c r="G644" s="3">
        <v>18.824290000000001</v>
      </c>
      <c r="H644" s="3">
        <v>0.89600000000000002</v>
      </c>
      <c r="I644" s="3">
        <v>1.5672710000000001</v>
      </c>
      <c r="J644" s="3">
        <v>11.324359498486301</v>
      </c>
      <c r="K644" s="3">
        <v>6.1812924548869104</v>
      </c>
      <c r="L644" s="3">
        <v>1.0029999999999999</v>
      </c>
      <c r="M644" s="3">
        <v>0.76</v>
      </c>
      <c r="N644" s="3">
        <v>0.63900000000000001</v>
      </c>
      <c r="O644" s="3">
        <v>0.16600000000000001</v>
      </c>
      <c r="P644" s="3">
        <v>0.35299999999999998</v>
      </c>
      <c r="Q644" s="3"/>
    </row>
    <row r="645" spans="1:17" x14ac:dyDescent="0.25">
      <c r="A645" s="3" t="s">
        <v>121</v>
      </c>
      <c r="B645" s="3" t="s">
        <v>50</v>
      </c>
      <c r="C645" s="3">
        <v>2022</v>
      </c>
      <c r="D645" s="3">
        <v>7.4039999999999999</v>
      </c>
      <c r="E645" s="3">
        <v>2.2090000000000001</v>
      </c>
      <c r="F645" s="3">
        <v>6.3360079999999996</v>
      </c>
      <c r="G645" s="3">
        <v>31.359817237989301</v>
      </c>
      <c r="H645" s="3">
        <v>7.015784</v>
      </c>
      <c r="I645" s="3">
        <v>4.0126400000000002</v>
      </c>
      <c r="J645" s="3">
        <v>25.5649968882034</v>
      </c>
      <c r="K645" s="3">
        <v>6.5231431646931997</v>
      </c>
      <c r="L645" s="3">
        <v>1.155</v>
      </c>
      <c r="M645" s="3">
        <v>0.79</v>
      </c>
      <c r="N645" s="3">
        <v>0.7</v>
      </c>
      <c r="O645" s="3">
        <v>0.12</v>
      </c>
      <c r="P645" s="3">
        <v>0.38800000000000001</v>
      </c>
      <c r="Q645" s="3"/>
    </row>
    <row r="646" spans="1:17" x14ac:dyDescent="0.25">
      <c r="A646" s="3" t="s">
        <v>121</v>
      </c>
      <c r="B646" s="3" t="s">
        <v>50</v>
      </c>
      <c r="C646" s="3">
        <v>2023</v>
      </c>
      <c r="D646" s="3">
        <v>7.2279999999999998</v>
      </c>
      <c r="E646" s="3">
        <v>2.2000000000000002</v>
      </c>
      <c r="F646" s="3">
        <v>3.7414036198313601</v>
      </c>
      <c r="G646" s="3">
        <v>-5.5426149217725902</v>
      </c>
      <c r="H646" s="3">
        <v>10.4528466970814</v>
      </c>
      <c r="I646" s="3">
        <v>3.7022219999999999</v>
      </c>
      <c r="J646" s="3">
        <v>2.7997728804789199</v>
      </c>
      <c r="K646" s="3">
        <v>3.55052021574275</v>
      </c>
      <c r="L646" s="3">
        <v>1.357</v>
      </c>
      <c r="M646" s="3">
        <v>0.54900000000000004</v>
      </c>
      <c r="N646" s="3">
        <v>0.71</v>
      </c>
      <c r="O646" s="3">
        <v>0.14899999999999999</v>
      </c>
      <c r="P646" s="3">
        <v>0.41799999999999998</v>
      </c>
      <c r="Q646" s="3"/>
    </row>
    <row r="647" spans="1:17" x14ac:dyDescent="0.25">
      <c r="A647" s="3" t="s">
        <v>122</v>
      </c>
      <c r="B647" s="3" t="s">
        <v>43</v>
      </c>
      <c r="C647" s="3">
        <v>2015</v>
      </c>
      <c r="D647" s="3">
        <v>3.681</v>
      </c>
      <c r="E647" s="3">
        <v>0.20824000000000001</v>
      </c>
      <c r="F647" s="3">
        <v>7.4039998054504297</v>
      </c>
      <c r="G647" s="3">
        <v>12.020357131958001</v>
      </c>
      <c r="H647" s="3">
        <v>6.5203299522399902</v>
      </c>
      <c r="I647" s="5"/>
      <c r="J647" s="5"/>
      <c r="K647" s="3">
        <v>6.5034038195071897</v>
      </c>
      <c r="L647" s="3">
        <v>0.66800999999999999</v>
      </c>
      <c r="M647" s="3">
        <v>0.46721000000000001</v>
      </c>
      <c r="N647" s="3">
        <v>0.19184000000000001</v>
      </c>
      <c r="O647" s="3">
        <v>0.21332999999999999</v>
      </c>
      <c r="P647" s="3">
        <v>8.1240000000000007E-2</v>
      </c>
      <c r="Q647" s="3"/>
    </row>
    <row r="648" spans="1:17" x14ac:dyDescent="0.25">
      <c r="A648" s="3" t="s">
        <v>122</v>
      </c>
      <c r="B648" s="3" t="s">
        <v>43</v>
      </c>
      <c r="C648" s="3">
        <v>2016</v>
      </c>
      <c r="D648" s="3">
        <v>3.6949999999999998</v>
      </c>
      <c r="E648" s="3">
        <v>0.27954000000000001</v>
      </c>
      <c r="F648" s="3">
        <v>6.6599998474120996</v>
      </c>
      <c r="G648" s="3">
        <v>10.0900001525878</v>
      </c>
      <c r="H648" s="3">
        <v>6.3899998664855904</v>
      </c>
      <c r="I648" s="5"/>
      <c r="J648" s="5"/>
      <c r="K648" s="3">
        <v>8.9606018610176204</v>
      </c>
      <c r="L648" s="3">
        <v>0.46115</v>
      </c>
      <c r="M648" s="3">
        <v>0.37108999999999998</v>
      </c>
      <c r="N648" s="3">
        <v>0.13683999999999999</v>
      </c>
      <c r="O648" s="3">
        <v>0.22040000000000001</v>
      </c>
      <c r="P648" s="3">
        <v>7.5060000000000002E-2</v>
      </c>
      <c r="Q648" s="3"/>
    </row>
    <row r="649" spans="1:17" x14ac:dyDescent="0.25">
      <c r="A649" s="3" t="s">
        <v>122</v>
      </c>
      <c r="B649" s="3" t="s">
        <v>43</v>
      </c>
      <c r="C649" s="3">
        <v>2017</v>
      </c>
      <c r="D649" s="3">
        <v>3.6440000530000001</v>
      </c>
      <c r="E649" s="3">
        <v>0.30580869300000002</v>
      </c>
      <c r="F649" s="3">
        <v>8.2810000000000006</v>
      </c>
      <c r="G649" s="3">
        <v>9.8849808301383497</v>
      </c>
      <c r="H649" s="3">
        <v>9.3007317246556607</v>
      </c>
      <c r="I649" s="5"/>
      <c r="J649" s="5"/>
      <c r="K649" s="3">
        <v>4.9614278446315501</v>
      </c>
      <c r="L649" s="3">
        <v>0.91302037199999997</v>
      </c>
      <c r="M649" s="3">
        <v>0.375223309</v>
      </c>
      <c r="N649" s="3">
        <v>0.18919676499999999</v>
      </c>
      <c r="O649" s="3">
        <v>0.20873253</v>
      </c>
      <c r="P649" s="3">
        <v>6.7231974999999999E-2</v>
      </c>
      <c r="Q649" s="3"/>
    </row>
    <row r="650" spans="1:17" x14ac:dyDescent="0.25">
      <c r="A650" s="3" t="s">
        <v>122</v>
      </c>
      <c r="B650" s="3" t="s">
        <v>43</v>
      </c>
      <c r="C650" s="3">
        <v>2018</v>
      </c>
      <c r="D650" s="3">
        <v>3.774</v>
      </c>
      <c r="E650" s="3">
        <v>0.26200000000000001</v>
      </c>
      <c r="F650" s="3">
        <v>7.29</v>
      </c>
      <c r="G650" s="3">
        <v>6.9174757281553498</v>
      </c>
      <c r="H650" s="3">
        <v>10.862151646987201</v>
      </c>
      <c r="I650" s="5"/>
      <c r="J650" s="5"/>
      <c r="K650" s="3">
        <v>9.9840243739582508</v>
      </c>
      <c r="L650" s="3">
        <v>0.90800000000000003</v>
      </c>
      <c r="M650" s="3">
        <v>0.40200000000000002</v>
      </c>
      <c r="N650" s="3">
        <v>0.221</v>
      </c>
      <c r="O650" s="3">
        <v>0.155</v>
      </c>
      <c r="P650" s="3">
        <v>4.9000000000000002E-2</v>
      </c>
      <c r="Q650" s="3"/>
    </row>
    <row r="651" spans="1:17" x14ac:dyDescent="0.25">
      <c r="A651" s="3" t="s">
        <v>122</v>
      </c>
      <c r="B651" s="3" t="s">
        <v>43</v>
      </c>
      <c r="C651" s="3">
        <v>2019</v>
      </c>
      <c r="D651" s="3">
        <v>3.9329999999999998</v>
      </c>
      <c r="E651" s="3">
        <v>0.27400000000000002</v>
      </c>
      <c r="F651" s="3">
        <v>5.6230001449584899</v>
      </c>
      <c r="G651" s="3">
        <v>9.3501702610669604</v>
      </c>
      <c r="H651" s="3">
        <v>4.8207824023518198</v>
      </c>
      <c r="I651" s="5"/>
      <c r="J651" s="5"/>
      <c r="K651" s="3">
        <v>7.96693783755829</v>
      </c>
      <c r="L651" s="3">
        <v>0.91600000000000004</v>
      </c>
      <c r="M651" s="3">
        <v>0.55500000000000005</v>
      </c>
      <c r="N651" s="3">
        <v>0.14799999999999999</v>
      </c>
      <c r="O651" s="3">
        <v>0.16900000000000001</v>
      </c>
      <c r="P651" s="3">
        <v>4.1000000000000002E-2</v>
      </c>
      <c r="Q651" s="3"/>
    </row>
    <row r="652" spans="1:17" x14ac:dyDescent="0.25">
      <c r="A652" s="3" t="s">
        <v>122</v>
      </c>
      <c r="B652" s="3" t="s">
        <v>43</v>
      </c>
      <c r="C652" s="3">
        <v>2020</v>
      </c>
      <c r="D652" s="3">
        <v>4.165599823</v>
      </c>
      <c r="E652" s="3">
        <v>0.24455320799999999</v>
      </c>
      <c r="F652" s="3">
        <v>4.20179312190524</v>
      </c>
      <c r="G652" s="3">
        <v>4.6126897625535301</v>
      </c>
      <c r="H652" s="3">
        <v>3.8097520260814299</v>
      </c>
      <c r="I652" s="5"/>
      <c r="J652" s="5"/>
      <c r="K652" s="3">
        <v>4.1881000478996899</v>
      </c>
      <c r="L652" s="3">
        <v>0.82369434799999997</v>
      </c>
      <c r="M652" s="3">
        <v>0.50061702699999999</v>
      </c>
      <c r="N652" s="3">
        <v>0.19296754899999999</v>
      </c>
      <c r="O652" s="3">
        <v>0.19119006399999999</v>
      </c>
      <c r="P652" s="3">
        <v>7.6248637999999994E-2</v>
      </c>
      <c r="Q652" s="3"/>
    </row>
    <row r="653" spans="1:17" x14ac:dyDescent="0.25">
      <c r="A653" s="3" t="s">
        <v>122</v>
      </c>
      <c r="B653" s="3" t="s">
        <v>43</v>
      </c>
      <c r="C653" s="3">
        <v>2021</v>
      </c>
      <c r="D653" s="3">
        <v>4.2080000000000002</v>
      </c>
      <c r="E653" s="3">
        <v>0.26600000000000001</v>
      </c>
      <c r="F653" s="3">
        <v>5.819</v>
      </c>
      <c r="G653" s="3">
        <v>2.4900000000000002</v>
      </c>
      <c r="H653" s="3">
        <v>7.44</v>
      </c>
      <c r="I653" s="5"/>
      <c r="J653" s="5"/>
      <c r="K653" s="3">
        <v>7.3970715159663696</v>
      </c>
      <c r="L653" s="3">
        <v>0.503</v>
      </c>
      <c r="M653" s="3">
        <v>0.34100000000000003</v>
      </c>
      <c r="N653" s="3">
        <v>0.20699999999999999</v>
      </c>
      <c r="O653" s="3">
        <v>0.185</v>
      </c>
      <c r="P653" s="3">
        <v>8.6999999999999994E-2</v>
      </c>
      <c r="Q653" s="3"/>
    </row>
    <row r="654" spans="1:17" x14ac:dyDescent="0.25">
      <c r="A654" s="3" t="s">
        <v>122</v>
      </c>
      <c r="B654" s="3" t="s">
        <v>43</v>
      </c>
      <c r="C654" s="3">
        <v>2022</v>
      </c>
      <c r="D654" s="3">
        <v>4.3390000000000004</v>
      </c>
      <c r="E654" s="3">
        <v>0.67</v>
      </c>
      <c r="F654" s="3">
        <v>8.1605903199184393</v>
      </c>
      <c r="G654" s="3">
        <v>2.8912322737967502</v>
      </c>
      <c r="H654" s="3">
        <v>9.5525535785474407</v>
      </c>
      <c r="I654" s="5"/>
      <c r="J654" s="5"/>
      <c r="K654" s="3">
        <v>6.6408818887281198</v>
      </c>
      <c r="L654" s="3">
        <v>0.64500000000000002</v>
      </c>
      <c r="M654" s="3">
        <v>0.378</v>
      </c>
      <c r="N654" s="3">
        <v>0.20200000000000001</v>
      </c>
      <c r="O654" s="3">
        <v>0.14299999999999999</v>
      </c>
      <c r="P654" s="3">
        <v>0.154</v>
      </c>
      <c r="Q654" s="3"/>
    </row>
    <row r="655" spans="1:17" x14ac:dyDescent="0.25">
      <c r="A655" s="3" t="s">
        <v>122</v>
      </c>
      <c r="B655" s="3" t="s">
        <v>43</v>
      </c>
      <c r="C655" s="3">
        <v>2023</v>
      </c>
      <c r="D655" s="3">
        <v>4.0190000000000001</v>
      </c>
      <c r="E655" s="3">
        <v>0.63200000000000001</v>
      </c>
      <c r="F655" s="3">
        <v>9.8610000000000007</v>
      </c>
      <c r="G655" s="3">
        <v>3.8107747934920702</v>
      </c>
      <c r="H655" s="3">
        <v>12.023854295384901</v>
      </c>
      <c r="I655" s="5"/>
      <c r="J655" s="5"/>
      <c r="K655" s="3">
        <v>7.3822125937320298</v>
      </c>
      <c r="L655" s="3">
        <v>0.77900000000000003</v>
      </c>
      <c r="M655" s="3">
        <v>0.17799999999999999</v>
      </c>
      <c r="N655" s="3">
        <v>0.187</v>
      </c>
      <c r="O655" s="3">
        <v>0.17699999999999999</v>
      </c>
      <c r="P655" s="3">
        <v>0.13400000000000001</v>
      </c>
      <c r="Q655" s="3"/>
    </row>
    <row r="656" spans="1:17" x14ac:dyDescent="0.25">
      <c r="A656" s="3" t="s">
        <v>123</v>
      </c>
      <c r="B656" s="3" t="s">
        <v>43</v>
      </c>
      <c r="C656" s="3">
        <v>2015</v>
      </c>
      <c r="D656" s="3">
        <v>4.2919999999999998</v>
      </c>
      <c r="E656" s="3">
        <v>1.6039999999999999E-2</v>
      </c>
      <c r="F656" s="3">
        <v>21.8579998016357</v>
      </c>
      <c r="G656" s="3">
        <v>29.350000381469702</v>
      </c>
      <c r="H656" s="3">
        <v>23.860000610351499</v>
      </c>
      <c r="I656" s="5"/>
      <c r="J656" s="5"/>
      <c r="K656" s="3">
        <v>20.9057765770476</v>
      </c>
      <c r="L656" s="3">
        <v>0.41133999999999998</v>
      </c>
      <c r="M656" s="3">
        <v>0.22561999999999999</v>
      </c>
      <c r="N656" s="3">
        <v>0.43053999999999998</v>
      </c>
      <c r="O656" s="3">
        <v>0.33128000000000002</v>
      </c>
      <c r="P656" s="3">
        <v>6.9769999999999999E-2</v>
      </c>
      <c r="Q656" s="3"/>
    </row>
    <row r="657" spans="1:17" x14ac:dyDescent="0.25">
      <c r="A657" s="3" t="s">
        <v>123</v>
      </c>
      <c r="B657" s="3" t="s">
        <v>43</v>
      </c>
      <c r="C657" s="3">
        <v>2016</v>
      </c>
      <c r="D657" s="3">
        <v>4.1559999999999997</v>
      </c>
      <c r="E657" s="3">
        <v>8.7090000000000001E-2</v>
      </c>
      <c r="F657" s="3">
        <v>21.7269992828369</v>
      </c>
      <c r="G657" s="3">
        <v>19.329999923706001</v>
      </c>
      <c r="H657" s="3">
        <v>24.770000457763601</v>
      </c>
      <c r="I657" s="5"/>
      <c r="J657" s="5"/>
      <c r="K657" s="3">
        <v>20.545010411661</v>
      </c>
      <c r="L657" s="3">
        <v>0.14699999999999999</v>
      </c>
      <c r="M657" s="3">
        <v>0.29364000000000001</v>
      </c>
      <c r="N657" s="3">
        <v>0.4143</v>
      </c>
      <c r="O657" s="3">
        <v>0.30968000000000001</v>
      </c>
      <c r="P657" s="3">
        <v>7.5639999999999999E-2</v>
      </c>
    </row>
    <row r="658" spans="1:17" x14ac:dyDescent="0.25">
      <c r="A658" s="3" t="s">
        <v>123</v>
      </c>
      <c r="B658" s="3" t="s">
        <v>43</v>
      </c>
      <c r="C658" s="3">
        <v>2017</v>
      </c>
      <c r="D658" s="3">
        <v>3.9700000289999999</v>
      </c>
      <c r="E658" s="3">
        <v>0.23344203799999999</v>
      </c>
      <c r="F658" s="3">
        <v>11.541</v>
      </c>
      <c r="G658" s="3">
        <v>19.340000152587798</v>
      </c>
      <c r="H658" s="3">
        <v>13.640000343322701</v>
      </c>
      <c r="I658" s="5"/>
      <c r="J658" s="5"/>
      <c r="K658" s="3">
        <v>10.9426127398056</v>
      </c>
      <c r="L658" s="3">
        <v>0.51256883099999995</v>
      </c>
      <c r="M658" s="3">
        <v>0.31508958300000001</v>
      </c>
      <c r="N658" s="3">
        <v>0.46691465399999998</v>
      </c>
      <c r="O658" s="3">
        <v>0.28717047000000001</v>
      </c>
      <c r="P658" s="3">
        <v>7.2711654000000001E-2</v>
      </c>
      <c r="Q658" s="3"/>
    </row>
    <row r="659" spans="1:17" x14ac:dyDescent="0.25">
      <c r="A659" s="3" t="s">
        <v>123</v>
      </c>
      <c r="B659" s="3" t="s">
        <v>43</v>
      </c>
      <c r="C659" s="3">
        <v>2018</v>
      </c>
      <c r="D659" s="3">
        <v>3.5870000000000002</v>
      </c>
      <c r="E659" s="3">
        <v>0.186</v>
      </c>
      <c r="F659" s="3">
        <v>9.2200000000000006</v>
      </c>
      <c r="G659" s="3">
        <v>14.633563093389</v>
      </c>
      <c r="H659" s="3">
        <v>12.745317158471799</v>
      </c>
      <c r="I659" s="5"/>
      <c r="J659" s="5"/>
      <c r="K659" s="3">
        <v>7.80441064183373</v>
      </c>
      <c r="L659" s="3">
        <v>0.54100000000000004</v>
      </c>
      <c r="M659" s="3">
        <v>0.30599999999999999</v>
      </c>
      <c r="N659" s="3">
        <v>0.53100000000000003</v>
      </c>
      <c r="O659" s="3">
        <v>0.21</v>
      </c>
      <c r="P659" s="3">
        <v>0.08</v>
      </c>
      <c r="Q659" s="3"/>
    </row>
    <row r="660" spans="1:17" x14ac:dyDescent="0.25">
      <c r="A660" s="3" t="s">
        <v>123</v>
      </c>
      <c r="B660" s="3" t="s">
        <v>43</v>
      </c>
      <c r="C660" s="3">
        <v>2019</v>
      </c>
      <c r="D660" s="3">
        <v>3.41</v>
      </c>
      <c r="E660" s="3">
        <v>0.191</v>
      </c>
      <c r="F660" s="3">
        <v>9.3780002593994105</v>
      </c>
      <c r="G660" s="3">
        <v>3.7121350342870998</v>
      </c>
      <c r="H660" s="3">
        <v>15.2722050662433</v>
      </c>
      <c r="I660" s="5"/>
      <c r="J660" s="5"/>
      <c r="K660" s="3">
        <v>7.9935227440011696</v>
      </c>
      <c r="L660" s="3">
        <v>0.56000000000000005</v>
      </c>
      <c r="M660" s="3">
        <v>0.495</v>
      </c>
      <c r="N660" s="3">
        <v>0.443</v>
      </c>
      <c r="O660" s="3">
        <v>0.218</v>
      </c>
      <c r="P660" s="3">
        <v>8.8999999999999996E-2</v>
      </c>
      <c r="Q660" s="3"/>
    </row>
    <row r="661" spans="1:17" x14ac:dyDescent="0.25">
      <c r="A661" s="3" t="s">
        <v>123</v>
      </c>
      <c r="B661" s="3" t="s">
        <v>43</v>
      </c>
      <c r="C661" s="3">
        <v>2020</v>
      </c>
      <c r="D661" s="3">
        <v>3.5380001069999998</v>
      </c>
      <c r="E661" s="3">
        <v>0.176534727</v>
      </c>
      <c r="F661" s="3">
        <v>8.6255146965054692</v>
      </c>
      <c r="G661" s="3">
        <v>2.4128275683178502</v>
      </c>
      <c r="H661" s="3">
        <v>17.343548427595199</v>
      </c>
      <c r="I661" s="5"/>
      <c r="J661" s="5"/>
      <c r="K661" s="3">
        <v>8.5116561387625698</v>
      </c>
      <c r="L661" s="3">
        <v>0.53036808999999996</v>
      </c>
      <c r="M661" s="3">
        <v>0.44616329700000001</v>
      </c>
      <c r="N661" s="3">
        <v>0.48738983299999999</v>
      </c>
      <c r="O661" s="3">
        <v>0.21318505700000001</v>
      </c>
      <c r="P661" s="3">
        <v>0.131633952</v>
      </c>
      <c r="Q661" s="3"/>
    </row>
    <row r="662" spans="1:17" x14ac:dyDescent="0.25">
      <c r="A662" s="3" t="s">
        <v>123</v>
      </c>
      <c r="B662" s="3" t="s">
        <v>43</v>
      </c>
      <c r="C662" s="3">
        <v>2021</v>
      </c>
      <c r="D662" s="3">
        <v>3.6</v>
      </c>
      <c r="E662" s="3">
        <v>0.113</v>
      </c>
      <c r="F662" s="3">
        <v>9.343</v>
      </c>
      <c r="G662" s="5"/>
      <c r="H662" s="5"/>
      <c r="I662" s="5"/>
      <c r="J662" s="5"/>
      <c r="K662" s="3">
        <v>8.4587719624560496</v>
      </c>
      <c r="L662" s="3">
        <v>0.16800000000000001</v>
      </c>
      <c r="M662" s="3">
        <v>0.29799999999999999</v>
      </c>
      <c r="N662" s="3">
        <v>0.48399999999999999</v>
      </c>
      <c r="O662" s="3">
        <v>0.21299999999999999</v>
      </c>
      <c r="P662" s="3">
        <v>0.13400000000000001</v>
      </c>
      <c r="Q662" s="3"/>
    </row>
    <row r="663" spans="1:17" x14ac:dyDescent="0.25">
      <c r="A663" s="3" t="s">
        <v>123</v>
      </c>
      <c r="B663" s="3" t="s">
        <v>43</v>
      </c>
      <c r="C663" s="3">
        <v>2022</v>
      </c>
      <c r="D663" s="3">
        <v>3.75</v>
      </c>
      <c r="E663" s="3">
        <v>0.64800000000000002</v>
      </c>
      <c r="F663" s="3">
        <v>20.9539697299689</v>
      </c>
      <c r="G663" s="3">
        <v>18.326217235597301</v>
      </c>
      <c r="H663" s="3">
        <v>22.838711769523499</v>
      </c>
      <c r="I663" s="5"/>
      <c r="J663" s="5"/>
      <c r="K663" s="3">
        <v>8.1190074482531607</v>
      </c>
      <c r="L663" s="3">
        <v>0.27900000000000003</v>
      </c>
      <c r="M663" s="3">
        <v>0.38800000000000001</v>
      </c>
      <c r="N663" s="3">
        <v>0.47699999999999998</v>
      </c>
      <c r="O663" s="3">
        <v>0.14000000000000001</v>
      </c>
      <c r="P663" s="3">
        <v>0.157</v>
      </c>
      <c r="Q663" s="3"/>
    </row>
    <row r="664" spans="1:17" x14ac:dyDescent="0.25">
      <c r="A664" s="3" t="s">
        <v>123</v>
      </c>
      <c r="B664" s="3" t="s">
        <v>43</v>
      </c>
      <c r="C664" s="3">
        <v>2023</v>
      </c>
      <c r="D664" s="3">
        <v>3.4950000000000001</v>
      </c>
      <c r="E664" s="3">
        <v>0.63700000000000001</v>
      </c>
      <c r="F664" s="3">
        <v>28.7897428247298</v>
      </c>
      <c r="G664" s="3">
        <v>20.4656067530439</v>
      </c>
      <c r="H664" s="3">
        <v>37.119495073852903</v>
      </c>
      <c r="I664" s="5"/>
      <c r="J664" s="5"/>
      <c r="K664" s="3">
        <v>28.623886542491402</v>
      </c>
      <c r="L664" s="3">
        <v>0.47899999999999998</v>
      </c>
      <c r="M664" s="3">
        <v>0.189</v>
      </c>
      <c r="N664" s="3">
        <v>0.49</v>
      </c>
      <c r="O664" s="3">
        <v>0.13900000000000001</v>
      </c>
      <c r="P664" s="3">
        <v>0.129</v>
      </c>
      <c r="Q664" s="3"/>
    </row>
    <row r="665" spans="1:17" x14ac:dyDescent="0.25">
      <c r="A665" s="3" t="s">
        <v>124</v>
      </c>
      <c r="B665" s="3" t="s">
        <v>67</v>
      </c>
      <c r="C665" s="3">
        <v>2015</v>
      </c>
      <c r="D665" s="3">
        <v>5.77</v>
      </c>
      <c r="E665" s="3">
        <v>1.12486</v>
      </c>
      <c r="F665" s="3">
        <v>2.1043939590454102</v>
      </c>
      <c r="G665" s="3">
        <v>2.45097804069519</v>
      </c>
      <c r="H665" s="3">
        <v>3.6321480274200399</v>
      </c>
      <c r="I665" s="3">
        <v>3.34786677360534</v>
      </c>
      <c r="J665" s="3">
        <v>-7.4549322128295898</v>
      </c>
      <c r="K665" s="3">
        <v>-0.119856172592893</v>
      </c>
      <c r="L665" s="3">
        <v>1.07023</v>
      </c>
      <c r="M665" s="3">
        <v>0.72394000000000003</v>
      </c>
      <c r="N665" s="3">
        <v>0.53024000000000004</v>
      </c>
      <c r="O665" s="3">
        <v>0.33074999999999999</v>
      </c>
      <c r="P665" s="3">
        <v>0.10501000000000001</v>
      </c>
      <c r="Q665" s="3"/>
    </row>
    <row r="666" spans="1:17" x14ac:dyDescent="0.25">
      <c r="A666" s="3" t="s">
        <v>124</v>
      </c>
      <c r="B666" s="3" t="s">
        <v>67</v>
      </c>
      <c r="C666" s="3">
        <v>2016</v>
      </c>
      <c r="D666" s="3">
        <v>6.0049999999999999</v>
      </c>
      <c r="E666" s="3">
        <v>1.25142</v>
      </c>
      <c r="F666" s="3">
        <v>2.0757927894592201</v>
      </c>
      <c r="G666" s="3">
        <v>2.43720149993896</v>
      </c>
      <c r="H666" s="3">
        <v>3.7841265201568599</v>
      </c>
      <c r="I666" s="3">
        <v>2.7271356582641602</v>
      </c>
      <c r="J666" s="3">
        <v>-1.05176317691802</v>
      </c>
      <c r="K666" s="3">
        <v>1.6579999999999999</v>
      </c>
      <c r="L666" s="3">
        <v>0.88024999999999998</v>
      </c>
      <c r="M666" s="3">
        <v>0.62365999999999999</v>
      </c>
      <c r="N666" s="3">
        <v>0.39030999999999999</v>
      </c>
      <c r="O666" s="3">
        <v>0.41474</v>
      </c>
      <c r="P666" s="3">
        <v>9.0810000000000002E-2</v>
      </c>
      <c r="Q666" s="3"/>
    </row>
    <row r="667" spans="1:17" x14ac:dyDescent="0.25">
      <c r="A667" s="3" t="s">
        <v>124</v>
      </c>
      <c r="B667" s="3" t="s">
        <v>67</v>
      </c>
      <c r="C667" s="3">
        <v>2017</v>
      </c>
      <c r="D667" s="3">
        <v>6.0840001109999999</v>
      </c>
      <c r="E667" s="3">
        <v>1.2912154199999999</v>
      </c>
      <c r="F667" s="3">
        <v>3.7989999999999999</v>
      </c>
      <c r="G667" s="3">
        <v>2.2040541172027499</v>
      </c>
      <c r="H667" s="3">
        <v>3.9757845401763898</v>
      </c>
      <c r="I667" s="3">
        <v>1.7893810272216699</v>
      </c>
      <c r="J667" s="3">
        <v>6.6908173561096103</v>
      </c>
      <c r="K667" s="3">
        <v>3.7793385665663202</v>
      </c>
      <c r="L667" s="3">
        <v>1.2846460340000001</v>
      </c>
      <c r="M667" s="3">
        <v>0.618784428</v>
      </c>
      <c r="N667" s="3">
        <v>0.40226498199999999</v>
      </c>
      <c r="O667" s="3">
        <v>0.41660892999999999</v>
      </c>
      <c r="P667" s="3">
        <v>6.5600707999999994E-2</v>
      </c>
      <c r="Q667" s="3"/>
    </row>
    <row r="668" spans="1:17" x14ac:dyDescent="0.25">
      <c r="A668" s="3" t="s">
        <v>124</v>
      </c>
      <c r="B668" s="3" t="s">
        <v>67</v>
      </c>
      <c r="C668" s="3">
        <v>2018</v>
      </c>
      <c r="D668" s="3">
        <v>6.3220000000000001</v>
      </c>
      <c r="E668" s="3">
        <v>1.161</v>
      </c>
      <c r="F668" s="3">
        <v>0.97</v>
      </c>
      <c r="G668" s="3">
        <v>1.99229192733764</v>
      </c>
      <c r="H668" s="3">
        <v>1.63042759895324</v>
      </c>
      <c r="I668" s="3">
        <v>0.55475503206252996</v>
      </c>
      <c r="J668" s="3">
        <v>-1.14302861690521</v>
      </c>
      <c r="K668" s="3">
        <v>0.67298578199051495</v>
      </c>
      <c r="L668" s="3">
        <v>1.258</v>
      </c>
      <c r="M668" s="3">
        <v>0.66900000000000004</v>
      </c>
      <c r="N668" s="3">
        <v>0.35599999999999998</v>
      </c>
      <c r="O668" s="3">
        <v>0.311</v>
      </c>
      <c r="P668" s="3">
        <v>5.8999999999999997E-2</v>
      </c>
      <c r="Q668" s="3"/>
    </row>
    <row r="669" spans="1:17" x14ac:dyDescent="0.25">
      <c r="A669" s="3" t="s">
        <v>124</v>
      </c>
      <c r="B669" s="3" t="s">
        <v>67</v>
      </c>
      <c r="C669" s="3">
        <v>2019</v>
      </c>
      <c r="D669" s="3">
        <v>5.3390000000000004</v>
      </c>
      <c r="E669" s="3">
        <v>1.2210000000000001</v>
      </c>
      <c r="F669" s="3">
        <v>0.662999987602233</v>
      </c>
      <c r="G669" s="3">
        <v>1.8693552017211901</v>
      </c>
      <c r="H669" s="3">
        <v>1.6488413810729901</v>
      </c>
      <c r="I669" s="3">
        <v>1.0890592336654601</v>
      </c>
      <c r="J669" s="3">
        <v>-1.35156154632568</v>
      </c>
      <c r="K669" s="3">
        <v>6.4024103191801199E-2</v>
      </c>
      <c r="L669" s="3">
        <v>1.171</v>
      </c>
      <c r="M669" s="3">
        <v>0.82799999999999996</v>
      </c>
      <c r="N669" s="3">
        <v>0.50800000000000001</v>
      </c>
      <c r="O669" s="3">
        <v>0.26</v>
      </c>
      <c r="P669" s="3">
        <v>2.4E-2</v>
      </c>
      <c r="Q669" s="3"/>
    </row>
    <row r="670" spans="1:17" x14ac:dyDescent="0.25">
      <c r="A670" s="3" t="s">
        <v>124</v>
      </c>
      <c r="B670" s="3" t="s">
        <v>67</v>
      </c>
      <c r="C670" s="3">
        <v>2020</v>
      </c>
      <c r="D670" s="3">
        <v>5.3843002320000002</v>
      </c>
      <c r="E670" s="3">
        <v>1.168421626</v>
      </c>
      <c r="F670" s="3">
        <v>-1.1387021539303199</v>
      </c>
      <c r="G670" s="3">
        <v>-1.73195876288659</v>
      </c>
      <c r="H670" s="3">
        <v>1.2713721990585301</v>
      </c>
      <c r="I670" s="3">
        <v>0.94974839687347401</v>
      </c>
      <c r="J670" s="3">
        <v>-2.66096019744873</v>
      </c>
      <c r="K670" s="3">
        <v>-0.779088804832611</v>
      </c>
      <c r="L670" s="3">
        <v>1.17400229</v>
      </c>
      <c r="M670" s="3">
        <v>0.78851187199999995</v>
      </c>
      <c r="N670" s="3">
        <v>0.59694153100000003</v>
      </c>
      <c r="O670" s="3">
        <v>0.27488616100000002</v>
      </c>
      <c r="P670" s="3">
        <v>6.2163133000000002E-2</v>
      </c>
      <c r="Q670" s="3"/>
    </row>
    <row r="671" spans="1:17" x14ac:dyDescent="0.25">
      <c r="A671" s="3" t="s">
        <v>124</v>
      </c>
      <c r="B671" s="3" t="s">
        <v>67</v>
      </c>
      <c r="C671" s="3">
        <v>2021</v>
      </c>
      <c r="D671" s="3">
        <v>5.3840000000000003</v>
      </c>
      <c r="E671" s="3">
        <v>1.2589999999999999</v>
      </c>
      <c r="F671" s="3">
        <v>2.4771024146544498</v>
      </c>
      <c r="G671" s="3">
        <v>1.57</v>
      </c>
      <c r="H671" s="3">
        <v>1.77</v>
      </c>
      <c r="I671" s="3">
        <v>0.442322544407796</v>
      </c>
      <c r="J671" s="3">
        <v>9.4622081197624208</v>
      </c>
      <c r="K671" s="3">
        <v>5.7136749763177201</v>
      </c>
      <c r="L671" s="3">
        <v>0.79700000000000004</v>
      </c>
      <c r="M671" s="3">
        <v>0.58699999999999997</v>
      </c>
      <c r="N671" s="3">
        <v>0.624</v>
      </c>
      <c r="O671" s="3">
        <v>0.27</v>
      </c>
      <c r="P671" s="3">
        <v>6.4000000000000001E-2</v>
      </c>
      <c r="Q671" s="3"/>
    </row>
    <row r="672" spans="1:17" x14ac:dyDescent="0.25">
      <c r="A672" s="3" t="s">
        <v>124</v>
      </c>
      <c r="B672" s="3" t="s">
        <v>67</v>
      </c>
      <c r="C672" s="3">
        <v>2022</v>
      </c>
      <c r="D672" s="3">
        <v>5.7110000000000003</v>
      </c>
      <c r="E672" s="3">
        <v>1.6890000000000001</v>
      </c>
      <c r="F672" s="3">
        <v>3.3786986254993798</v>
      </c>
      <c r="G672" s="3">
        <v>1.8237611921991299</v>
      </c>
      <c r="H672" s="3">
        <v>5.35633915844355</v>
      </c>
      <c r="I672" s="3">
        <v>1.71256815322242</v>
      </c>
      <c r="J672" s="3">
        <v>7.7449085773747601</v>
      </c>
      <c r="K672" s="3">
        <v>6.5285169481063203</v>
      </c>
      <c r="L672" s="3">
        <v>0.93799999999999994</v>
      </c>
      <c r="M672" s="3">
        <v>0.62</v>
      </c>
      <c r="N672" s="3">
        <v>0.65400000000000003</v>
      </c>
      <c r="O672" s="3">
        <v>0.21299999999999999</v>
      </c>
      <c r="P672" s="3">
        <v>0.126</v>
      </c>
      <c r="Q672" s="3"/>
    </row>
    <row r="673" spans="1:17" x14ac:dyDescent="0.25">
      <c r="A673" s="3" t="s">
        <v>124</v>
      </c>
      <c r="B673" s="3" t="s">
        <v>67</v>
      </c>
      <c r="C673" s="3">
        <v>2023</v>
      </c>
      <c r="D673" s="3">
        <v>6.0119999999999996</v>
      </c>
      <c r="E673" s="3">
        <v>1.665</v>
      </c>
      <c r="F673" s="3">
        <v>2.7956434555379799</v>
      </c>
      <c r="G673" s="3">
        <v>1.6569170500635899</v>
      </c>
      <c r="H673" s="3">
        <v>4.82703137570393</v>
      </c>
      <c r="I673" s="3">
        <v>1.7662016356264201</v>
      </c>
      <c r="J673" s="5"/>
      <c r="K673" s="3">
        <v>-2.2098413575382101</v>
      </c>
      <c r="L673" s="3">
        <v>1.155</v>
      </c>
      <c r="M673" s="3">
        <v>0.38500000000000001</v>
      </c>
      <c r="N673" s="3">
        <v>0.65900000000000003</v>
      </c>
      <c r="O673" s="3">
        <v>0.222</v>
      </c>
      <c r="P673" s="3">
        <v>0.122</v>
      </c>
      <c r="Q673" s="3"/>
    </row>
    <row r="674" spans="1:17" x14ac:dyDescent="0.25">
      <c r="A674" s="3" t="s">
        <v>125</v>
      </c>
      <c r="B674" s="3" t="s">
        <v>37</v>
      </c>
      <c r="C674" s="3">
        <v>2020</v>
      </c>
      <c r="D674" s="3">
        <v>5.1975998880000001</v>
      </c>
      <c r="E674" s="3">
        <v>0.93786430399999998</v>
      </c>
      <c r="F674" s="3">
        <v>-1.36977425569824</v>
      </c>
      <c r="G674" s="3">
        <v>-4.7039813995361301</v>
      </c>
      <c r="H674" s="3">
        <v>2.7257995605468701</v>
      </c>
      <c r="I674" s="5"/>
      <c r="J674" s="5"/>
      <c r="K674" s="3">
        <v>-1.59413202933984</v>
      </c>
      <c r="L674" s="3">
        <v>1.4022876019999999</v>
      </c>
      <c r="M674" s="3">
        <v>0.91443955899999996</v>
      </c>
      <c r="N674" s="3">
        <v>0.54820364700000002</v>
      </c>
      <c r="O674" s="3">
        <v>0.22419825199999999</v>
      </c>
      <c r="P674" s="3">
        <v>7.1906492000000002E-2</v>
      </c>
      <c r="Q674" s="3"/>
    </row>
    <row r="675" spans="1:17" x14ac:dyDescent="0.25">
      <c r="A675" s="3" t="s">
        <v>125</v>
      </c>
      <c r="B675" s="3" t="s">
        <v>37</v>
      </c>
      <c r="C675" s="3">
        <v>2021</v>
      </c>
      <c r="D675" s="3">
        <v>5.1980000000000004</v>
      </c>
      <c r="E675" s="3">
        <v>1.115</v>
      </c>
      <c r="F675" s="3">
        <v>0.543149688736981</v>
      </c>
      <c r="G675" s="3">
        <v>1.10837759854581</v>
      </c>
      <c r="H675" s="3">
        <v>1.8027380841938201</v>
      </c>
      <c r="I675" s="5"/>
      <c r="J675" s="5"/>
      <c r="K675" s="3">
        <v>1.73864616365217</v>
      </c>
      <c r="L675" s="3">
        <v>1.0149999999999999</v>
      </c>
      <c r="M675" s="3">
        <v>0.69699999999999995</v>
      </c>
      <c r="N675" s="3">
        <v>0.57499999999999996</v>
      </c>
      <c r="O675" s="3">
        <v>0.20399999999999999</v>
      </c>
      <c r="P675" s="3">
        <v>7.2999999999999995E-2</v>
      </c>
      <c r="Q675" s="3"/>
    </row>
    <row r="676" spans="1:17" x14ac:dyDescent="0.25">
      <c r="A676" s="3" t="s">
        <v>126</v>
      </c>
      <c r="B676" s="3" t="s">
        <v>43</v>
      </c>
      <c r="C676" s="3">
        <v>2015</v>
      </c>
      <c r="D676" s="3">
        <v>3.9950000000000001</v>
      </c>
      <c r="E676" s="3">
        <v>0.26074000000000003</v>
      </c>
      <c r="F676" s="3">
        <v>1.44200003147125</v>
      </c>
      <c r="G676" s="3">
        <v>1.6499999761581401</v>
      </c>
      <c r="H676" s="3">
        <v>3.0450847148895201</v>
      </c>
      <c r="I676" s="5"/>
      <c r="J676" s="5"/>
      <c r="K676" s="3">
        <v>2.88029756404746</v>
      </c>
      <c r="L676" s="3">
        <v>1.0352600000000001</v>
      </c>
      <c r="M676" s="3">
        <v>0.20583000000000001</v>
      </c>
      <c r="N676" s="3">
        <v>0.38857000000000003</v>
      </c>
      <c r="O676" s="3">
        <v>0.18798000000000001</v>
      </c>
      <c r="P676" s="3">
        <v>0.12352</v>
      </c>
      <c r="Q676" s="3"/>
    </row>
    <row r="677" spans="1:17" x14ac:dyDescent="0.25">
      <c r="A677" s="3" t="s">
        <v>126</v>
      </c>
      <c r="B677" s="3" t="s">
        <v>43</v>
      </c>
      <c r="C677" s="3">
        <v>2016</v>
      </c>
      <c r="D677" s="3">
        <v>4.0730000000000004</v>
      </c>
      <c r="E677" s="3">
        <v>0.31291999999999998</v>
      </c>
      <c r="F677" s="3">
        <v>-1.79999995231628</v>
      </c>
      <c r="G677" s="3">
        <v>1.7799999713897701</v>
      </c>
      <c r="H677" s="3">
        <v>-3.2681725025177002</v>
      </c>
      <c r="I677" s="5"/>
      <c r="J677" s="5"/>
      <c r="K677" s="3">
        <v>1.3512044712168401</v>
      </c>
      <c r="L677" s="3">
        <v>0.86333000000000004</v>
      </c>
      <c r="M677" s="3">
        <v>0.16347</v>
      </c>
      <c r="N677" s="3">
        <v>0.27544000000000002</v>
      </c>
      <c r="O677" s="3">
        <v>0.21063999999999999</v>
      </c>
      <c r="P677" s="3">
        <v>0.13647000000000001</v>
      </c>
      <c r="Q677" s="3"/>
    </row>
    <row r="678" spans="1:17" x14ac:dyDescent="0.25">
      <c r="A678" s="3" t="s">
        <v>126</v>
      </c>
      <c r="B678" s="3" t="s">
        <v>43</v>
      </c>
      <c r="C678" s="3">
        <v>2017</v>
      </c>
      <c r="D678" s="3">
        <v>4.1900000569999998</v>
      </c>
      <c r="E678" s="3">
        <v>0.47618049400000001</v>
      </c>
      <c r="F678" s="3">
        <v>1.764</v>
      </c>
      <c r="G678" s="3">
        <v>-0.61000001430511397</v>
      </c>
      <c r="H678" s="3">
        <v>2.5260474681854199</v>
      </c>
      <c r="I678" s="5"/>
      <c r="J678" s="5"/>
      <c r="K678" s="3">
        <v>1.9320535759641899</v>
      </c>
      <c r="L678" s="3">
        <v>1.2814733979999999</v>
      </c>
      <c r="M678" s="3">
        <v>0.16936567399999999</v>
      </c>
      <c r="N678" s="3">
        <v>0.30661374299999999</v>
      </c>
      <c r="O678" s="3">
        <v>0.183354199</v>
      </c>
      <c r="P678" s="3">
        <v>0.104970247</v>
      </c>
      <c r="Q678" s="3"/>
    </row>
    <row r="679" spans="1:17" x14ac:dyDescent="0.25">
      <c r="A679" s="3" t="s">
        <v>126</v>
      </c>
      <c r="B679" s="3" t="s">
        <v>43</v>
      </c>
      <c r="C679" s="3">
        <v>2018</v>
      </c>
      <c r="D679" s="3">
        <v>4.4470000000000001</v>
      </c>
      <c r="E679" s="3">
        <v>0.37</v>
      </c>
      <c r="F679" s="3">
        <v>1.73</v>
      </c>
      <c r="G679" s="3">
        <v>2.6748616695403999</v>
      </c>
      <c r="H679" s="3">
        <v>2.1558384895324698</v>
      </c>
      <c r="I679" s="5"/>
      <c r="J679" s="5"/>
      <c r="K679" s="3">
        <v>1.45964383804376</v>
      </c>
      <c r="L679" s="3">
        <v>1.2330000000000001</v>
      </c>
      <c r="M679" s="3">
        <v>0.152</v>
      </c>
      <c r="N679" s="3">
        <v>0.36699999999999999</v>
      </c>
      <c r="O679" s="3">
        <v>0.13900000000000001</v>
      </c>
      <c r="P679" s="3">
        <v>5.6000000000000001E-2</v>
      </c>
      <c r="Q679" s="3"/>
    </row>
    <row r="680" spans="1:17" x14ac:dyDescent="0.25">
      <c r="A680" s="3" t="s">
        <v>126</v>
      </c>
      <c r="B680" s="3" t="s">
        <v>43</v>
      </c>
      <c r="C680" s="3">
        <v>2019</v>
      </c>
      <c r="D680" s="3">
        <v>4.3899999999999997</v>
      </c>
      <c r="E680" s="3">
        <v>0.38500000000000001</v>
      </c>
      <c r="F680" s="3">
        <v>-2.8940000534057599</v>
      </c>
      <c r="G680" s="3">
        <v>4.2276420593261701</v>
      </c>
      <c r="H680" s="3">
        <v>-5.3678407669067303</v>
      </c>
      <c r="I680" s="5"/>
      <c r="J680" s="5"/>
      <c r="K680" s="3">
        <v>2.0793765145065102</v>
      </c>
      <c r="L680" s="3">
        <v>1.105</v>
      </c>
      <c r="M680" s="3">
        <v>0.308</v>
      </c>
      <c r="N680" s="3">
        <v>0.32700000000000001</v>
      </c>
      <c r="O680" s="3">
        <v>0.153</v>
      </c>
      <c r="P680" s="3">
        <v>5.1999999999999998E-2</v>
      </c>
      <c r="Q680" s="3"/>
    </row>
    <row r="681" spans="1:17" x14ac:dyDescent="0.25">
      <c r="A681" s="3" t="s">
        <v>126</v>
      </c>
      <c r="B681" s="3" t="s">
        <v>43</v>
      </c>
      <c r="C681" s="3">
        <v>2020</v>
      </c>
      <c r="D681" s="3">
        <v>4.7293000220000003</v>
      </c>
      <c r="E681" s="3">
        <v>0.35246264900000002</v>
      </c>
      <c r="F681" s="3">
        <v>0.43808894032076301</v>
      </c>
      <c r="G681" s="3">
        <v>0.67082683307331104</v>
      </c>
      <c r="H681" s="3">
        <v>2.4985227584838801</v>
      </c>
      <c r="I681" s="5"/>
      <c r="J681" s="5"/>
      <c r="K681" s="3">
        <v>2.0001283161710299</v>
      </c>
      <c r="L681" s="3">
        <v>0.97314173000000004</v>
      </c>
      <c r="M681" s="3">
        <v>0.234981522</v>
      </c>
      <c r="N681" s="3">
        <v>0.37753444899999999</v>
      </c>
      <c r="O681" s="3">
        <v>0.16966705000000001</v>
      </c>
      <c r="P681" s="3">
        <v>6.2146276E-2</v>
      </c>
      <c r="Q681" s="3"/>
    </row>
    <row r="682" spans="1:17" x14ac:dyDescent="0.25">
      <c r="A682" s="3" t="s">
        <v>126</v>
      </c>
      <c r="B682" s="3" t="s">
        <v>43</v>
      </c>
      <c r="C682" s="3">
        <v>2021</v>
      </c>
      <c r="D682" s="3">
        <v>4.7229999999999999</v>
      </c>
      <c r="E682" s="3">
        <v>0.38700000000000001</v>
      </c>
      <c r="F682" s="3">
        <v>3.92560283104272</v>
      </c>
      <c r="G682" s="3">
        <v>-0.98</v>
      </c>
      <c r="H682" s="3">
        <v>5.18</v>
      </c>
      <c r="I682" s="5"/>
      <c r="J682" s="5"/>
      <c r="K682" s="3">
        <v>2.4543515578471502</v>
      </c>
      <c r="L682" s="3">
        <v>0.59</v>
      </c>
      <c r="M682" s="3">
        <v>0.11</v>
      </c>
      <c r="N682" s="3">
        <v>0.38400000000000001</v>
      </c>
      <c r="O682" s="3">
        <v>0.16400000000000001</v>
      </c>
      <c r="P682" s="3">
        <v>7.1999999999999995E-2</v>
      </c>
      <c r="Q682" s="3"/>
    </row>
    <row r="683" spans="1:17" x14ac:dyDescent="0.25">
      <c r="A683" s="3" t="s">
        <v>126</v>
      </c>
      <c r="B683" s="3" t="s">
        <v>43</v>
      </c>
      <c r="C683" s="3">
        <v>2022</v>
      </c>
      <c r="D683" s="3">
        <v>4.4790000000000001</v>
      </c>
      <c r="E683" s="3">
        <v>0.79200000000000004</v>
      </c>
      <c r="F683" s="3">
        <v>9.7853937461616596</v>
      </c>
      <c r="G683" s="3">
        <v>5.3214584268623399</v>
      </c>
      <c r="H683" s="3">
        <v>14.245593975482601</v>
      </c>
      <c r="I683" s="5"/>
      <c r="J683" s="5"/>
      <c r="K683" s="3">
        <v>4.24934264021035</v>
      </c>
      <c r="L683" s="3">
        <v>0.48299999999999998</v>
      </c>
      <c r="M683" s="3">
        <v>0.311</v>
      </c>
      <c r="N683" s="3">
        <v>0.35</v>
      </c>
      <c r="O683" s="3">
        <v>0.128</v>
      </c>
      <c r="P683" s="3">
        <v>4.2000000000000003E-2</v>
      </c>
      <c r="Q683" s="3"/>
    </row>
    <row r="684" spans="1:17" x14ac:dyDescent="0.25">
      <c r="A684" s="3" t="s">
        <v>126</v>
      </c>
      <c r="B684" s="3" t="s">
        <v>43</v>
      </c>
      <c r="C684" s="3">
        <v>2023</v>
      </c>
      <c r="D684" s="3">
        <v>4.1980000000000004</v>
      </c>
      <c r="E684" s="3">
        <v>0.76300000000000001</v>
      </c>
      <c r="F684" s="3">
        <v>2.0588022827421399</v>
      </c>
      <c r="G684" s="3">
        <v>0.53329366496554298</v>
      </c>
      <c r="H684" s="3">
        <v>2.30058199246833</v>
      </c>
      <c r="I684" s="5"/>
      <c r="J684" s="5"/>
      <c r="K684" s="3">
        <v>2.9999902025140401</v>
      </c>
      <c r="L684" s="3">
        <v>0.63700000000000001</v>
      </c>
      <c r="M684" s="3">
        <v>0.106</v>
      </c>
      <c r="N684" s="3">
        <v>0.441</v>
      </c>
      <c r="O684" s="3">
        <v>0.121</v>
      </c>
      <c r="P684" s="3">
        <v>5.8999999999999997E-2</v>
      </c>
      <c r="Q684" s="3"/>
    </row>
    <row r="685" spans="1:17" x14ac:dyDescent="0.25">
      <c r="A685" s="3" t="s">
        <v>127</v>
      </c>
      <c r="B685" s="3" t="s">
        <v>50</v>
      </c>
      <c r="C685" s="3">
        <v>2015</v>
      </c>
      <c r="D685" s="3">
        <v>6.3019999999999996</v>
      </c>
      <c r="E685" s="3">
        <v>1.2074</v>
      </c>
      <c r="F685" s="3">
        <v>1.1001049280166599</v>
      </c>
      <c r="G685" s="3">
        <v>-6.5</v>
      </c>
      <c r="H685" s="3">
        <v>2.9678099155425999</v>
      </c>
      <c r="I685" s="3">
        <v>1.5744032503809</v>
      </c>
      <c r="J685" s="3">
        <v>-2.1686725616454998</v>
      </c>
      <c r="K685" s="3">
        <v>4.2201182169632698</v>
      </c>
      <c r="L685" s="3">
        <v>1.30203</v>
      </c>
      <c r="M685" s="3">
        <v>0.88721000000000005</v>
      </c>
      <c r="N685" s="3">
        <v>0.60365000000000002</v>
      </c>
      <c r="O685" s="3">
        <v>0.51751999999999998</v>
      </c>
      <c r="P685" s="3">
        <v>0.13586000000000001</v>
      </c>
      <c r="Q685" s="3"/>
    </row>
    <row r="686" spans="1:17" x14ac:dyDescent="0.25">
      <c r="A686" s="3" t="s">
        <v>127</v>
      </c>
      <c r="B686" s="3" t="s">
        <v>50</v>
      </c>
      <c r="C686" s="3">
        <v>2016</v>
      </c>
      <c r="D686" s="3">
        <v>6.4880000000000004</v>
      </c>
      <c r="E686" s="3">
        <v>1.30782</v>
      </c>
      <c r="F686" s="3">
        <v>0.64453047513961703</v>
      </c>
      <c r="G686" s="3">
        <v>-4.2</v>
      </c>
      <c r="H686" s="3">
        <v>2.1579599380493102</v>
      </c>
      <c r="I686" s="3">
        <v>1.17</v>
      </c>
      <c r="J686" s="3">
        <v>-0.17502477765083299</v>
      </c>
      <c r="K686" s="3">
        <v>1.4699760184169099</v>
      </c>
      <c r="L686" s="3">
        <v>1.0987899999999999</v>
      </c>
      <c r="M686" s="3">
        <v>0.80315000000000003</v>
      </c>
      <c r="N686" s="3">
        <v>0.54993999999999998</v>
      </c>
      <c r="O686" s="3">
        <v>0.56237000000000004</v>
      </c>
      <c r="P686" s="3">
        <v>0.17554</v>
      </c>
    </row>
    <row r="687" spans="1:17" x14ac:dyDescent="0.25">
      <c r="A687" s="3" t="s">
        <v>127</v>
      </c>
      <c r="B687" s="3" t="s">
        <v>50</v>
      </c>
      <c r="C687" s="3">
        <v>2017</v>
      </c>
      <c r="D687" s="3">
        <v>6.5269999500000004</v>
      </c>
      <c r="E687" s="3">
        <v>1.343279839</v>
      </c>
      <c r="F687" s="3">
        <v>1.2609999999999999</v>
      </c>
      <c r="G687" s="3">
        <v>1.1000000000000001</v>
      </c>
      <c r="H687" s="3">
        <v>3.46000003814697</v>
      </c>
      <c r="I687" s="3">
        <v>1.0279727191855199</v>
      </c>
      <c r="J687" s="3">
        <v>1.5109617710113501</v>
      </c>
      <c r="K687" s="3">
        <v>2.2372338658139701</v>
      </c>
      <c r="L687" s="3">
        <v>1.4884116650000001</v>
      </c>
      <c r="M687" s="3">
        <v>0.82194423699999997</v>
      </c>
      <c r="N687" s="3">
        <v>0.58876705200000001</v>
      </c>
      <c r="O687" s="3">
        <v>0.57473057500000002</v>
      </c>
      <c r="P687" s="3">
        <v>0.153066069</v>
      </c>
      <c r="Q687" s="3"/>
    </row>
    <row r="688" spans="1:17" x14ac:dyDescent="0.25">
      <c r="A688" s="3" t="s">
        <v>127</v>
      </c>
      <c r="B688" s="3" t="s">
        <v>50</v>
      </c>
      <c r="C688" s="3">
        <v>2018</v>
      </c>
      <c r="D688" s="3">
        <v>6.6269999999999998</v>
      </c>
      <c r="E688" s="3">
        <v>1.27</v>
      </c>
      <c r="F688" s="3">
        <v>1.1599999999999999</v>
      </c>
      <c r="G688" s="3">
        <v>1.3</v>
      </c>
      <c r="H688" s="3">
        <v>2.9165763854980402</v>
      </c>
      <c r="I688" s="3">
        <v>1.7904314646316499</v>
      </c>
      <c r="J688" s="3">
        <v>4.3591508865356401</v>
      </c>
      <c r="K688" s="3">
        <v>2.0473939316839802</v>
      </c>
      <c r="L688" s="3">
        <v>1.5249999999999999</v>
      </c>
      <c r="M688" s="3">
        <v>0.88400000000000001</v>
      </c>
      <c r="N688" s="3">
        <v>0.64500000000000002</v>
      </c>
      <c r="O688" s="3">
        <v>0.376</v>
      </c>
      <c r="P688" s="3">
        <v>0.14199999999999999</v>
      </c>
      <c r="Q688" s="3"/>
    </row>
    <row r="689" spans="1:17" x14ac:dyDescent="0.25">
      <c r="A689" s="3" t="s">
        <v>127</v>
      </c>
      <c r="B689" s="3" t="s">
        <v>50</v>
      </c>
      <c r="C689" s="3">
        <v>2019</v>
      </c>
      <c r="D689" s="3">
        <v>6.726</v>
      </c>
      <c r="E689" s="3">
        <v>1.3</v>
      </c>
      <c r="F689" s="3">
        <v>1.52300000190734</v>
      </c>
      <c r="G689" s="3">
        <v>2.5</v>
      </c>
      <c r="H689" s="3">
        <v>3.6220386822080299</v>
      </c>
      <c r="I689" s="3">
        <v>1.36485966935792</v>
      </c>
      <c r="J689" s="3">
        <v>2.1827709674835201</v>
      </c>
      <c r="K689" s="3">
        <v>2.1711644281359299</v>
      </c>
      <c r="L689" s="3">
        <v>1.52</v>
      </c>
      <c r="M689" s="3">
        <v>0.999</v>
      </c>
      <c r="N689" s="3">
        <v>0.56399999999999995</v>
      </c>
      <c r="O689" s="3">
        <v>0.375</v>
      </c>
      <c r="P689" s="3">
        <v>0.151</v>
      </c>
      <c r="Q689" s="3"/>
    </row>
    <row r="690" spans="1:17" x14ac:dyDescent="0.25">
      <c r="A690" s="3" t="s">
        <v>127</v>
      </c>
      <c r="B690" s="3" t="s">
        <v>50</v>
      </c>
      <c r="C690" s="3">
        <v>2020</v>
      </c>
      <c r="D690" s="3">
        <v>6.7727999690000003</v>
      </c>
      <c r="E690" s="3">
        <v>1.2525132889999999</v>
      </c>
      <c r="F690" s="3">
        <v>0.63854495677715495</v>
      </c>
      <c r="G690" s="3">
        <v>-0.6</v>
      </c>
      <c r="H690" s="3">
        <v>2.1355367136040599</v>
      </c>
      <c r="I690" s="3">
        <v>0.76806372084202701</v>
      </c>
      <c r="J690" s="3">
        <v>0.31773452201005598</v>
      </c>
      <c r="K690" s="3">
        <v>0.91697600058804496</v>
      </c>
      <c r="L690" s="3">
        <v>1.442956924</v>
      </c>
      <c r="M690" s="3">
        <v>0.97204202399999995</v>
      </c>
      <c r="N690" s="3">
        <v>0.63323903100000001</v>
      </c>
      <c r="O690" s="3">
        <v>0.34118083100000002</v>
      </c>
      <c r="P690" s="3">
        <v>0.17886407700000001</v>
      </c>
      <c r="Q690" s="3"/>
    </row>
    <row r="691" spans="1:17" x14ac:dyDescent="0.25">
      <c r="A691" s="3" t="s">
        <v>127</v>
      </c>
      <c r="B691" s="3" t="s">
        <v>50</v>
      </c>
      <c r="C691" s="3">
        <v>2021</v>
      </c>
      <c r="D691" s="3">
        <v>6.6020000000000003</v>
      </c>
      <c r="E691" s="3">
        <v>1.411</v>
      </c>
      <c r="F691" s="3">
        <v>1.5</v>
      </c>
      <c r="G691" s="3">
        <v>-1.6</v>
      </c>
      <c r="H691" s="3">
        <v>2.35014481954375</v>
      </c>
      <c r="I691" s="3">
        <v>0.64928954549731599</v>
      </c>
      <c r="J691" s="3">
        <v>3.2059660182969698</v>
      </c>
      <c r="K691" s="3">
        <v>1.8105181273883</v>
      </c>
      <c r="L691" s="3">
        <v>1.0549999999999999</v>
      </c>
      <c r="M691" s="3">
        <v>0.747</v>
      </c>
      <c r="N691" s="3">
        <v>0.66400000000000003</v>
      </c>
      <c r="O691" s="3">
        <v>0.27500000000000002</v>
      </c>
      <c r="P691" s="3">
        <v>0.183</v>
      </c>
      <c r="Q691" s="3"/>
    </row>
    <row r="692" spans="1:17" x14ac:dyDescent="0.25">
      <c r="A692" s="3" t="s">
        <v>127</v>
      </c>
      <c r="B692" s="3" t="s">
        <v>50</v>
      </c>
      <c r="C692" s="3">
        <v>2022</v>
      </c>
      <c r="D692" s="3">
        <v>6.4470000000000001</v>
      </c>
      <c r="E692" s="3">
        <v>1.8380000000000001</v>
      </c>
      <c r="F692" s="3">
        <v>6.1537562193303401</v>
      </c>
      <c r="G692" s="5"/>
      <c r="H692" s="3">
        <v>9.5866943467952197</v>
      </c>
      <c r="I692" s="3">
        <v>6.2044289918899098</v>
      </c>
      <c r="J692" s="3">
        <v>5.4752681764009203</v>
      </c>
      <c r="K692" s="3">
        <v>4.9828243882671099</v>
      </c>
      <c r="L692" s="3">
        <v>1.169</v>
      </c>
      <c r="M692" s="3">
        <v>0.78900000000000003</v>
      </c>
      <c r="N692" s="3">
        <v>0.67900000000000005</v>
      </c>
      <c r="O692" s="3">
        <v>0.17399999999999999</v>
      </c>
      <c r="P692" s="3">
        <v>0.16600000000000001</v>
      </c>
      <c r="Q692" s="3"/>
    </row>
    <row r="693" spans="1:17" x14ac:dyDescent="0.25">
      <c r="A693" s="3" t="s">
        <v>127</v>
      </c>
      <c r="B693" s="3" t="s">
        <v>50</v>
      </c>
      <c r="C693" s="3">
        <v>2023</v>
      </c>
      <c r="D693" s="3">
        <v>6.3</v>
      </c>
      <c r="E693" s="3">
        <v>1.841</v>
      </c>
      <c r="F693" s="3">
        <v>5.1109271834435699</v>
      </c>
      <c r="G693" s="3">
        <v>0</v>
      </c>
      <c r="H693" s="3">
        <v>9.5261713229698906</v>
      </c>
      <c r="I693" s="5"/>
      <c r="J693" s="3">
        <v>3.5863042710909898</v>
      </c>
      <c r="K693" s="3">
        <v>5.3019294392187799</v>
      </c>
      <c r="L693" s="3">
        <v>1.468</v>
      </c>
      <c r="M693" s="3">
        <v>0.54700000000000004</v>
      </c>
      <c r="N693" s="3">
        <v>0.67100000000000004</v>
      </c>
      <c r="O693" s="3">
        <v>0.2</v>
      </c>
      <c r="P693" s="3">
        <v>0.14299999999999999</v>
      </c>
      <c r="Q693" s="3"/>
    </row>
    <row r="694" spans="1:17" x14ac:dyDescent="0.25">
      <c r="A694" s="3" t="s">
        <v>128</v>
      </c>
      <c r="B694" s="3" t="s">
        <v>43</v>
      </c>
      <c r="C694" s="3">
        <v>2015</v>
      </c>
      <c r="D694" s="3">
        <v>4.4359999999999999</v>
      </c>
      <c r="E694" s="3">
        <v>0.45406999999999997</v>
      </c>
      <c r="F694" s="3">
        <v>0.48600000143051098</v>
      </c>
      <c r="G694" s="3">
        <v>3.96000003814697</v>
      </c>
      <c r="H694" s="3">
        <v>5.6399998664855904</v>
      </c>
      <c r="I694" s="5"/>
      <c r="J694" s="5"/>
      <c r="K694" s="3">
        <v>-4.7939085782704103</v>
      </c>
      <c r="L694" s="3">
        <v>0.86907999999999996</v>
      </c>
      <c r="M694" s="3">
        <v>0.35874</v>
      </c>
      <c r="N694" s="3">
        <v>0.24232000000000001</v>
      </c>
      <c r="O694" s="3">
        <v>0.219</v>
      </c>
      <c r="P694" s="3">
        <v>0.17460999999999999</v>
      </c>
      <c r="Q694" s="3"/>
    </row>
    <row r="695" spans="1:17" x14ac:dyDescent="0.25">
      <c r="A695" s="3" t="s">
        <v>128</v>
      </c>
      <c r="B695" s="3" t="s">
        <v>43</v>
      </c>
      <c r="C695" s="3">
        <v>2016</v>
      </c>
      <c r="D695" s="3">
        <v>4.2009999999999996</v>
      </c>
      <c r="E695" s="3">
        <v>0.61390999999999996</v>
      </c>
      <c r="F695" s="3">
        <v>1.4720000028610201</v>
      </c>
      <c r="G695" s="3">
        <v>-0.129999995231628</v>
      </c>
      <c r="H695" s="3">
        <v>2.2799999713897701</v>
      </c>
      <c r="I695" s="5"/>
      <c r="J695" s="5"/>
      <c r="K695" s="3">
        <v>11.210129750857201</v>
      </c>
      <c r="L695" s="3">
        <v>0.84141999999999995</v>
      </c>
      <c r="M695" s="3">
        <v>0.28638999999999998</v>
      </c>
      <c r="N695" s="3">
        <v>0.1268</v>
      </c>
      <c r="O695" s="3">
        <v>0.22686000000000001</v>
      </c>
      <c r="P695" s="3">
        <v>0.17954999999999999</v>
      </c>
      <c r="Q695" s="3"/>
    </row>
    <row r="696" spans="1:17" x14ac:dyDescent="0.25">
      <c r="A696" s="3" t="s">
        <v>128</v>
      </c>
      <c r="B696" s="3" t="s">
        <v>43</v>
      </c>
      <c r="C696" s="3">
        <v>2017</v>
      </c>
      <c r="D696" s="3">
        <v>4.2919998169999998</v>
      </c>
      <c r="E696" s="3">
        <v>0.64845728899999999</v>
      </c>
      <c r="F696" s="3">
        <v>2.2690000000000001</v>
      </c>
      <c r="G696" s="3">
        <v>-0.68000000715255704</v>
      </c>
      <c r="H696" s="3">
        <v>3.0799999237060498</v>
      </c>
      <c r="I696" s="5"/>
      <c r="J696" s="5"/>
      <c r="K696" s="3">
        <v>3.6656700522979402</v>
      </c>
      <c r="L696" s="3">
        <v>1.2720308300000001</v>
      </c>
      <c r="M696" s="3">
        <v>0.28534927999999998</v>
      </c>
      <c r="N696" s="3">
        <v>9.6098042999999994E-2</v>
      </c>
      <c r="O696" s="3">
        <v>0.20187002400000001</v>
      </c>
      <c r="P696" s="3">
        <v>0.13695700499999999</v>
      </c>
      <c r="Q696" s="3"/>
    </row>
    <row r="697" spans="1:17" x14ac:dyDescent="0.25">
      <c r="A697" s="3" t="s">
        <v>128</v>
      </c>
      <c r="B697" s="3" t="s">
        <v>43</v>
      </c>
      <c r="C697" s="3">
        <v>2018</v>
      </c>
      <c r="D697" s="3">
        <v>4.3559999999999999</v>
      </c>
      <c r="E697" s="3">
        <v>0.55700000000000005</v>
      </c>
      <c r="F697" s="3">
        <v>3.07</v>
      </c>
      <c r="G697" s="3">
        <v>0.50700472381906403</v>
      </c>
      <c r="H697" s="3">
        <v>4.20357959837051</v>
      </c>
      <c r="I697" s="5"/>
      <c r="J697" s="5"/>
      <c r="K697" s="3">
        <v>1.80833187829799</v>
      </c>
      <c r="L697" s="3">
        <v>1.2450000000000001</v>
      </c>
      <c r="M697" s="3">
        <v>0.29199999999999998</v>
      </c>
      <c r="N697" s="3">
        <v>0.129</v>
      </c>
      <c r="O697" s="3">
        <v>0.13400000000000001</v>
      </c>
      <c r="P697" s="3">
        <v>9.2999999999999999E-2</v>
      </c>
      <c r="Q697" s="3"/>
    </row>
    <row r="698" spans="1:17" x14ac:dyDescent="0.25">
      <c r="A698" s="3" t="s">
        <v>128</v>
      </c>
      <c r="B698" s="3" t="s">
        <v>43</v>
      </c>
      <c r="C698" s="3">
        <v>2019</v>
      </c>
      <c r="D698" s="3">
        <v>4.49</v>
      </c>
      <c r="E698" s="3">
        <v>0.56999999999999995</v>
      </c>
      <c r="F698" s="3">
        <v>2.3059999942779501</v>
      </c>
      <c r="G698" s="3">
        <v>-0.133627782913642</v>
      </c>
      <c r="H698" s="3">
        <v>2.7202607530035698</v>
      </c>
      <c r="I698" s="5"/>
      <c r="J698" s="5"/>
      <c r="K698" s="3">
        <v>4.6769458280329896</v>
      </c>
      <c r="L698" s="3">
        <v>1.167</v>
      </c>
      <c r="M698" s="3">
        <v>0.48899999999999999</v>
      </c>
      <c r="N698" s="3">
        <v>6.6000000000000003E-2</v>
      </c>
      <c r="O698" s="3">
        <v>0.106</v>
      </c>
      <c r="P698" s="3">
        <v>8.7999999999999995E-2</v>
      </c>
      <c r="Q698" s="3"/>
    </row>
    <row r="699" spans="1:17" x14ac:dyDescent="0.25">
      <c r="A699" s="3" t="s">
        <v>128</v>
      </c>
      <c r="B699" s="3" t="s">
        <v>43</v>
      </c>
      <c r="C699" s="3">
        <v>2020</v>
      </c>
      <c r="D699" s="3">
        <v>4.3745999339999999</v>
      </c>
      <c r="E699" s="3">
        <v>0.53968489200000003</v>
      </c>
      <c r="F699" s="3">
        <v>2.3856948845630601</v>
      </c>
      <c r="G699" s="3">
        <v>0.697416719156285</v>
      </c>
      <c r="H699" s="3">
        <v>2.1929059036162002</v>
      </c>
      <c r="I699" s="5"/>
      <c r="J699" s="5"/>
      <c r="K699" s="3">
        <v>7.8404311788003804</v>
      </c>
      <c r="L699" s="3">
        <v>1.1133235690000001</v>
      </c>
      <c r="M699" s="3">
        <v>0.42518481600000002</v>
      </c>
      <c r="N699" s="3">
        <v>0.18571448300000001</v>
      </c>
      <c r="O699" s="3">
        <v>0.128899664</v>
      </c>
      <c r="P699" s="3">
        <v>0.122257635</v>
      </c>
      <c r="Q699" s="3"/>
    </row>
    <row r="700" spans="1:17" x14ac:dyDescent="0.25">
      <c r="A700" s="3" t="s">
        <v>128</v>
      </c>
      <c r="B700" s="3" t="s">
        <v>43</v>
      </c>
      <c r="C700" s="3">
        <v>2021</v>
      </c>
      <c r="D700" s="3">
        <v>4.2270000000000003</v>
      </c>
      <c r="E700" s="3">
        <v>0.66600000000000004</v>
      </c>
      <c r="F700" s="3">
        <v>3.7669999999999999</v>
      </c>
      <c r="G700" s="3">
        <v>2.3199999999999998</v>
      </c>
      <c r="H700" s="3">
        <v>5.79</v>
      </c>
      <c r="I700" s="5"/>
      <c r="J700" s="5"/>
      <c r="K700" s="3">
        <v>12.571977926206401</v>
      </c>
      <c r="L700" s="3">
        <v>0.749</v>
      </c>
      <c r="M700" s="3">
        <v>0.27300000000000002</v>
      </c>
      <c r="N700" s="3">
        <v>0.218</v>
      </c>
      <c r="O700" s="3">
        <v>0.11899999999999999</v>
      </c>
      <c r="P700" s="3">
        <v>0.13300000000000001</v>
      </c>
      <c r="Q700" s="3"/>
    </row>
    <row r="701" spans="1:17" x14ac:dyDescent="0.25">
      <c r="A701" s="3" t="s">
        <v>128</v>
      </c>
      <c r="B701" s="3" t="s">
        <v>43</v>
      </c>
      <c r="C701" s="3">
        <v>2022</v>
      </c>
      <c r="D701" s="3">
        <v>4.1529999999999996</v>
      </c>
      <c r="E701" s="3">
        <v>1.1000000000000001</v>
      </c>
      <c r="F701" s="3">
        <v>9.5252662862284794</v>
      </c>
      <c r="G701" s="3">
        <v>2.6137278956154999</v>
      </c>
      <c r="H701" s="3">
        <v>14.338328233900899</v>
      </c>
      <c r="I701" s="5"/>
      <c r="J701" s="5"/>
      <c r="K701" s="3">
        <v>12.572009400216199</v>
      </c>
      <c r="L701" s="3">
        <v>0.86499999999999999</v>
      </c>
      <c r="M701" s="3">
        <v>0.45</v>
      </c>
      <c r="N701" s="3">
        <v>0.30399999999999999</v>
      </c>
      <c r="O701" s="3">
        <v>8.7999999999999995E-2</v>
      </c>
      <c r="P701" s="3">
        <v>0.13800000000000001</v>
      </c>
      <c r="Q701" s="3"/>
    </row>
    <row r="702" spans="1:17" x14ac:dyDescent="0.25">
      <c r="A702" s="3" t="s">
        <v>128</v>
      </c>
      <c r="B702" s="3" t="s">
        <v>43</v>
      </c>
      <c r="C702" s="3">
        <v>2023</v>
      </c>
      <c r="D702" s="3">
        <v>4.7240000000000002</v>
      </c>
      <c r="E702" s="3">
        <v>1.099</v>
      </c>
      <c r="F702" s="3">
        <v>4.9489999999999998</v>
      </c>
      <c r="G702" s="5"/>
      <c r="H702" s="5"/>
      <c r="I702" s="5"/>
      <c r="J702" s="5"/>
      <c r="K702" s="3">
        <v>1.5096099444400899</v>
      </c>
      <c r="L702" s="3">
        <v>0.76400000000000001</v>
      </c>
      <c r="M702" s="3">
        <v>0.24399999999999999</v>
      </c>
      <c r="N702" s="3">
        <v>0.32</v>
      </c>
      <c r="O702" s="3">
        <v>0.13</v>
      </c>
      <c r="P702" s="3">
        <v>0.19500000000000001</v>
      </c>
      <c r="Q702" s="3"/>
    </row>
    <row r="703" spans="1:17" x14ac:dyDescent="0.25">
      <c r="A703" s="3" t="s">
        <v>129</v>
      </c>
      <c r="B703" s="3" t="s">
        <v>43</v>
      </c>
      <c r="C703" s="3">
        <v>2015</v>
      </c>
      <c r="D703" s="3">
        <v>5.4770000000000003</v>
      </c>
      <c r="E703" s="3">
        <v>1.0076099999999999</v>
      </c>
      <c r="F703" s="3">
        <v>1.31648921966552</v>
      </c>
      <c r="G703" s="3">
        <v>-5.0000000745057997E-2</v>
      </c>
      <c r="H703" s="3">
        <v>3.2377367019653298</v>
      </c>
      <c r="I703" s="3">
        <v>1.7496300935745199</v>
      </c>
      <c r="J703" s="3">
        <v>2.1904606819152801</v>
      </c>
      <c r="K703" s="3">
        <v>0.96092400179877602</v>
      </c>
      <c r="L703" s="3">
        <v>0.98521000000000003</v>
      </c>
      <c r="M703" s="3">
        <v>0.70950000000000002</v>
      </c>
      <c r="N703" s="3">
        <v>0.56066000000000005</v>
      </c>
      <c r="O703" s="3">
        <v>0.37744</v>
      </c>
      <c r="P703" s="3">
        <v>7.5209999999999999E-2</v>
      </c>
      <c r="Q703" s="3"/>
    </row>
    <row r="704" spans="1:17" x14ac:dyDescent="0.25">
      <c r="A704" s="3" t="s">
        <v>129</v>
      </c>
      <c r="B704" s="3" t="s">
        <v>43</v>
      </c>
      <c r="C704" s="3">
        <v>2016</v>
      </c>
      <c r="D704" s="3">
        <v>5.6479999999999997</v>
      </c>
      <c r="E704" s="3">
        <v>1.1437200000000001</v>
      </c>
      <c r="F704" s="3">
        <v>0.950553238391876</v>
      </c>
      <c r="G704" s="3">
        <v>-3.0999999046325599</v>
      </c>
      <c r="H704" s="3">
        <v>1.0570433139801001</v>
      </c>
      <c r="I704" s="3">
        <v>2.2454204559326101</v>
      </c>
      <c r="J704" s="3">
        <v>0.102170430123806</v>
      </c>
      <c r="K704" s="3">
        <v>2.14736151159246</v>
      </c>
      <c r="L704" s="3">
        <v>0.75695000000000001</v>
      </c>
      <c r="M704" s="3">
        <v>0.66188999999999998</v>
      </c>
      <c r="N704" s="3">
        <v>0.46145000000000003</v>
      </c>
      <c r="O704" s="3">
        <v>0.36951000000000001</v>
      </c>
      <c r="P704" s="3">
        <v>5.203E-2</v>
      </c>
      <c r="Q704" s="3"/>
    </row>
    <row r="705" spans="1:17" x14ac:dyDescent="0.25">
      <c r="A705" s="3" t="s">
        <v>129</v>
      </c>
      <c r="B705" s="3" t="s">
        <v>43</v>
      </c>
      <c r="C705" s="3">
        <v>2017</v>
      </c>
      <c r="D705" s="3">
        <v>5.6290001869999999</v>
      </c>
      <c r="E705" s="3">
        <v>1.1893955469999999</v>
      </c>
      <c r="F705" s="3">
        <v>3.6749999999999998</v>
      </c>
      <c r="G705" s="3">
        <v>-2.21000003814697</v>
      </c>
      <c r="H705" s="3">
        <v>3.7257957458496</v>
      </c>
      <c r="I705" s="3">
        <v>2.1841869354247998</v>
      </c>
      <c r="J705" s="3">
        <v>2.3323495388031001</v>
      </c>
      <c r="K705" s="3">
        <v>1.2974395458961501</v>
      </c>
      <c r="L705" s="3">
        <v>1.2095609899999999</v>
      </c>
      <c r="M705" s="3">
        <v>0.63800746200000003</v>
      </c>
      <c r="N705" s="3">
        <v>0.49124732599999998</v>
      </c>
      <c r="O705" s="3">
        <v>0.36093375100000002</v>
      </c>
      <c r="P705" s="3">
        <v>4.2181555000000003E-2</v>
      </c>
      <c r="Q705" s="3"/>
    </row>
    <row r="706" spans="1:17" x14ac:dyDescent="0.25">
      <c r="A706" s="3" t="s">
        <v>129</v>
      </c>
      <c r="B706" s="3" t="s">
        <v>43</v>
      </c>
      <c r="C706" s="3">
        <v>2018</v>
      </c>
      <c r="D706" s="3">
        <v>5.891</v>
      </c>
      <c r="E706" s="3">
        <v>1.0900000000000001</v>
      </c>
      <c r="F706" s="3">
        <v>3.21</v>
      </c>
      <c r="G706" s="3">
        <v>-1.7837787866592401</v>
      </c>
      <c r="H706" s="3">
        <v>5.8088183403015101</v>
      </c>
      <c r="I706" s="3">
        <v>1.7866666316986</v>
      </c>
      <c r="J706" s="3">
        <v>3.17510962486267</v>
      </c>
      <c r="K706" s="3">
        <v>1.44696597817467</v>
      </c>
      <c r="L706" s="3">
        <v>1.387</v>
      </c>
      <c r="M706" s="3">
        <v>0.68400000000000005</v>
      </c>
      <c r="N706" s="3">
        <v>0.58399999999999996</v>
      </c>
      <c r="O706" s="3">
        <v>0.245</v>
      </c>
      <c r="P706" s="3">
        <v>0.05</v>
      </c>
      <c r="Q706" s="3"/>
    </row>
    <row r="707" spans="1:17" x14ac:dyDescent="0.25">
      <c r="A707" s="3" t="s">
        <v>129</v>
      </c>
      <c r="B707" s="3" t="s">
        <v>43</v>
      </c>
      <c r="C707" s="3">
        <v>2019</v>
      </c>
      <c r="D707" s="3">
        <v>5.8879999999999999</v>
      </c>
      <c r="E707" s="3">
        <v>1.1200000000000001</v>
      </c>
      <c r="F707" s="3">
        <v>0.45399999618530201</v>
      </c>
      <c r="G707" s="3">
        <v>-0.39039292931556702</v>
      </c>
      <c r="H707" s="3">
        <v>0.71676117181777899</v>
      </c>
      <c r="I707" s="3">
        <v>1.7749541997909499</v>
      </c>
      <c r="J707" s="3">
        <v>1.4540741443634</v>
      </c>
      <c r="K707" s="3">
        <v>0.52110086279415502</v>
      </c>
      <c r="L707" s="3">
        <v>1.4019999999999999</v>
      </c>
      <c r="M707" s="3">
        <v>0.79800000000000004</v>
      </c>
      <c r="N707" s="3">
        <v>0.498</v>
      </c>
      <c r="O707" s="3">
        <v>0.215</v>
      </c>
      <c r="P707" s="3">
        <v>0.06</v>
      </c>
      <c r="Q707" s="3"/>
    </row>
    <row r="708" spans="1:17" x14ac:dyDescent="0.25">
      <c r="A708" s="3" t="s">
        <v>129</v>
      </c>
      <c r="B708" s="3" t="s">
        <v>43</v>
      </c>
      <c r="C708" s="3">
        <v>2020</v>
      </c>
      <c r="D708" s="3">
        <v>6.1012997630000001</v>
      </c>
      <c r="E708" s="3">
        <v>1.07366395</v>
      </c>
      <c r="F708" s="3">
        <v>2.58080077182843</v>
      </c>
      <c r="G708" s="3">
        <v>-2.9905427281247401</v>
      </c>
      <c r="H708" s="3">
        <v>6.2172517776489196</v>
      </c>
      <c r="I708" s="3">
        <v>3.06406450271606</v>
      </c>
      <c r="J708" s="3">
        <v>3.75369668006896</v>
      </c>
      <c r="K708" s="3">
        <v>3.8213447282475799</v>
      </c>
      <c r="L708" s="3">
        <v>1.3956668379999999</v>
      </c>
      <c r="M708" s="3">
        <v>0.76338940899999996</v>
      </c>
      <c r="N708" s="3">
        <v>0.59083813399999996</v>
      </c>
      <c r="O708" s="3">
        <v>0.18689455099999999</v>
      </c>
      <c r="P708" s="3">
        <v>8.4088229E-2</v>
      </c>
      <c r="Q708" s="3"/>
    </row>
    <row r="709" spans="1:17" x14ac:dyDescent="0.25">
      <c r="A709" s="3" t="s">
        <v>129</v>
      </c>
      <c r="B709" s="3" t="s">
        <v>43</v>
      </c>
      <c r="C709" s="3">
        <v>2021</v>
      </c>
      <c r="D709" s="3">
        <v>6.0490000000000004</v>
      </c>
      <c r="E709" s="3">
        <v>1.1779999999999999</v>
      </c>
      <c r="F709" s="3">
        <v>4.0285288815737896</v>
      </c>
      <c r="G709" s="3">
        <v>-2.95</v>
      </c>
      <c r="H709" s="3">
        <v>4.33</v>
      </c>
      <c r="I709" s="3">
        <v>4.48255137801576</v>
      </c>
      <c r="J709" s="3">
        <v>11.397799473113199</v>
      </c>
      <c r="K709" s="3">
        <v>3.3231745425261101</v>
      </c>
      <c r="L709" s="3">
        <v>0.996</v>
      </c>
      <c r="M709" s="3">
        <v>0.57399999999999995</v>
      </c>
      <c r="N709" s="3">
        <v>0.59</v>
      </c>
      <c r="O709" s="3">
        <v>0.153</v>
      </c>
      <c r="P709" s="3">
        <v>9.6000000000000002E-2</v>
      </c>
      <c r="Q709" s="3"/>
    </row>
    <row r="710" spans="1:17" x14ac:dyDescent="0.25">
      <c r="A710" s="3" t="s">
        <v>129</v>
      </c>
      <c r="B710" s="3" t="s">
        <v>43</v>
      </c>
      <c r="C710" s="3">
        <v>2022</v>
      </c>
      <c r="D710" s="3">
        <v>6.0709999999999997</v>
      </c>
      <c r="E710" s="3">
        <v>1.591</v>
      </c>
      <c r="F710" s="3">
        <v>10.773751224289899</v>
      </c>
      <c r="G710" s="3">
        <v>4.6696454744116398</v>
      </c>
      <c r="H710" s="3">
        <v>13.977566963293301</v>
      </c>
      <c r="I710" s="3">
        <v>7.3174194030408204</v>
      </c>
      <c r="J710" s="3">
        <v>18.077484871669999</v>
      </c>
      <c r="K710" s="3">
        <v>3.0707296288677801</v>
      </c>
      <c r="L710" s="3">
        <v>1.1160000000000001</v>
      </c>
      <c r="M710" s="3">
        <v>0.56799999999999995</v>
      </c>
      <c r="N710" s="3">
        <v>0.58899999999999997</v>
      </c>
      <c r="O710" s="3">
        <v>0.13100000000000001</v>
      </c>
      <c r="P710" s="3">
        <v>0.107</v>
      </c>
      <c r="Q710" s="3"/>
    </row>
    <row r="711" spans="1:17" x14ac:dyDescent="0.25">
      <c r="A711" s="3" t="s">
        <v>129</v>
      </c>
      <c r="B711" s="3" t="s">
        <v>43</v>
      </c>
      <c r="C711" s="3">
        <v>2023</v>
      </c>
      <c r="D711" s="3">
        <v>5.9020000000000001</v>
      </c>
      <c r="E711" s="3">
        <v>1.589</v>
      </c>
      <c r="F711" s="3">
        <v>7.0529823845473603</v>
      </c>
      <c r="G711" s="3">
        <v>14.1305081241235</v>
      </c>
      <c r="H711" s="3">
        <v>7.8115389346788202</v>
      </c>
      <c r="I711" s="3">
        <v>5.19904497393168</v>
      </c>
      <c r="J711" s="5"/>
      <c r="K711" s="3">
        <v>6.4000069217325004</v>
      </c>
      <c r="L711" s="3">
        <v>1.3819999999999999</v>
      </c>
      <c r="M711" s="3">
        <v>0.33600000000000002</v>
      </c>
      <c r="N711" s="3">
        <v>0.57399999999999995</v>
      </c>
      <c r="O711" s="3">
        <v>0.121</v>
      </c>
      <c r="P711" s="3">
        <v>0.11</v>
      </c>
      <c r="Q711" s="3"/>
    </row>
    <row r="712" spans="1:17" x14ac:dyDescent="0.25">
      <c r="A712" s="3" t="s">
        <v>130</v>
      </c>
      <c r="B712" s="3" t="s">
        <v>45</v>
      </c>
      <c r="C712" s="3">
        <v>2015</v>
      </c>
      <c r="D712" s="3">
        <v>7.1870000000000003</v>
      </c>
      <c r="E712" s="3">
        <v>1.02054</v>
      </c>
      <c r="F712" s="3">
        <v>2.7206408977508501</v>
      </c>
      <c r="G712" s="3">
        <v>1.8657598495483301</v>
      </c>
      <c r="H712" s="3">
        <v>3.98915696144104</v>
      </c>
      <c r="I712" s="3">
        <v>2.3627495765686</v>
      </c>
      <c r="J712" s="3">
        <v>2.93016362190246</v>
      </c>
      <c r="K712" s="3">
        <v>2.8351206434316301</v>
      </c>
      <c r="L712" s="3">
        <v>0.91451000000000005</v>
      </c>
      <c r="M712" s="3">
        <v>0.81444000000000005</v>
      </c>
      <c r="N712" s="3">
        <v>0.48181000000000002</v>
      </c>
      <c r="O712" s="3">
        <v>0.14074</v>
      </c>
      <c r="P712" s="3">
        <v>0.21312</v>
      </c>
      <c r="Q712" s="3"/>
    </row>
    <row r="713" spans="1:17" x14ac:dyDescent="0.25">
      <c r="A713" s="3" t="s">
        <v>130</v>
      </c>
      <c r="B713" s="3" t="s">
        <v>45</v>
      </c>
      <c r="C713" s="3">
        <v>2016</v>
      </c>
      <c r="D713" s="3">
        <v>6.7779999999999996</v>
      </c>
      <c r="E713" s="3">
        <v>1.1150800000000001</v>
      </c>
      <c r="F713" s="3">
        <v>2.8217086791992099</v>
      </c>
      <c r="G713" s="3">
        <v>1.7163509130477901</v>
      </c>
      <c r="H713" s="3">
        <v>4.4696235656738201</v>
      </c>
      <c r="I713" s="3">
        <v>2.97045421600341</v>
      </c>
      <c r="J713" s="3">
        <v>5.6736545562744096</v>
      </c>
      <c r="K713" s="3">
        <v>5.6051619631102199</v>
      </c>
      <c r="L713" s="3">
        <v>0.71460000000000001</v>
      </c>
      <c r="M713" s="3">
        <v>0.71143000000000001</v>
      </c>
      <c r="N713" s="3">
        <v>0.37708999999999998</v>
      </c>
      <c r="O713" s="3">
        <v>0.11735</v>
      </c>
      <c r="P713" s="3">
        <v>0.18354999999999999</v>
      </c>
      <c r="Q713" s="3"/>
    </row>
    <row r="714" spans="1:17" x14ac:dyDescent="0.25">
      <c r="A714" s="3" t="s">
        <v>130</v>
      </c>
      <c r="B714" s="3" t="s">
        <v>45</v>
      </c>
      <c r="C714" s="3">
        <v>2017</v>
      </c>
      <c r="D714" s="3">
        <v>6.5780000689999998</v>
      </c>
      <c r="E714" s="3">
        <v>1.153183818</v>
      </c>
      <c r="F714" s="3">
        <v>6.0410000000000004</v>
      </c>
      <c r="G714" s="3">
        <v>3.9133675098419101</v>
      </c>
      <c r="H714" s="3">
        <v>6.9660339355468697</v>
      </c>
      <c r="I714" s="3">
        <v>4.6838254928588796</v>
      </c>
      <c r="J714" s="3">
        <v>6.9109101295471103</v>
      </c>
      <c r="K714" s="3">
        <v>6.7121608873136296</v>
      </c>
      <c r="L714" s="3">
        <v>1.21086216</v>
      </c>
      <c r="M714" s="3">
        <v>0.70997899799999997</v>
      </c>
      <c r="N714" s="3">
        <v>0.41273000799999998</v>
      </c>
      <c r="O714" s="3">
        <v>0.12099043299999999</v>
      </c>
      <c r="P714" s="3">
        <v>0.132774115</v>
      </c>
      <c r="Q714" s="3"/>
    </row>
    <row r="715" spans="1:17" x14ac:dyDescent="0.25">
      <c r="A715" s="3" t="s">
        <v>130</v>
      </c>
      <c r="B715" s="3" t="s">
        <v>45</v>
      </c>
      <c r="C715" s="3">
        <v>2018</v>
      </c>
      <c r="D715" s="3">
        <v>6.4880000000000004</v>
      </c>
      <c r="E715" s="3">
        <v>1.038</v>
      </c>
      <c r="F715" s="3">
        <v>4.9000000000000004</v>
      </c>
      <c r="G715" s="3">
        <v>3.9056699275970401</v>
      </c>
      <c r="H715" s="3">
        <v>4.7957458496093697</v>
      </c>
      <c r="I715" s="3">
        <v>3.8181242942810001</v>
      </c>
      <c r="J715" s="3">
        <v>5.4669947624206499</v>
      </c>
      <c r="K715" s="3">
        <v>4.9415866615992101</v>
      </c>
      <c r="L715" s="3">
        <v>1.252</v>
      </c>
      <c r="M715" s="3">
        <v>0.76100000000000001</v>
      </c>
      <c r="N715" s="3">
        <v>0.47899999999999998</v>
      </c>
      <c r="O715" s="3">
        <v>6.9000000000000006E-2</v>
      </c>
      <c r="P715" s="3">
        <v>9.5000000000000001E-2</v>
      </c>
      <c r="Q715" s="3"/>
    </row>
    <row r="716" spans="1:17" x14ac:dyDescent="0.25">
      <c r="A716" s="3" t="s">
        <v>130</v>
      </c>
      <c r="B716" s="3" t="s">
        <v>45</v>
      </c>
      <c r="C716" s="3">
        <v>2019</v>
      </c>
      <c r="D716" s="3">
        <v>6.5949999999999998</v>
      </c>
      <c r="E716" s="3">
        <v>1.07</v>
      </c>
      <c r="F716" s="3">
        <v>3.6349999904632502</v>
      </c>
      <c r="G716" s="3">
        <v>2.4337580204010001</v>
      </c>
      <c r="H716" s="3">
        <v>4.3882122039794904</v>
      </c>
      <c r="I716" s="3">
        <v>3.7050101757049498</v>
      </c>
      <c r="J716" s="3">
        <v>2.9189202785491899</v>
      </c>
      <c r="K716" s="3">
        <v>3.9664606542534302</v>
      </c>
      <c r="L716" s="3">
        <v>1.323</v>
      </c>
      <c r="M716" s="3">
        <v>0.86099999999999999</v>
      </c>
      <c r="N716" s="3">
        <v>0.433</v>
      </c>
      <c r="O716" s="3">
        <v>7.3999999999999996E-2</v>
      </c>
      <c r="P716" s="3">
        <v>7.2999999999999995E-2</v>
      </c>
      <c r="Q716" s="3"/>
    </row>
    <row r="717" spans="1:17" x14ac:dyDescent="0.25">
      <c r="A717" s="3" t="s">
        <v>130</v>
      </c>
      <c r="B717" s="3" t="s">
        <v>45</v>
      </c>
      <c r="C717" s="3">
        <v>2020</v>
      </c>
      <c r="D717" s="3">
        <v>6.4650001530000001</v>
      </c>
      <c r="E717" s="3">
        <v>1.024387479</v>
      </c>
      <c r="F717" s="3">
        <v>3.3968341557002999</v>
      </c>
      <c r="G717" s="3">
        <v>2.6009230406891501</v>
      </c>
      <c r="H717" s="3">
        <v>6.6214895248412997</v>
      </c>
      <c r="I717" s="3">
        <v>3.2008220000000001</v>
      </c>
      <c r="J717" s="3">
        <v>4.7810611724853498</v>
      </c>
      <c r="K717" s="3">
        <v>3.0896685421762502</v>
      </c>
      <c r="L717" s="3">
        <v>1.2263334990000001</v>
      </c>
      <c r="M717" s="3">
        <v>0.83160102400000002</v>
      </c>
      <c r="N717" s="3">
        <v>0.55389255299999995</v>
      </c>
      <c r="O717" s="3">
        <v>8.3094484999999996E-2</v>
      </c>
      <c r="P717" s="3">
        <v>8.3133667999999994E-2</v>
      </c>
      <c r="Q717" s="3"/>
    </row>
    <row r="718" spans="1:17" x14ac:dyDescent="0.25">
      <c r="A718" s="3" t="s">
        <v>130</v>
      </c>
      <c r="B718" s="3" t="s">
        <v>45</v>
      </c>
      <c r="C718" s="3">
        <v>2021</v>
      </c>
      <c r="D718" s="3">
        <v>6.3170000000000002</v>
      </c>
      <c r="E718" s="3">
        <v>1.1259999999999999</v>
      </c>
      <c r="F718" s="3">
        <v>5.689209</v>
      </c>
      <c r="G718" s="3">
        <v>13.706149999999999</v>
      </c>
      <c r="H718" s="3">
        <v>7.2309999999999999</v>
      </c>
      <c r="I718" s="3">
        <v>3.855</v>
      </c>
      <c r="J718" s="3">
        <v>7.0908128195632898</v>
      </c>
      <c r="K718" s="3">
        <v>5.1640956554334601</v>
      </c>
      <c r="L718" s="3">
        <v>0.83</v>
      </c>
      <c r="M718" s="3">
        <v>0.63400000000000001</v>
      </c>
      <c r="N718" s="3">
        <v>0.58499999999999996</v>
      </c>
      <c r="O718" s="3">
        <v>9.1999999999999998E-2</v>
      </c>
      <c r="P718" s="3">
        <v>8.8999999999999996E-2</v>
      </c>
      <c r="Q718" s="3"/>
    </row>
    <row r="719" spans="1:17" x14ac:dyDescent="0.25">
      <c r="A719" s="3" t="s">
        <v>130</v>
      </c>
      <c r="B719" s="3" t="s">
        <v>45</v>
      </c>
      <c r="C719" s="3">
        <v>2022</v>
      </c>
      <c r="D719" s="3">
        <v>6.1280000000000001</v>
      </c>
      <c r="E719" s="3">
        <v>1.552</v>
      </c>
      <c r="F719" s="3">
        <v>7.8962760000000003</v>
      </c>
      <c r="G719" s="3">
        <v>5.2839848134948104</v>
      </c>
      <c r="H719" s="3">
        <v>13.261979999999999</v>
      </c>
      <c r="I719" s="3">
        <v>6.00546448087435</v>
      </c>
      <c r="J719" s="3">
        <v>8.8844012430593509</v>
      </c>
      <c r="K719" s="3">
        <v>6.57019904667</v>
      </c>
      <c r="L719" s="3">
        <v>0.88600000000000001</v>
      </c>
      <c r="M719" s="3">
        <v>0.623</v>
      </c>
      <c r="N719" s="3">
        <v>0.621</v>
      </c>
      <c r="O719" s="3">
        <v>9.1999999999999998E-2</v>
      </c>
      <c r="P719" s="3">
        <v>0.115</v>
      </c>
      <c r="Q719" s="3"/>
    </row>
    <row r="720" spans="1:17" x14ac:dyDescent="0.25">
      <c r="A720" s="3" t="s">
        <v>130</v>
      </c>
      <c r="B720" s="3" t="s">
        <v>45</v>
      </c>
      <c r="C720" s="3">
        <v>2023</v>
      </c>
      <c r="D720" s="3">
        <v>6.33</v>
      </c>
      <c r="E720" s="3">
        <v>1.55</v>
      </c>
      <c r="F720" s="3">
        <v>5.5279608731438898</v>
      </c>
      <c r="G720" s="3">
        <v>-3.0052070031500899</v>
      </c>
      <c r="H720" s="3">
        <v>8.1657032000651899</v>
      </c>
      <c r="I720" s="3">
        <v>5.6768598973675903</v>
      </c>
      <c r="J720" s="3">
        <v>1.7484778110452801</v>
      </c>
      <c r="K720" s="3">
        <v>4.2948455974084698</v>
      </c>
      <c r="L720" s="3">
        <v>1.169</v>
      </c>
      <c r="M720" s="3">
        <v>0.38900000000000001</v>
      </c>
      <c r="N720" s="3">
        <v>0.63200000000000001</v>
      </c>
      <c r="O720" s="3">
        <v>8.5999999999999993E-2</v>
      </c>
      <c r="P720" s="3">
        <v>0.115</v>
      </c>
      <c r="Q720" s="3"/>
    </row>
    <row r="721" spans="1:17" x14ac:dyDescent="0.25">
      <c r="A721" s="3" t="s">
        <v>131</v>
      </c>
      <c r="B721" s="3" t="s">
        <v>39</v>
      </c>
      <c r="C721" s="3">
        <v>2015</v>
      </c>
      <c r="D721" s="3">
        <v>5.8890000000000002</v>
      </c>
      <c r="E721" s="3">
        <v>0.59448000000000001</v>
      </c>
      <c r="F721" s="3">
        <v>9.6280002593994105</v>
      </c>
      <c r="G721" s="3">
        <v>0.89999997615814198</v>
      </c>
      <c r="H721" s="3">
        <v>0.730000019073486</v>
      </c>
      <c r="I721" s="5"/>
      <c r="J721" s="5"/>
      <c r="K721" s="3">
        <v>9.5649365001105</v>
      </c>
      <c r="L721" s="3">
        <v>1.01528</v>
      </c>
      <c r="M721" s="3">
        <v>0.61826000000000003</v>
      </c>
      <c r="N721" s="3">
        <v>0.32818000000000003</v>
      </c>
      <c r="O721" s="3">
        <v>0.20951</v>
      </c>
      <c r="P721" s="3">
        <v>1.6150000000000001E-2</v>
      </c>
    </row>
    <row r="722" spans="1:17" x14ac:dyDescent="0.25">
      <c r="A722" s="3" t="s">
        <v>131</v>
      </c>
      <c r="B722" s="3" t="s">
        <v>39</v>
      </c>
      <c r="C722" s="3">
        <v>2016</v>
      </c>
      <c r="D722" s="3">
        <v>5.8970000000000002</v>
      </c>
      <c r="E722" s="3">
        <v>0.69177</v>
      </c>
      <c r="F722" s="3">
        <v>6.3819999694824201</v>
      </c>
      <c r="G722" s="3">
        <v>-1.25999999046325</v>
      </c>
      <c r="H722" s="3">
        <v>-0.92000001668929998</v>
      </c>
      <c r="I722" s="5"/>
      <c r="J722" s="5"/>
      <c r="K722" s="3">
        <v>5.6738303980138003</v>
      </c>
      <c r="L722" s="3">
        <v>0.83131999999999995</v>
      </c>
      <c r="M722" s="3">
        <v>0.52309000000000005</v>
      </c>
      <c r="N722" s="3">
        <v>0.25202000000000002</v>
      </c>
      <c r="O722" s="3">
        <v>0.19997000000000001</v>
      </c>
      <c r="P722" s="3">
        <v>1.9029999999999998E-2</v>
      </c>
      <c r="Q722" s="3"/>
    </row>
    <row r="723" spans="1:17" x14ac:dyDescent="0.25">
      <c r="A723" s="3" t="s">
        <v>131</v>
      </c>
      <c r="B723" s="3" t="s">
        <v>39</v>
      </c>
      <c r="C723" s="3">
        <v>2017</v>
      </c>
      <c r="D723" s="3">
        <v>5.8379998210000004</v>
      </c>
      <c r="E723" s="3">
        <v>0.72887062999999996</v>
      </c>
      <c r="F723" s="3">
        <v>6.5759999999999996</v>
      </c>
      <c r="G723" s="3">
        <v>4.5726916369164199</v>
      </c>
      <c r="H723" s="3">
        <v>0.46554934978485102</v>
      </c>
      <c r="I723" s="5"/>
      <c r="J723" s="5"/>
      <c r="K723" s="3">
        <v>6.2502294369433899</v>
      </c>
      <c r="L723" s="3">
        <v>1.2518255709999999</v>
      </c>
      <c r="M723" s="3">
        <v>0.58946520099999999</v>
      </c>
      <c r="N723" s="3">
        <v>0.240729049</v>
      </c>
      <c r="O723" s="3">
        <v>0.20877912600000001</v>
      </c>
      <c r="P723" s="3">
        <v>1.0091286E-2</v>
      </c>
      <c r="Q723" s="3"/>
    </row>
    <row r="724" spans="1:17" x14ac:dyDescent="0.25">
      <c r="A724" s="3" t="s">
        <v>131</v>
      </c>
      <c r="B724" s="3" t="s">
        <v>39</v>
      </c>
      <c r="C724" s="3">
        <v>2018</v>
      </c>
      <c r="D724" s="3">
        <v>5.64</v>
      </c>
      <c r="E724" s="3">
        <v>0.65700000000000003</v>
      </c>
      <c r="F724" s="3">
        <v>3.05</v>
      </c>
      <c r="G724" s="3">
        <v>-2.3052442276906802</v>
      </c>
      <c r="H724" s="3">
        <v>5.51477218192887</v>
      </c>
      <c r="I724" s="5"/>
      <c r="J724" s="5"/>
      <c r="K724" s="3">
        <v>2.13728958788246</v>
      </c>
      <c r="L724" s="3">
        <v>1.3009999999999999</v>
      </c>
      <c r="M724" s="3">
        <v>0.62</v>
      </c>
      <c r="N724" s="3">
        <v>0.23200000000000001</v>
      </c>
      <c r="O724" s="3">
        <v>0.17100000000000001</v>
      </c>
      <c r="P724" s="3">
        <v>0</v>
      </c>
      <c r="Q724" s="3"/>
    </row>
    <row r="725" spans="1:17" x14ac:dyDescent="0.25">
      <c r="A725" s="3" t="s">
        <v>131</v>
      </c>
      <c r="B725" s="3" t="s">
        <v>39</v>
      </c>
      <c r="C725" s="3">
        <v>2019</v>
      </c>
      <c r="D725" s="3">
        <v>5.5289999999999999</v>
      </c>
      <c r="E725" s="3">
        <v>0.68500000000000005</v>
      </c>
      <c r="F725" s="3">
        <v>4.8489999771118102</v>
      </c>
      <c r="G725" s="3">
        <v>0.55013276582216597</v>
      </c>
      <c r="H725" s="3">
        <v>7.6059384346008301</v>
      </c>
      <c r="I725" s="5"/>
      <c r="J725" s="5"/>
      <c r="K725" s="3">
        <v>6.7472210758478797</v>
      </c>
      <c r="L725" s="3">
        <v>1.3280000000000001</v>
      </c>
      <c r="M725" s="3">
        <v>0.73899999999999999</v>
      </c>
      <c r="N725" s="3">
        <v>0.245</v>
      </c>
      <c r="O725" s="3">
        <v>0.18099999999999999</v>
      </c>
      <c r="P725" s="3">
        <v>0</v>
      </c>
      <c r="Q725" s="3"/>
    </row>
    <row r="726" spans="1:17" x14ac:dyDescent="0.25">
      <c r="A726" s="3" t="s">
        <v>131</v>
      </c>
      <c r="B726" s="3" t="s">
        <v>39</v>
      </c>
      <c r="C726" s="3">
        <v>2020</v>
      </c>
      <c r="D726" s="3">
        <v>5.607500076</v>
      </c>
      <c r="E726" s="3">
        <v>0.70791679600000001</v>
      </c>
      <c r="F726" s="3">
        <v>3.7659712224536199</v>
      </c>
      <c r="G726" s="3">
        <v>0.75700632180690197</v>
      </c>
      <c r="H726" s="3">
        <v>7.3536019325256303</v>
      </c>
      <c r="I726" s="5"/>
      <c r="J726" s="5"/>
      <c r="K726" s="3">
        <v>2.4996514177789599</v>
      </c>
      <c r="L726" s="3">
        <v>1.2373121979999999</v>
      </c>
      <c r="M726" s="3">
        <v>0.71329945299999997</v>
      </c>
      <c r="N726" s="3">
        <v>0.38957148800000002</v>
      </c>
      <c r="O726" s="3">
        <v>0.174049184</v>
      </c>
      <c r="P726" s="3">
        <v>1.4378744000000001E-2</v>
      </c>
      <c r="Q726" s="3"/>
    </row>
    <row r="727" spans="1:17" x14ac:dyDescent="0.25">
      <c r="A727" s="3" t="s">
        <v>131</v>
      </c>
      <c r="B727" s="3" t="s">
        <v>39</v>
      </c>
      <c r="C727" s="3">
        <v>2021</v>
      </c>
      <c r="D727" s="3">
        <v>5.766</v>
      </c>
      <c r="E727" s="3">
        <v>0.98499999999999999</v>
      </c>
      <c r="F727" s="3">
        <v>5.1064112900283698</v>
      </c>
      <c r="G727" s="3">
        <v>1.08</v>
      </c>
      <c r="H727" s="3">
        <v>7.11</v>
      </c>
      <c r="I727" s="5"/>
      <c r="J727" s="5"/>
      <c r="K727" s="3">
        <v>3.32859048176259</v>
      </c>
      <c r="L727" s="3">
        <v>0.88800000000000001</v>
      </c>
      <c r="M727" s="3">
        <v>0.54200000000000004</v>
      </c>
      <c r="N727" s="3">
        <v>0.53600000000000003</v>
      </c>
      <c r="O727" s="3">
        <v>0.13700000000000001</v>
      </c>
      <c r="P727" s="3">
        <v>1.2999999999999999E-2</v>
      </c>
      <c r="Q727" s="3"/>
    </row>
    <row r="728" spans="1:17" x14ac:dyDescent="0.25">
      <c r="A728" s="3" t="s">
        <v>131</v>
      </c>
      <c r="B728" s="3" t="s">
        <v>39</v>
      </c>
      <c r="C728" s="3">
        <v>2022</v>
      </c>
      <c r="D728" s="3">
        <v>5.8570000000000002</v>
      </c>
      <c r="E728" s="3">
        <v>1.417</v>
      </c>
      <c r="F728" s="3">
        <v>28.737297676623601</v>
      </c>
      <c r="G728" s="3">
        <v>66.961290567063003</v>
      </c>
      <c r="H728" s="3">
        <v>29.932378510102101</v>
      </c>
      <c r="I728" s="5"/>
      <c r="J728" s="5"/>
      <c r="K728" s="3">
        <v>19.371403259307701</v>
      </c>
      <c r="L728" s="3">
        <v>1.008</v>
      </c>
      <c r="M728" s="3">
        <v>0.59699999999999998</v>
      </c>
      <c r="N728" s="3">
        <v>0.56100000000000005</v>
      </c>
      <c r="O728" s="3">
        <v>0.10199999999999999</v>
      </c>
      <c r="P728" s="3">
        <v>2.8000000000000001E-2</v>
      </c>
      <c r="Q728" s="3"/>
    </row>
    <row r="729" spans="1:17" x14ac:dyDescent="0.25">
      <c r="A729" s="3" t="s">
        <v>131</v>
      </c>
      <c r="B729" s="3" t="s">
        <v>39</v>
      </c>
      <c r="C729" s="3">
        <v>2023</v>
      </c>
      <c r="D729" s="3">
        <v>5.819</v>
      </c>
      <c r="E729" s="3">
        <v>1.425</v>
      </c>
      <c r="F729" s="3">
        <v>16.831679558452599</v>
      </c>
      <c r="G729" s="3">
        <v>37.597662148383499</v>
      </c>
      <c r="H729" s="3">
        <v>13.1987369125107</v>
      </c>
      <c r="I729" s="5"/>
      <c r="J729" s="5"/>
      <c r="K729" s="3">
        <v>9.2945638725691708</v>
      </c>
      <c r="L729" s="3">
        <v>1.302</v>
      </c>
      <c r="M729" s="3">
        <v>0.375</v>
      </c>
      <c r="N729" s="3">
        <v>0.61</v>
      </c>
      <c r="O729" s="3">
        <v>9.2999999999999999E-2</v>
      </c>
      <c r="P729" s="3">
        <v>0.02</v>
      </c>
      <c r="Q729" s="3"/>
    </row>
    <row r="730" spans="1:17" x14ac:dyDescent="0.25">
      <c r="A730" s="3" t="s">
        <v>132</v>
      </c>
      <c r="B730" s="3" t="s">
        <v>74</v>
      </c>
      <c r="C730" s="3">
        <v>2015</v>
      </c>
      <c r="D730" s="3">
        <v>4.8739999999999997</v>
      </c>
      <c r="E730" s="3">
        <v>0.82818999999999998</v>
      </c>
      <c r="F730" s="3">
        <v>6.5624718666076598</v>
      </c>
      <c r="G730" s="3">
        <v>10.6675310134887</v>
      </c>
      <c r="H730" s="3">
        <v>1.8848685026168801</v>
      </c>
      <c r="I730" s="5"/>
      <c r="J730" s="5"/>
      <c r="K730" s="3">
        <v>1.7330129209765599</v>
      </c>
      <c r="L730" s="3">
        <v>1.3006</v>
      </c>
      <c r="M730" s="3">
        <v>0.60267999999999999</v>
      </c>
      <c r="N730" s="3">
        <v>0.43625999999999998</v>
      </c>
      <c r="O730" s="3">
        <v>0.33229999999999998</v>
      </c>
      <c r="P730" s="3">
        <v>2.666E-2</v>
      </c>
      <c r="Q730" s="3"/>
    </row>
    <row r="731" spans="1:17" x14ac:dyDescent="0.25">
      <c r="A731" s="3" t="s">
        <v>132</v>
      </c>
      <c r="B731" s="3" t="s">
        <v>74</v>
      </c>
      <c r="C731" s="3">
        <v>2016</v>
      </c>
      <c r="D731" s="3">
        <v>4.907</v>
      </c>
      <c r="E731" s="3">
        <v>0.98853000000000002</v>
      </c>
      <c r="F731" s="3">
        <v>0.72499847412109297</v>
      </c>
      <c r="G731" s="3">
        <v>1.9495095014572099</v>
      </c>
      <c r="H731" s="3">
        <v>-2.8916702270507799</v>
      </c>
      <c r="I731" s="5"/>
      <c r="J731" s="5"/>
      <c r="K731" s="3">
        <v>2.2286430268464099</v>
      </c>
      <c r="L731" s="3">
        <v>1.0898300000000001</v>
      </c>
      <c r="M731" s="3">
        <v>0.55469000000000002</v>
      </c>
      <c r="N731" s="3">
        <v>0.35971999999999998</v>
      </c>
      <c r="O731" s="3">
        <v>0.34538999999999997</v>
      </c>
      <c r="P731" s="3">
        <v>3.2849999999999997E-2</v>
      </c>
      <c r="Q731" s="3"/>
    </row>
    <row r="732" spans="1:17" x14ac:dyDescent="0.25">
      <c r="A732" s="3" t="s">
        <v>132</v>
      </c>
      <c r="B732" s="3" t="s">
        <v>74</v>
      </c>
      <c r="C732" s="3">
        <v>2017</v>
      </c>
      <c r="D732" s="3">
        <v>4.954999924</v>
      </c>
      <c r="E732" s="3">
        <v>1.0272358660000001</v>
      </c>
      <c r="F732" s="3">
        <v>4.6230000000000002</v>
      </c>
      <c r="G732" s="3">
        <v>4.9031624794006303</v>
      </c>
      <c r="H732" s="3">
        <v>4.2478332519531197</v>
      </c>
      <c r="I732" s="5"/>
      <c r="J732" s="3">
        <v>29.491083145141602</v>
      </c>
      <c r="K732" s="3">
        <v>10.529241567765901</v>
      </c>
      <c r="L732" s="3">
        <v>1.4930112360000001</v>
      </c>
      <c r="M732" s="3">
        <v>0.557783484</v>
      </c>
      <c r="N732" s="3">
        <v>0.39414396899999998</v>
      </c>
      <c r="O732" s="3">
        <v>0.33846422999999998</v>
      </c>
      <c r="P732" s="3">
        <v>3.2902289000000001E-2</v>
      </c>
      <c r="Q732" s="3"/>
    </row>
    <row r="733" spans="1:17" x14ac:dyDescent="0.25">
      <c r="A733" s="3" t="s">
        <v>132</v>
      </c>
      <c r="B733" s="3" t="s">
        <v>74</v>
      </c>
      <c r="C733" s="3">
        <v>2018</v>
      </c>
      <c r="D733" s="3">
        <v>5.125</v>
      </c>
      <c r="E733" s="3">
        <v>0.91400000000000003</v>
      </c>
      <c r="F733" s="3">
        <v>6.83</v>
      </c>
      <c r="G733" s="3">
        <v>13.027895927429199</v>
      </c>
      <c r="H733" s="3">
        <v>6.9229559898376403</v>
      </c>
      <c r="I733" s="5"/>
      <c r="J733" s="3">
        <v>6.91300344467163</v>
      </c>
      <c r="K733" s="3">
        <v>8.4118548861109304</v>
      </c>
      <c r="L733" s="3">
        <v>1.5169999999999999</v>
      </c>
      <c r="M733" s="3">
        <v>0.57499999999999996</v>
      </c>
      <c r="N733" s="3">
        <v>0.39500000000000002</v>
      </c>
      <c r="O733" s="3">
        <v>0.253</v>
      </c>
      <c r="P733" s="3">
        <v>3.2000000000000001E-2</v>
      </c>
      <c r="Q733" s="3"/>
    </row>
    <row r="734" spans="1:17" x14ac:dyDescent="0.25">
      <c r="A734" s="3" t="s">
        <v>132</v>
      </c>
      <c r="B734" s="3" t="s">
        <v>74</v>
      </c>
      <c r="C734" s="3">
        <v>2019</v>
      </c>
      <c r="D734" s="3">
        <v>5.2850000000000001</v>
      </c>
      <c r="E734" s="3">
        <v>0.94799999999999995</v>
      </c>
      <c r="F734" s="3">
        <v>7.2600002288818297</v>
      </c>
      <c r="G734" s="3">
        <v>8.6983995437621999</v>
      </c>
      <c r="H734" s="3">
        <v>10.684019088745099</v>
      </c>
      <c r="I734" s="5"/>
      <c r="J734" s="3">
        <v>4.5494470596313397</v>
      </c>
      <c r="K734" s="3">
        <v>9.3812007087322709</v>
      </c>
      <c r="L734" s="3">
        <v>1.5309999999999999</v>
      </c>
      <c r="M734" s="3">
        <v>0.66700000000000004</v>
      </c>
      <c r="N734" s="3">
        <v>0.317</v>
      </c>
      <c r="O734" s="3">
        <v>0.23499999999999999</v>
      </c>
      <c r="P734" s="3">
        <v>3.7999999999999999E-2</v>
      </c>
      <c r="Q734" s="3"/>
    </row>
    <row r="735" spans="1:17" x14ac:dyDescent="0.25">
      <c r="A735" s="3" t="s">
        <v>132</v>
      </c>
      <c r="B735" s="3" t="s">
        <v>74</v>
      </c>
      <c r="C735" s="3">
        <v>2020</v>
      </c>
      <c r="D735" s="3">
        <v>5.4562001230000003</v>
      </c>
      <c r="E735" s="3">
        <v>0.90487277499999996</v>
      </c>
      <c r="F735" s="3">
        <v>3.6931692276744701</v>
      </c>
      <c r="G735" s="3">
        <v>2.9202716962650501</v>
      </c>
      <c r="H735" s="3">
        <v>6.6447906494140598</v>
      </c>
      <c r="I735" s="5"/>
      <c r="J735" s="3">
        <v>-7.4347887039184499</v>
      </c>
      <c r="K735" s="3">
        <v>4.7231661514090701</v>
      </c>
      <c r="L735" s="3">
        <v>1.4589306120000001</v>
      </c>
      <c r="M735" s="3">
        <v>0.61578816199999997</v>
      </c>
      <c r="N735" s="3">
        <v>0.35570311500000001</v>
      </c>
      <c r="O735" s="3">
        <v>0.26388573599999998</v>
      </c>
      <c r="P735" s="3">
        <v>4.6533126000000001E-2</v>
      </c>
      <c r="Q735" s="3"/>
    </row>
    <row r="736" spans="1:17" x14ac:dyDescent="0.25">
      <c r="A736" s="3" t="s">
        <v>132</v>
      </c>
      <c r="B736" s="3" t="s">
        <v>74</v>
      </c>
      <c r="C736" s="3">
        <v>2021</v>
      </c>
      <c r="D736" s="3">
        <v>5.6769999999999996</v>
      </c>
      <c r="E736" s="3">
        <v>0.96599999999999997</v>
      </c>
      <c r="F736" s="3">
        <v>7.0985641814898797</v>
      </c>
      <c r="G736" s="3">
        <v>2.35</v>
      </c>
      <c r="H736" s="3">
        <v>13.79</v>
      </c>
      <c r="I736" s="5"/>
      <c r="J736" s="3">
        <v>5.8058252427184396</v>
      </c>
      <c r="K736" s="3">
        <v>14.4200654836844</v>
      </c>
      <c r="L736" s="3">
        <v>1.0649999999999999</v>
      </c>
      <c r="M736" s="3">
        <v>0.442</v>
      </c>
      <c r="N736" s="3">
        <v>0.39700000000000002</v>
      </c>
      <c r="O736" s="3">
        <v>0.26300000000000001</v>
      </c>
      <c r="P736" s="3">
        <v>5.2999999999999999E-2</v>
      </c>
      <c r="Q736" s="3"/>
    </row>
    <row r="737" spans="1:17" x14ac:dyDescent="0.25">
      <c r="A737" s="3" t="s">
        <v>132</v>
      </c>
      <c r="B737" s="3" t="s">
        <v>74</v>
      </c>
      <c r="C737" s="3">
        <v>2022</v>
      </c>
      <c r="D737" s="3">
        <v>5.7610000000000001</v>
      </c>
      <c r="E737" s="3">
        <v>1.393</v>
      </c>
      <c r="F737" s="3">
        <v>15.1479560897225</v>
      </c>
      <c r="G737" s="3">
        <v>14.7604218070167</v>
      </c>
      <c r="H737" s="3">
        <v>18.448974998903498</v>
      </c>
      <c r="I737" s="5"/>
      <c r="J737" s="3">
        <v>31.269438188150701</v>
      </c>
      <c r="K737" s="3">
        <v>13.8922512636784</v>
      </c>
      <c r="L737" s="3">
        <v>1.1970000000000001</v>
      </c>
      <c r="M737" s="3">
        <v>0.46700000000000003</v>
      </c>
      <c r="N737" s="3">
        <v>0.39800000000000002</v>
      </c>
      <c r="O737" s="3">
        <v>0.247</v>
      </c>
      <c r="P737" s="3">
        <v>5.8999999999999997E-2</v>
      </c>
      <c r="Q737" s="3"/>
    </row>
    <row r="738" spans="1:17" x14ac:dyDescent="0.25">
      <c r="A738" s="3" t="s">
        <v>132</v>
      </c>
      <c r="B738" s="3" t="s">
        <v>74</v>
      </c>
      <c r="C738" s="3">
        <v>2023</v>
      </c>
      <c r="D738" s="3">
        <v>5.84</v>
      </c>
      <c r="E738" s="3">
        <v>1.379</v>
      </c>
      <c r="F738" s="3">
        <v>10.3475831314339</v>
      </c>
      <c r="G738" s="3">
        <v>7.3621135369926796</v>
      </c>
      <c r="H738" s="3">
        <v>15.7838797481832</v>
      </c>
      <c r="I738" s="5"/>
      <c r="J738" s="3">
        <v>2.9124375012983199</v>
      </c>
      <c r="K738" s="3">
        <v>21.533152454607102</v>
      </c>
      <c r="L738" s="3">
        <v>1.494</v>
      </c>
      <c r="M738" s="3">
        <v>0.24399999999999999</v>
      </c>
      <c r="N738" s="3">
        <v>0.42499999999999999</v>
      </c>
      <c r="O738" s="3">
        <v>0.23899999999999999</v>
      </c>
      <c r="P738" s="3">
        <v>5.8000000000000003E-2</v>
      </c>
      <c r="Q738" s="3"/>
    </row>
    <row r="739" spans="1:17" x14ac:dyDescent="0.25">
      <c r="A739" s="3" t="s">
        <v>133</v>
      </c>
      <c r="B739" s="3" t="s">
        <v>39</v>
      </c>
      <c r="C739" s="3">
        <v>2015</v>
      </c>
      <c r="D739" s="3">
        <v>5.1920000000000002</v>
      </c>
      <c r="E739" s="3">
        <v>0.97438000000000002</v>
      </c>
      <c r="F739" s="3">
        <v>1.55707824230194</v>
      </c>
      <c r="G739" s="5"/>
      <c r="H739" s="3">
        <v>2.9333546161651598</v>
      </c>
      <c r="I739" s="3">
        <v>-1.2686576843261701</v>
      </c>
      <c r="J739" s="3">
        <v>0.25826445221900901</v>
      </c>
      <c r="K739" s="3">
        <v>2.2191502816217801</v>
      </c>
      <c r="L739" s="3">
        <v>0.90556999999999999</v>
      </c>
      <c r="M739" s="3">
        <v>0.72521000000000002</v>
      </c>
      <c r="N739" s="3">
        <v>0.18260000000000001</v>
      </c>
      <c r="O739" s="3">
        <v>0.16139999999999999</v>
      </c>
      <c r="P739" s="3">
        <v>0.14296</v>
      </c>
      <c r="Q739" s="3"/>
    </row>
    <row r="740" spans="1:17" x14ac:dyDescent="0.25">
      <c r="A740" s="3" t="s">
        <v>133</v>
      </c>
      <c r="B740" s="3" t="s">
        <v>39</v>
      </c>
      <c r="C740" s="3">
        <v>2016</v>
      </c>
      <c r="D740" s="3">
        <v>5.1609999999999996</v>
      </c>
      <c r="E740" s="3">
        <v>1.0783799999999999</v>
      </c>
      <c r="F740" s="3">
        <v>-0.266640394926071</v>
      </c>
      <c r="G740" s="5"/>
      <c r="H740" s="3">
        <v>-0.82492822408676103</v>
      </c>
      <c r="I740" s="3">
        <v>-0.89915072917938199</v>
      </c>
      <c r="J740" s="3">
        <v>-0.40600705146789501</v>
      </c>
      <c r="K740" s="3">
        <v>5.1015710421821998</v>
      </c>
      <c r="L740" s="3">
        <v>0.74173</v>
      </c>
      <c r="M740" s="3">
        <v>0.63532999999999995</v>
      </c>
      <c r="N740" s="3">
        <v>0.15110999999999999</v>
      </c>
      <c r="O740" s="3">
        <v>0.17191000000000001</v>
      </c>
      <c r="P740" s="3">
        <v>0.12720999999999999</v>
      </c>
      <c r="Q740" s="3"/>
    </row>
    <row r="741" spans="1:17" x14ac:dyDescent="0.25">
      <c r="A741" s="3" t="s">
        <v>133</v>
      </c>
      <c r="B741" s="3" t="s">
        <v>39</v>
      </c>
      <c r="C741" s="3">
        <v>2017</v>
      </c>
      <c r="D741" s="3">
        <v>5.2369999890000001</v>
      </c>
      <c r="E741" s="3">
        <v>1.1211290359999999</v>
      </c>
      <c r="F741" s="3">
        <v>2.3730000000000002</v>
      </c>
      <c r="G741" s="5"/>
      <c r="H741" s="3">
        <v>1.73080205917358</v>
      </c>
      <c r="I741" s="5"/>
      <c r="J741" s="3">
        <v>1.7518665790557799</v>
      </c>
      <c r="K741" s="3">
        <v>3.8245681276863599</v>
      </c>
      <c r="L741" s="3">
        <v>1.238376498</v>
      </c>
      <c r="M741" s="3">
        <v>0.66746467399999998</v>
      </c>
      <c r="N741" s="3">
        <v>0.19498905499999999</v>
      </c>
      <c r="O741" s="3">
        <v>0.19791102399999999</v>
      </c>
      <c r="P741" s="3">
        <v>8.8174193999999997E-2</v>
      </c>
    </row>
    <row r="742" spans="1:17" x14ac:dyDescent="0.25">
      <c r="A742" s="3" t="s">
        <v>133</v>
      </c>
      <c r="B742" s="3" t="s">
        <v>39</v>
      </c>
      <c r="C742" s="3">
        <v>2018</v>
      </c>
      <c r="D742" s="3">
        <v>5.3470000000000004</v>
      </c>
      <c r="E742" s="3">
        <v>1.0169999999999999</v>
      </c>
      <c r="F742" s="3">
        <v>2.6</v>
      </c>
      <c r="G742" s="5"/>
      <c r="H742" s="3">
        <v>0.41294759511947599</v>
      </c>
      <c r="I742" s="5"/>
      <c r="J742" s="3">
        <v>1.75085985660552</v>
      </c>
      <c r="K742" s="3">
        <v>3.2261892205463498</v>
      </c>
      <c r="L742" s="3">
        <v>1.2789999999999999</v>
      </c>
      <c r="M742" s="3">
        <v>0.72899999999999998</v>
      </c>
      <c r="N742" s="3">
        <v>0.25900000000000001</v>
      </c>
      <c r="O742" s="3">
        <v>0.111</v>
      </c>
      <c r="P742" s="3">
        <v>8.1000000000000003E-2</v>
      </c>
      <c r="Q742" s="3"/>
    </row>
    <row r="743" spans="1:17" x14ac:dyDescent="0.25">
      <c r="A743" s="3" t="s">
        <v>133</v>
      </c>
      <c r="B743" s="3" t="s">
        <v>39</v>
      </c>
      <c r="C743" s="3">
        <v>2019</v>
      </c>
      <c r="D743" s="3">
        <v>5.5229999999999997</v>
      </c>
      <c r="E743" s="3">
        <v>1.0509999999999999</v>
      </c>
      <c r="F743" s="3">
        <v>0.365999996662139</v>
      </c>
      <c r="G743" s="5"/>
      <c r="H743" s="3">
        <v>3.1255140304565399</v>
      </c>
      <c r="I743" s="5"/>
      <c r="J743" s="3">
        <v>2.4204123020172101</v>
      </c>
      <c r="K743" s="3">
        <v>2.0320582412669901</v>
      </c>
      <c r="L743" s="3">
        <v>1.361</v>
      </c>
      <c r="M743" s="3">
        <v>0.871</v>
      </c>
      <c r="N743" s="3">
        <v>0.19700000000000001</v>
      </c>
      <c r="O743" s="3">
        <v>0.14199999999999999</v>
      </c>
      <c r="P743" s="3">
        <v>0.08</v>
      </c>
      <c r="Q743" s="3"/>
    </row>
    <row r="744" spans="1:17" x14ac:dyDescent="0.25">
      <c r="A744" s="3" t="s">
        <v>133</v>
      </c>
      <c r="B744" s="3" t="s">
        <v>39</v>
      </c>
      <c r="C744" s="3">
        <v>2020</v>
      </c>
      <c r="D744" s="3">
        <v>5.5461001400000001</v>
      </c>
      <c r="E744" s="3">
        <v>1.0101500750000001</v>
      </c>
      <c r="F744" s="3">
        <v>-0.25565569984880598</v>
      </c>
      <c r="G744" s="5"/>
      <c r="H744" s="3">
        <v>1.6190780401229801</v>
      </c>
      <c r="I744" s="5"/>
      <c r="J744" s="3">
        <v>-3.5616416484117501E-2</v>
      </c>
      <c r="K744" s="3">
        <v>-2.2532108254263099E-2</v>
      </c>
      <c r="L744" s="3">
        <v>1.2656579020000001</v>
      </c>
      <c r="M744" s="3">
        <v>0.839028895</v>
      </c>
      <c r="N744" s="3">
        <v>0.30322384800000002</v>
      </c>
      <c r="O744" s="3">
        <v>0.14901033</v>
      </c>
      <c r="P744" s="3">
        <v>9.8435111000000006E-2</v>
      </c>
      <c r="Q744" s="3"/>
    </row>
    <row r="745" spans="1:17" x14ac:dyDescent="0.25">
      <c r="A745" s="3" t="s">
        <v>133</v>
      </c>
      <c r="B745" s="3" t="s">
        <v>39</v>
      </c>
      <c r="C745" s="3">
        <v>2021</v>
      </c>
      <c r="D745" s="3">
        <v>5.5810000000000004</v>
      </c>
      <c r="E745" s="3">
        <v>1.155</v>
      </c>
      <c r="F745" s="3">
        <v>2.4108019840316701</v>
      </c>
      <c r="G745" s="5"/>
      <c r="H745" s="3">
        <v>3.54</v>
      </c>
      <c r="I745" s="5"/>
      <c r="J745" s="3">
        <v>1.28574116253097</v>
      </c>
      <c r="K745" s="3">
        <v>5.2935947276699702</v>
      </c>
      <c r="L745" s="3">
        <v>0.89100000000000001</v>
      </c>
      <c r="M745" s="3">
        <v>0.63700000000000001</v>
      </c>
      <c r="N745" s="3">
        <v>0.39700000000000002</v>
      </c>
      <c r="O745" s="3">
        <v>0.16600000000000001</v>
      </c>
      <c r="P745" s="3">
        <v>8.1000000000000003E-2</v>
      </c>
      <c r="Q745" s="3"/>
    </row>
    <row r="746" spans="1:17" x14ac:dyDescent="0.25">
      <c r="A746" s="3" t="s">
        <v>133</v>
      </c>
      <c r="B746" s="3" t="s">
        <v>39</v>
      </c>
      <c r="C746" s="3">
        <v>2022</v>
      </c>
      <c r="D746" s="3">
        <v>5.5469999999999997</v>
      </c>
      <c r="E746" s="3">
        <v>1.573</v>
      </c>
      <c r="F746" s="3">
        <v>13.0403036347004</v>
      </c>
      <c r="G746" s="5"/>
      <c r="H746" s="3">
        <v>20.956347744975599</v>
      </c>
      <c r="I746" s="5"/>
      <c r="J746" s="3">
        <v>11.1398834144119</v>
      </c>
      <c r="K746" s="3">
        <v>4.7261029872833502</v>
      </c>
      <c r="L746" s="3">
        <v>1.0229999999999999</v>
      </c>
      <c r="M746" s="3">
        <v>0.65900000000000003</v>
      </c>
      <c r="N746" s="3">
        <v>0.46</v>
      </c>
      <c r="O746" s="3">
        <v>0.13500000000000001</v>
      </c>
      <c r="P746" s="3">
        <v>7.6999999999999999E-2</v>
      </c>
      <c r="Q746" s="3"/>
    </row>
    <row r="747" spans="1:17" x14ac:dyDescent="0.25">
      <c r="A747" s="3" t="s">
        <v>133</v>
      </c>
      <c r="B747" s="3" t="s">
        <v>39</v>
      </c>
      <c r="C747" s="3">
        <v>2023</v>
      </c>
      <c r="D747" s="3">
        <v>5.7220000000000004</v>
      </c>
      <c r="E747" s="3">
        <v>1.5369999999999999</v>
      </c>
      <c r="F747" s="3">
        <v>8.5847691045540309</v>
      </c>
      <c r="G747" s="5"/>
      <c r="H747" s="3">
        <v>10.6581606888323</v>
      </c>
      <c r="I747" s="5"/>
      <c r="J747" s="3">
        <v>6.0195257890346703</v>
      </c>
      <c r="K747" s="3">
        <v>9.0585417446685295</v>
      </c>
      <c r="L747" s="3">
        <v>1.385</v>
      </c>
      <c r="M747" s="3">
        <v>0.42399999999999999</v>
      </c>
      <c r="N747" s="3">
        <v>0.56299999999999994</v>
      </c>
      <c r="O747" s="3">
        <v>0.17</v>
      </c>
      <c r="P747" s="3">
        <v>6.0999999999999999E-2</v>
      </c>
      <c r="Q747" s="3"/>
    </row>
    <row r="748" spans="1:17" x14ac:dyDescent="0.25">
      <c r="A748" s="3" t="s">
        <v>134</v>
      </c>
      <c r="B748" s="3" t="s">
        <v>41</v>
      </c>
      <c r="C748" s="3">
        <v>2015</v>
      </c>
      <c r="D748" s="3">
        <v>5.0129999999999999</v>
      </c>
      <c r="E748" s="3">
        <v>0.73479000000000005</v>
      </c>
      <c r="F748" s="3">
        <v>1.5653653144836399</v>
      </c>
      <c r="G748" s="3">
        <v>3.3592891693115199</v>
      </c>
      <c r="H748" s="3">
        <v>2.5646378993988002</v>
      </c>
      <c r="I748" s="3">
        <v>1.4</v>
      </c>
      <c r="J748" s="3">
        <v>-4.5768704414367596</v>
      </c>
      <c r="K748" s="3">
        <v>2.1289304947593402</v>
      </c>
      <c r="L748" s="3">
        <v>0.64095000000000002</v>
      </c>
      <c r="M748" s="3">
        <v>0.60953999999999997</v>
      </c>
      <c r="N748" s="3">
        <v>0.41691</v>
      </c>
      <c r="O748" s="3">
        <v>7.1720000000000006E-2</v>
      </c>
      <c r="P748" s="3">
        <v>8.5459999999999994E-2</v>
      </c>
      <c r="Q748" s="3"/>
    </row>
    <row r="749" spans="1:17" x14ac:dyDescent="0.25">
      <c r="A749" s="3" t="s">
        <v>134</v>
      </c>
      <c r="B749" s="3" t="s">
        <v>41</v>
      </c>
      <c r="C749" s="3">
        <v>2016</v>
      </c>
      <c r="D749" s="3">
        <v>5.1509999999999998</v>
      </c>
      <c r="E749" s="3">
        <v>0.84057999999999999</v>
      </c>
      <c r="F749" s="3">
        <v>1.6497843265533401</v>
      </c>
      <c r="G749" s="3">
        <v>0.98980826139449996</v>
      </c>
      <c r="H749" s="3">
        <v>2.8046245574951101</v>
      </c>
      <c r="I749" s="3">
        <v>0.8</v>
      </c>
      <c r="J749" s="3">
        <v>1.60952997207641</v>
      </c>
      <c r="K749" s="3">
        <v>1.48322123117413</v>
      </c>
      <c r="L749" s="3">
        <v>0.38595000000000002</v>
      </c>
      <c r="M749" s="3">
        <v>0.59470999999999996</v>
      </c>
      <c r="N749" s="3">
        <v>0.25646000000000002</v>
      </c>
      <c r="O749" s="3">
        <v>4.0529999999999997E-2</v>
      </c>
      <c r="P749" s="3">
        <v>8.4040000000000004E-2</v>
      </c>
      <c r="Q749" s="3"/>
    </row>
    <row r="750" spans="1:17" x14ac:dyDescent="0.25">
      <c r="A750" s="3" t="s">
        <v>134</v>
      </c>
      <c r="B750" s="3" t="s">
        <v>41</v>
      </c>
      <c r="C750" s="3">
        <v>2017</v>
      </c>
      <c r="D750" s="3">
        <v>5.2350001339999999</v>
      </c>
      <c r="E750" s="3">
        <v>0.87811458099999995</v>
      </c>
      <c r="F750" s="3">
        <v>0.754</v>
      </c>
      <c r="G750" s="3">
        <v>1.15564572811126</v>
      </c>
      <c r="H750" s="3">
        <v>6.5721524879336296E-3</v>
      </c>
      <c r="I750" s="3">
        <v>1.3</v>
      </c>
      <c r="J750" s="3">
        <v>1.67907607555389</v>
      </c>
      <c r="K750" s="3">
        <v>0.64116995506407504</v>
      </c>
      <c r="L750" s="3">
        <v>0.77486443500000002</v>
      </c>
      <c r="M750" s="3">
        <v>0.59771066900000003</v>
      </c>
      <c r="N750" s="3">
        <v>0.40815833200000001</v>
      </c>
      <c r="O750" s="3">
        <v>3.2209954999999998E-2</v>
      </c>
      <c r="P750" s="3">
        <v>8.7763182999999995E-2</v>
      </c>
      <c r="Q750" s="3"/>
    </row>
    <row r="751" spans="1:17" x14ac:dyDescent="0.25">
      <c r="A751" s="3" t="s">
        <v>134</v>
      </c>
      <c r="B751" s="3" t="s">
        <v>41</v>
      </c>
      <c r="C751" s="3">
        <v>2018</v>
      </c>
      <c r="D751" s="3">
        <v>5.2539999999999996</v>
      </c>
      <c r="E751" s="3">
        <v>0.77900000000000003</v>
      </c>
      <c r="F751" s="3">
        <v>1.79</v>
      </c>
      <c r="G751" s="3">
        <v>0.86767894029617298</v>
      </c>
      <c r="H751" s="3">
        <v>0.94655644893646196</v>
      </c>
      <c r="I751" s="3">
        <v>1.8</v>
      </c>
      <c r="J751" s="3">
        <v>2.61722707748413</v>
      </c>
      <c r="K751" s="3">
        <v>1.08895033062214</v>
      </c>
      <c r="L751" s="3">
        <v>0.79700000000000004</v>
      </c>
      <c r="M751" s="3">
        <v>0.66900000000000004</v>
      </c>
      <c r="N751" s="3">
        <v>0.46</v>
      </c>
      <c r="O751" s="3">
        <v>2.5999999999999999E-2</v>
      </c>
      <c r="P751" s="3">
        <v>7.3999999999999996E-2</v>
      </c>
      <c r="Q751" s="3"/>
    </row>
    <row r="752" spans="1:17" x14ac:dyDescent="0.25">
      <c r="A752" s="3" t="s">
        <v>134</v>
      </c>
      <c r="B752" s="3" t="s">
        <v>41</v>
      </c>
      <c r="C752" s="3">
        <v>2019</v>
      </c>
      <c r="D752" s="3">
        <v>5.2080000000000002</v>
      </c>
      <c r="E752" s="3">
        <v>0.80100000000000005</v>
      </c>
      <c r="F752" s="3">
        <v>0.239999994635581</v>
      </c>
      <c r="G752" s="3">
        <v>0.65505802631378096</v>
      </c>
      <c r="H752" s="3">
        <v>-1.3641561269760101</v>
      </c>
      <c r="I752" s="3">
        <v>0.58354565628341903</v>
      </c>
      <c r="J752" s="3">
        <v>0.50857651233673096</v>
      </c>
      <c r="K752" s="3">
        <v>1.3383373459849801</v>
      </c>
      <c r="L752" s="3">
        <v>0.78200000000000003</v>
      </c>
      <c r="M752" s="3">
        <v>0.78200000000000003</v>
      </c>
      <c r="N752" s="3">
        <v>0.41799999999999998</v>
      </c>
      <c r="O752" s="3">
        <v>3.5999999999999997E-2</v>
      </c>
      <c r="P752" s="3">
        <v>7.5999999999999998E-2</v>
      </c>
      <c r="Q752" s="3"/>
    </row>
    <row r="753" spans="1:17" x14ac:dyDescent="0.25">
      <c r="A753" s="3" t="s">
        <v>134</v>
      </c>
      <c r="B753" s="3" t="s">
        <v>41</v>
      </c>
      <c r="C753" s="3">
        <v>2020</v>
      </c>
      <c r="D753" s="3">
        <v>5.0947999949999998</v>
      </c>
      <c r="E753" s="3">
        <v>0.75862211000000002</v>
      </c>
      <c r="F753" s="3">
        <v>0.70596866133771397</v>
      </c>
      <c r="G753" s="3">
        <v>0.55470058349949702</v>
      </c>
      <c r="H753" s="3">
        <v>0.93581777811050404</v>
      </c>
      <c r="I753" s="3">
        <v>0.53930380781170295</v>
      </c>
      <c r="J753" s="3">
        <v>-1.87296938896179</v>
      </c>
      <c r="K753" s="3">
        <v>0.85511145272866895</v>
      </c>
      <c r="L753" s="3">
        <v>0.64520847800000003</v>
      </c>
      <c r="M753" s="3">
        <v>0.74509692199999999</v>
      </c>
      <c r="N753" s="3">
        <v>0.45005413900000002</v>
      </c>
      <c r="O753" s="3">
        <v>4.0032551E-2</v>
      </c>
      <c r="P753" s="3">
        <v>7.7385603999999997E-2</v>
      </c>
      <c r="Q753" s="3"/>
    </row>
    <row r="754" spans="1:17" x14ac:dyDescent="0.25">
      <c r="A754" s="3" t="s">
        <v>134</v>
      </c>
      <c r="B754" s="3" t="s">
        <v>41</v>
      </c>
      <c r="C754" s="3">
        <v>2021</v>
      </c>
      <c r="D754" s="3">
        <v>4.9180000000000001</v>
      </c>
      <c r="E754" s="3">
        <v>0.79200000000000004</v>
      </c>
      <c r="F754" s="3">
        <v>1.3988288874430399</v>
      </c>
      <c r="G754" s="3">
        <v>0.78</v>
      </c>
      <c r="H754" s="3">
        <v>0.59</v>
      </c>
      <c r="I754" s="3">
        <v>1.5929778933680301</v>
      </c>
      <c r="J754" s="3">
        <v>5.0151975683890599</v>
      </c>
      <c r="K754" s="3">
        <v>3.2442462707086199</v>
      </c>
      <c r="L754" s="3">
        <v>0.219</v>
      </c>
      <c r="M754" s="3">
        <v>0.55800000000000005</v>
      </c>
      <c r="N754" s="3">
        <v>0.47699999999999998</v>
      </c>
      <c r="O754" s="3">
        <v>3.4000000000000002E-2</v>
      </c>
      <c r="P754" s="3">
        <v>8.7999999999999995E-2</v>
      </c>
      <c r="Q754" s="3"/>
    </row>
    <row r="755" spans="1:17" x14ac:dyDescent="0.25">
      <c r="A755" s="3" t="s">
        <v>134</v>
      </c>
      <c r="B755" s="3" t="s">
        <v>41</v>
      </c>
      <c r="C755" s="3">
        <v>2022</v>
      </c>
      <c r="D755" s="3">
        <v>5.0599999999999996</v>
      </c>
      <c r="E755" s="3">
        <v>1.208</v>
      </c>
      <c r="F755" s="3">
        <v>6.6570420275906299</v>
      </c>
      <c r="G755" s="3">
        <v>1.0563909699499801</v>
      </c>
      <c r="H755" s="3">
        <v>10.417515053472799</v>
      </c>
      <c r="I755" s="3">
        <v>5.8319999999999999</v>
      </c>
      <c r="J755" s="3">
        <v>12.7432063032642</v>
      </c>
      <c r="K755" s="3">
        <v>5.0285004668278299</v>
      </c>
      <c r="L755" s="3">
        <v>0.26800000000000002</v>
      </c>
      <c r="M755" s="3">
        <v>0.56499999999999995</v>
      </c>
      <c r="N755" s="3">
        <v>0.49199999999999999</v>
      </c>
      <c r="O755" s="3">
        <v>0.02</v>
      </c>
      <c r="P755" s="3">
        <v>0.10199999999999999</v>
      </c>
      <c r="Q755" s="3"/>
    </row>
    <row r="756" spans="1:17" x14ac:dyDescent="0.25">
      <c r="A756" s="3" t="s">
        <v>134</v>
      </c>
      <c r="B756" s="3" t="s">
        <v>41</v>
      </c>
      <c r="C756" s="3">
        <v>2023</v>
      </c>
      <c r="D756" s="3">
        <v>4.9029999999999996</v>
      </c>
      <c r="E756" s="3">
        <v>1.236</v>
      </c>
      <c r="F756" s="3">
        <v>6.0911415250414098</v>
      </c>
      <c r="G756" s="3">
        <v>0.98933155316935495</v>
      </c>
      <c r="H756" s="3">
        <v>12.902989449003501</v>
      </c>
      <c r="I756" s="5"/>
      <c r="J756" s="5"/>
      <c r="K756" s="3">
        <v>4.20314954109043</v>
      </c>
      <c r="L756" s="3">
        <v>0.53500000000000003</v>
      </c>
      <c r="M756" s="3">
        <v>0.33700000000000002</v>
      </c>
      <c r="N756" s="3">
        <v>0.54</v>
      </c>
      <c r="O756" s="3">
        <v>1.2999999999999999E-2</v>
      </c>
      <c r="P756" s="3">
        <v>8.5000000000000006E-2</v>
      </c>
      <c r="Q756" s="3"/>
    </row>
    <row r="757" spans="1:17" x14ac:dyDescent="0.25">
      <c r="A757" s="3" t="s">
        <v>135</v>
      </c>
      <c r="B757" s="3" t="s">
        <v>43</v>
      </c>
      <c r="C757" s="3">
        <v>2015</v>
      </c>
      <c r="D757" s="3">
        <v>4.9710000000000001</v>
      </c>
      <c r="E757" s="3">
        <v>8.3080000000000001E-2</v>
      </c>
      <c r="F757" s="3">
        <v>3.5450851917266801</v>
      </c>
      <c r="G757" s="3">
        <v>0.86851871013641302</v>
      </c>
      <c r="H757" s="3">
        <v>5.2234139442443803</v>
      </c>
      <c r="I757" s="5"/>
      <c r="J757" s="3">
        <v>18.928319931030199</v>
      </c>
      <c r="K757" s="3">
        <v>7.5859999999999896</v>
      </c>
      <c r="L757" s="3">
        <v>1.02626</v>
      </c>
      <c r="M757" s="3">
        <v>9.1310000000000002E-2</v>
      </c>
      <c r="N757" s="3">
        <v>0.34037000000000001</v>
      </c>
      <c r="O757" s="3">
        <v>0.22269</v>
      </c>
      <c r="P757" s="3">
        <v>0.15603</v>
      </c>
      <c r="Q757" s="3"/>
    </row>
    <row r="758" spans="1:17" x14ac:dyDescent="0.25">
      <c r="A758" s="3" t="s">
        <v>135</v>
      </c>
      <c r="B758" s="3" t="s">
        <v>43</v>
      </c>
      <c r="C758" s="3">
        <v>2017</v>
      </c>
      <c r="D758" s="3">
        <v>4.5500001909999996</v>
      </c>
      <c r="E758" s="3">
        <v>0.23430565</v>
      </c>
      <c r="F758" s="3">
        <v>15.113</v>
      </c>
      <c r="G758" s="3">
        <v>15.6252880096435</v>
      </c>
      <c r="H758" s="3">
        <v>16.393606185913001</v>
      </c>
      <c r="I758" s="5"/>
      <c r="J758" s="3">
        <v>20.1080722808837</v>
      </c>
      <c r="K758" s="3">
        <v>7.6402914169371696</v>
      </c>
      <c r="L758" s="3">
        <v>0.87070101499999997</v>
      </c>
      <c r="M758" s="3">
        <v>0.10665443500000001</v>
      </c>
      <c r="N758" s="3">
        <v>0.48079109199999998</v>
      </c>
      <c r="O758" s="3">
        <v>0.32222810400000002</v>
      </c>
      <c r="P758" s="3">
        <v>0.179436386</v>
      </c>
      <c r="Q758" s="3"/>
    </row>
    <row r="759" spans="1:17" x14ac:dyDescent="0.25">
      <c r="A759" s="3" t="s">
        <v>135</v>
      </c>
      <c r="B759" s="3" t="s">
        <v>43</v>
      </c>
      <c r="C759" s="3">
        <v>2018</v>
      </c>
      <c r="D759" s="3">
        <v>4.4169999999999998</v>
      </c>
      <c r="E759" s="3">
        <v>0.19800000000000001</v>
      </c>
      <c r="F759" s="3">
        <v>3.92</v>
      </c>
      <c r="G759" s="3">
        <v>5.48819732666015</v>
      </c>
      <c r="H759" s="3">
        <v>5.0079701468348503E-3</v>
      </c>
      <c r="I759" s="5"/>
      <c r="J759" s="3">
        <v>5.8638033866882298</v>
      </c>
      <c r="K759" s="3">
        <v>3.0012989676625299</v>
      </c>
      <c r="L759" s="3">
        <v>0.90200000000000002</v>
      </c>
      <c r="M759" s="3">
        <v>0.17299999999999999</v>
      </c>
      <c r="N759" s="3">
        <v>0.53100000000000003</v>
      </c>
      <c r="O759" s="3">
        <v>0.20599999999999999</v>
      </c>
      <c r="P759" s="3">
        <v>0.158</v>
      </c>
      <c r="Q759" s="3"/>
    </row>
    <row r="760" spans="1:17" x14ac:dyDescent="0.25">
      <c r="A760" s="3" t="s">
        <v>135</v>
      </c>
      <c r="B760" s="3" t="s">
        <v>43</v>
      </c>
      <c r="C760" s="3">
        <v>2019</v>
      </c>
      <c r="D760" s="3">
        <v>4.4660000000000002</v>
      </c>
      <c r="E760" s="3">
        <v>0.20399999999999999</v>
      </c>
      <c r="F760" s="3">
        <v>2.78500008583068</v>
      </c>
      <c r="G760" s="3">
        <v>2.40848636627197</v>
      </c>
      <c r="H760" s="3">
        <v>3.2847211360931299</v>
      </c>
      <c r="I760" s="5"/>
      <c r="J760" s="3">
        <v>4.3149762153625399</v>
      </c>
      <c r="K760" s="3">
        <v>4.45078690797527</v>
      </c>
      <c r="L760" s="3">
        <v>0.98599999999999999</v>
      </c>
      <c r="M760" s="3">
        <v>0.39</v>
      </c>
      <c r="N760" s="3">
        <v>0.49399999999999999</v>
      </c>
      <c r="O760" s="3">
        <v>0.19700000000000001</v>
      </c>
      <c r="P760" s="3">
        <v>0.13800000000000001</v>
      </c>
      <c r="Q760" s="3"/>
    </row>
    <row r="761" spans="1:17" x14ac:dyDescent="0.25">
      <c r="A761" s="3" t="s">
        <v>135</v>
      </c>
      <c r="B761" s="3" t="s">
        <v>43</v>
      </c>
      <c r="C761" s="3">
        <v>2020</v>
      </c>
      <c r="D761" s="3">
        <v>4.6236000060000002</v>
      </c>
      <c r="E761" s="3">
        <v>0.17874136600000001</v>
      </c>
      <c r="F761" s="3">
        <v>3.6310000419616699</v>
      </c>
      <c r="G761" s="3">
        <v>-0.46956810355186401</v>
      </c>
      <c r="H761" s="3">
        <v>7.5964369773864702</v>
      </c>
      <c r="I761" s="5"/>
      <c r="J761" s="3">
        <v>-31.430054240167799</v>
      </c>
      <c r="K761" s="3">
        <v>3.8000691948682799</v>
      </c>
      <c r="L761" s="3">
        <v>0.95520287800000003</v>
      </c>
      <c r="M761" s="3">
        <v>0.32422363799999998</v>
      </c>
      <c r="N761" s="3">
        <v>0.56077533999999996</v>
      </c>
      <c r="O761" s="3">
        <v>0.22042210400000001</v>
      </c>
      <c r="P761" s="3">
        <v>0.16306431599999999</v>
      </c>
      <c r="Q761" s="3"/>
    </row>
    <row r="762" spans="1:17" x14ac:dyDescent="0.25">
      <c r="A762" s="3" t="s">
        <v>135</v>
      </c>
      <c r="B762" s="3" t="s">
        <v>43</v>
      </c>
      <c r="C762" s="3">
        <v>2021</v>
      </c>
      <c r="D762" s="3">
        <v>4.7939999999999996</v>
      </c>
      <c r="E762" s="3">
        <v>0.183</v>
      </c>
      <c r="F762" s="3">
        <v>5.6884869912661697</v>
      </c>
      <c r="G762" s="3">
        <v>5.46</v>
      </c>
      <c r="H762" s="3">
        <v>10.94</v>
      </c>
      <c r="I762" s="5"/>
      <c r="J762" s="3">
        <v>12.0070993132186</v>
      </c>
      <c r="K762" s="3">
        <v>3.5363493735827598</v>
      </c>
      <c r="L762" s="3">
        <v>0.63400000000000001</v>
      </c>
      <c r="M762" s="3">
        <v>0.19600000000000001</v>
      </c>
      <c r="N762" s="3">
        <v>0.60799999999999998</v>
      </c>
      <c r="O762" s="3">
        <v>0.22800000000000001</v>
      </c>
      <c r="P762" s="3">
        <v>0.16300000000000001</v>
      </c>
      <c r="Q762" s="3"/>
    </row>
    <row r="763" spans="1:17" x14ac:dyDescent="0.25">
      <c r="A763" s="3" t="s">
        <v>135</v>
      </c>
      <c r="B763" s="3" t="s">
        <v>43</v>
      </c>
      <c r="C763" s="3">
        <v>2022</v>
      </c>
      <c r="D763" s="3">
        <v>5.048</v>
      </c>
      <c r="E763" s="3">
        <v>0.57799999999999996</v>
      </c>
      <c r="F763" s="3">
        <v>10.279401809342099</v>
      </c>
      <c r="G763" s="3">
        <v>6.7819288922354204</v>
      </c>
      <c r="H763" s="3">
        <v>12.072978179730599</v>
      </c>
      <c r="I763" s="5"/>
      <c r="J763" s="3">
        <v>21.739948490807802</v>
      </c>
      <c r="K763" s="3">
        <v>2.6362778445390398</v>
      </c>
      <c r="L763" s="3">
        <v>0.66</v>
      </c>
      <c r="M763" s="3">
        <v>0.191</v>
      </c>
      <c r="N763" s="3">
        <v>0.59299999999999997</v>
      </c>
      <c r="O763" s="3">
        <v>0.185</v>
      </c>
      <c r="P763" s="3">
        <v>0.2</v>
      </c>
      <c r="Q763" s="3"/>
    </row>
    <row r="764" spans="1:17" x14ac:dyDescent="0.25">
      <c r="A764" s="3" t="s">
        <v>135</v>
      </c>
      <c r="B764" s="3" t="s">
        <v>43</v>
      </c>
      <c r="C764" s="3">
        <v>2023</v>
      </c>
      <c r="D764" s="3">
        <v>4.9539999999999997</v>
      </c>
      <c r="E764" s="3">
        <v>0.56999999999999995</v>
      </c>
      <c r="F764" s="3">
        <v>7.1269748213185098</v>
      </c>
      <c r="G764" s="3">
        <v>6.7962376502146196</v>
      </c>
      <c r="H764" s="3">
        <v>10.0274063363106</v>
      </c>
      <c r="I764" s="5"/>
      <c r="J764" s="3">
        <v>-2.3637684253617501</v>
      </c>
      <c r="K764" s="3">
        <v>9.5015291319235704</v>
      </c>
      <c r="L764" s="3">
        <v>0.88500000000000001</v>
      </c>
      <c r="M764" s="3">
        <v>0</v>
      </c>
      <c r="N764" s="3">
        <v>0.625</v>
      </c>
      <c r="O764" s="3">
        <v>0.161</v>
      </c>
      <c r="P764" s="3">
        <v>0.192</v>
      </c>
      <c r="Q764" s="3"/>
    </row>
    <row r="765" spans="1:17" x14ac:dyDescent="0.25">
      <c r="A765" s="3" t="s">
        <v>136</v>
      </c>
      <c r="B765" s="3" t="s">
        <v>67</v>
      </c>
      <c r="C765" s="3">
        <v>2015</v>
      </c>
      <c r="D765" s="3">
        <v>4.3070000000000004</v>
      </c>
      <c r="E765" s="3">
        <v>0.27107999999999999</v>
      </c>
      <c r="F765" s="3">
        <v>10.043999671936</v>
      </c>
      <c r="G765" s="3">
        <v>7.9099998474120996</v>
      </c>
      <c r="H765" s="3">
        <v>13.0900001525878</v>
      </c>
      <c r="I765" s="5"/>
      <c r="J765" s="5"/>
      <c r="K765" s="3">
        <v>6.2873773295410702</v>
      </c>
      <c r="L765" s="3">
        <v>0.70904999999999996</v>
      </c>
      <c r="M765" s="3">
        <v>0.48246</v>
      </c>
      <c r="N765" s="3">
        <v>0.44017000000000001</v>
      </c>
      <c r="O765" s="3">
        <v>0.79588000000000003</v>
      </c>
      <c r="P765" s="3">
        <v>0.19034000000000001</v>
      </c>
    </row>
    <row r="766" spans="1:17" x14ac:dyDescent="0.25">
      <c r="A766" s="3" t="s">
        <v>136</v>
      </c>
      <c r="B766" s="3" t="s">
        <v>67</v>
      </c>
      <c r="C766" s="3">
        <v>2016</v>
      </c>
      <c r="D766" s="3">
        <v>4.3949999999999996</v>
      </c>
      <c r="E766" s="3">
        <v>0.34111999999999998</v>
      </c>
      <c r="F766" s="3">
        <v>6.7649998664855904</v>
      </c>
      <c r="G766" s="3">
        <v>5.5100002288818297</v>
      </c>
      <c r="H766" s="3">
        <v>9.2299995422363192</v>
      </c>
      <c r="I766" s="5"/>
      <c r="J766" s="5"/>
      <c r="K766" s="3">
        <v>5.37290102051014</v>
      </c>
      <c r="L766" s="3">
        <v>0.69981000000000004</v>
      </c>
      <c r="M766" s="3">
        <v>0.39879999999999999</v>
      </c>
      <c r="N766" s="3">
        <v>0.42692000000000002</v>
      </c>
      <c r="O766" s="3">
        <v>0.81971000000000005</v>
      </c>
      <c r="P766" s="3">
        <v>0.20243</v>
      </c>
      <c r="Q766" s="3"/>
    </row>
    <row r="767" spans="1:17" x14ac:dyDescent="0.25">
      <c r="A767" s="3" t="s">
        <v>136</v>
      </c>
      <c r="B767" s="3" t="s">
        <v>67</v>
      </c>
      <c r="C767" s="3">
        <v>2017</v>
      </c>
      <c r="D767" s="3">
        <v>4.545000076</v>
      </c>
      <c r="E767" s="3">
        <v>0.36711054999999998</v>
      </c>
      <c r="F767" s="3">
        <v>4.6219999999999999</v>
      </c>
      <c r="G767" s="3">
        <v>5.0199999809265101</v>
      </c>
      <c r="H767" s="3">
        <v>4.3763432502746502</v>
      </c>
      <c r="I767" s="5"/>
      <c r="J767" s="5"/>
      <c r="K767" s="3">
        <v>5.4456594359947097</v>
      </c>
      <c r="L767" s="3">
        <v>1.1232359409999999</v>
      </c>
      <c r="M767" s="3">
        <v>0.39752256899999999</v>
      </c>
      <c r="N767" s="3">
        <v>0.51449203499999996</v>
      </c>
      <c r="O767" s="3">
        <v>0.83807516100000001</v>
      </c>
      <c r="P767" s="3">
        <v>0.18881620499999999</v>
      </c>
      <c r="Q767" s="3"/>
    </row>
    <row r="768" spans="1:17" x14ac:dyDescent="0.25">
      <c r="A768" s="3" t="s">
        <v>136</v>
      </c>
      <c r="B768" s="3" t="s">
        <v>67</v>
      </c>
      <c r="C768" s="3">
        <v>2018</v>
      </c>
      <c r="D768" s="3">
        <v>4.3079999999999998</v>
      </c>
      <c r="E768" s="3">
        <v>0.68200000000000005</v>
      </c>
      <c r="F768" s="3">
        <v>6</v>
      </c>
      <c r="G768" s="3">
        <v>7.8191628456115696</v>
      </c>
      <c r="H768" s="3">
        <v>6.58060503005981</v>
      </c>
      <c r="I768" s="5"/>
      <c r="J768" s="5"/>
      <c r="K768" s="3">
        <v>6.2652186585049696</v>
      </c>
      <c r="L768" s="3">
        <v>1.1739999999999999</v>
      </c>
      <c r="M768" s="3">
        <v>0.42899999999999999</v>
      </c>
      <c r="N768" s="3">
        <v>0.57999999999999996</v>
      </c>
      <c r="O768" s="3">
        <v>0.59799999999999998</v>
      </c>
      <c r="P768" s="3">
        <v>0.17799999999999999</v>
      </c>
      <c r="Q768" s="3"/>
    </row>
    <row r="769" spans="1:17" x14ac:dyDescent="0.25">
      <c r="A769" s="3" t="s">
        <v>136</v>
      </c>
      <c r="B769" s="3" t="s">
        <v>67</v>
      </c>
      <c r="C769" s="3">
        <v>2019</v>
      </c>
      <c r="D769" s="3">
        <v>4.3600000000000003</v>
      </c>
      <c r="E769" s="3">
        <v>0.71</v>
      </c>
      <c r="F769" s="3">
        <v>8.6269998550415004</v>
      </c>
      <c r="G769" s="3">
        <v>18.844179153442301</v>
      </c>
      <c r="H769" s="3">
        <v>9.0095405578613192</v>
      </c>
      <c r="I769" s="5"/>
      <c r="J769" s="5"/>
      <c r="K769" s="3">
        <v>7.6457198784268297</v>
      </c>
      <c r="L769" s="3">
        <v>1.181</v>
      </c>
      <c r="M769" s="3">
        <v>0.55500000000000005</v>
      </c>
      <c r="N769" s="3">
        <v>0.52500000000000002</v>
      </c>
      <c r="O769" s="3">
        <v>0.56599999999999995</v>
      </c>
      <c r="P769" s="3">
        <v>0.17199999999999999</v>
      </c>
      <c r="Q769" s="3"/>
    </row>
    <row r="770" spans="1:17" x14ac:dyDescent="0.25">
      <c r="A770" s="3" t="s">
        <v>136</v>
      </c>
      <c r="B770" s="3" t="s">
        <v>67</v>
      </c>
      <c r="C770" s="3">
        <v>2020</v>
      </c>
      <c r="D770" s="3">
        <v>4.308000088</v>
      </c>
      <c r="E770" s="3">
        <v>0.67809092999999998</v>
      </c>
      <c r="F770" s="3">
        <v>6.1129999160766602</v>
      </c>
      <c r="G770" s="3">
        <v>17.366313278687102</v>
      </c>
      <c r="H770" s="3">
        <v>3.04743520510524</v>
      </c>
      <c r="I770" s="5"/>
      <c r="J770" s="5"/>
      <c r="K770" s="3">
        <v>5.9751170885807996</v>
      </c>
      <c r="L770" s="3">
        <v>1.098178267</v>
      </c>
      <c r="M770" s="3">
        <v>0.49544307599999998</v>
      </c>
      <c r="N770" s="3">
        <v>0.59747886699999997</v>
      </c>
      <c r="O770" s="3">
        <v>0.56981372799999996</v>
      </c>
      <c r="P770" s="3">
        <v>0.18753035400000001</v>
      </c>
    </row>
    <row r="771" spans="1:17" x14ac:dyDescent="0.25">
      <c r="A771" s="3" t="s">
        <v>136</v>
      </c>
      <c r="B771" s="3" t="s">
        <v>67</v>
      </c>
      <c r="C771" s="3">
        <v>2021</v>
      </c>
      <c r="D771" s="3">
        <v>4.4260000000000002</v>
      </c>
      <c r="E771" s="3">
        <v>0.66600000000000004</v>
      </c>
      <c r="F771" s="3">
        <v>5.0259999999999998</v>
      </c>
      <c r="G771" s="3">
        <v>3.5052812353891998</v>
      </c>
      <c r="H771" s="3">
        <v>5.6129628688975197</v>
      </c>
      <c r="I771" s="5"/>
      <c r="J771" s="5"/>
      <c r="K771" s="3">
        <v>4.8025550036039704</v>
      </c>
      <c r="L771" s="3">
        <v>0.71299999999999997</v>
      </c>
      <c r="M771" s="3">
        <v>0.34100000000000003</v>
      </c>
      <c r="N771" s="3">
        <v>0.60099999999999998</v>
      </c>
      <c r="O771" s="3">
        <v>0.52</v>
      </c>
      <c r="P771" s="3">
        <v>0.17799999999999999</v>
      </c>
      <c r="Q771" s="3"/>
    </row>
    <row r="772" spans="1:17" x14ac:dyDescent="0.25">
      <c r="A772" s="3" t="s">
        <v>136</v>
      </c>
      <c r="B772" s="3" t="s">
        <v>67</v>
      </c>
      <c r="C772" s="3">
        <v>2022</v>
      </c>
      <c r="D772" s="3">
        <v>4.3940000000000001</v>
      </c>
      <c r="E772" s="3">
        <v>1.038</v>
      </c>
      <c r="F772" s="3">
        <v>16.225000000000001</v>
      </c>
      <c r="G772" s="3">
        <v>10.9683094402289</v>
      </c>
      <c r="H772" s="3">
        <v>14.9084545153992</v>
      </c>
      <c r="I772" s="5"/>
      <c r="J772" s="5"/>
      <c r="K772" s="3">
        <v>4.4418515440189301</v>
      </c>
      <c r="L772" s="3">
        <v>0.82899999999999996</v>
      </c>
      <c r="M772" s="3">
        <v>0.49099999999999999</v>
      </c>
      <c r="N772" s="3">
        <v>0.51300000000000001</v>
      </c>
      <c r="O772" s="3">
        <v>0.45200000000000001</v>
      </c>
      <c r="P772" s="3">
        <v>0.19400000000000001</v>
      </c>
      <c r="Q772" s="3"/>
    </row>
    <row r="773" spans="1:17" x14ac:dyDescent="0.25">
      <c r="A773" s="3" t="s">
        <v>136</v>
      </c>
      <c r="B773" s="3" t="s">
        <v>67</v>
      </c>
      <c r="C773" s="3">
        <v>2023</v>
      </c>
      <c r="D773" s="3">
        <v>4.3719999999999999</v>
      </c>
      <c r="E773" s="3">
        <v>1.032</v>
      </c>
      <c r="F773" s="3">
        <v>27.1</v>
      </c>
      <c r="G773" s="5"/>
      <c r="H773" s="5"/>
      <c r="I773" s="5"/>
      <c r="J773" s="5"/>
      <c r="K773" s="3">
        <v>18.100053254788001</v>
      </c>
      <c r="L773" s="3">
        <v>1.125</v>
      </c>
      <c r="M773" s="3">
        <v>0.26900000000000002</v>
      </c>
      <c r="N773" s="3">
        <v>0.46</v>
      </c>
      <c r="O773" s="3">
        <v>0.4</v>
      </c>
      <c r="P773" s="3">
        <v>0.19400000000000001</v>
      </c>
      <c r="Q773" s="3"/>
    </row>
    <row r="774" spans="1:17" x14ac:dyDescent="0.25">
      <c r="A774" s="3" t="s">
        <v>137</v>
      </c>
      <c r="B774" s="3" t="s">
        <v>43</v>
      </c>
      <c r="C774" s="3">
        <v>2016</v>
      </c>
      <c r="D774" s="3">
        <v>4.5739999999999998</v>
      </c>
      <c r="E774" s="3">
        <v>0.93286999999999998</v>
      </c>
      <c r="F774" s="3">
        <v>6.6849665641784597</v>
      </c>
      <c r="G774" s="3">
        <v>7.6893525123596103</v>
      </c>
      <c r="H774" s="3">
        <v>10.765414237976</v>
      </c>
      <c r="I774" s="5"/>
      <c r="J774" s="5"/>
      <c r="K774" s="3">
        <v>7.9687238876819197</v>
      </c>
      <c r="L774" s="3">
        <v>0.70362000000000002</v>
      </c>
      <c r="M774" s="3">
        <v>0.34744999999999998</v>
      </c>
      <c r="N774" s="3">
        <v>0.48614000000000002</v>
      </c>
      <c r="O774" s="3">
        <v>7.7950000000000005E-2</v>
      </c>
      <c r="P774" s="3">
        <v>0.10398</v>
      </c>
      <c r="Q774" s="3"/>
    </row>
    <row r="775" spans="1:17" x14ac:dyDescent="0.25">
      <c r="A775" s="3" t="s">
        <v>137</v>
      </c>
      <c r="B775" s="3" t="s">
        <v>43</v>
      </c>
      <c r="C775" s="3">
        <v>2017</v>
      </c>
      <c r="D775" s="3">
        <v>4.5739998819999999</v>
      </c>
      <c r="E775" s="3">
        <v>0.96443432600000001</v>
      </c>
      <c r="F775" s="3">
        <v>6.1470000000000002</v>
      </c>
      <c r="G775" s="3">
        <v>9.1752901077270508</v>
      </c>
      <c r="H775" s="3">
        <v>5.6049675941467196</v>
      </c>
      <c r="I775" s="5"/>
      <c r="J775" s="5"/>
      <c r="K775" s="3">
        <v>9.9190510064284805</v>
      </c>
      <c r="L775" s="3">
        <v>1.098470807</v>
      </c>
      <c r="M775" s="3">
        <v>0.33861181099999998</v>
      </c>
      <c r="N775" s="3">
        <v>0.52030354700000003</v>
      </c>
      <c r="O775" s="3">
        <v>7.7133745000000004E-2</v>
      </c>
      <c r="P775" s="3">
        <v>9.3146971999999995E-2</v>
      </c>
      <c r="Q775" s="3"/>
    </row>
    <row r="776" spans="1:17" x14ac:dyDescent="0.25">
      <c r="A776" s="3" t="s">
        <v>137</v>
      </c>
      <c r="B776" s="3" t="s">
        <v>43</v>
      </c>
      <c r="C776" s="3">
        <v>2018</v>
      </c>
      <c r="D776" s="3">
        <v>4.4409999999999998</v>
      </c>
      <c r="E776" s="3">
        <v>0.874</v>
      </c>
      <c r="F776" s="3">
        <v>4.28</v>
      </c>
      <c r="G776" s="3">
        <v>3.51863694190979</v>
      </c>
      <c r="H776" s="3">
        <v>3.1808540821075399</v>
      </c>
      <c r="I776" s="5"/>
      <c r="J776" s="5"/>
      <c r="K776" s="3">
        <v>4.35872929318956</v>
      </c>
      <c r="L776" s="3">
        <v>1.2809999999999999</v>
      </c>
      <c r="M776" s="3">
        <v>0.36499999999999999</v>
      </c>
      <c r="N776" s="3">
        <v>0.51900000000000002</v>
      </c>
      <c r="O776" s="3">
        <v>5.0999999999999997E-2</v>
      </c>
      <c r="P776" s="3">
        <v>6.4000000000000001E-2</v>
      </c>
    </row>
    <row r="777" spans="1:17" x14ac:dyDescent="0.25">
      <c r="A777" s="3" t="s">
        <v>137</v>
      </c>
      <c r="B777" s="3" t="s">
        <v>43</v>
      </c>
      <c r="C777" s="3">
        <v>2019</v>
      </c>
      <c r="D777" s="3">
        <v>4.6390000000000002</v>
      </c>
      <c r="E777" s="3">
        <v>0.879</v>
      </c>
      <c r="F777" s="3">
        <v>3.7209999561309801</v>
      </c>
      <c r="G777" s="3">
        <v>2.0659589767456001</v>
      </c>
      <c r="H777" s="3">
        <v>4.2982969284057599</v>
      </c>
      <c r="I777" s="5"/>
      <c r="J777" s="5"/>
      <c r="K777" s="3">
        <v>1.8029657063290401</v>
      </c>
      <c r="L777" s="3">
        <v>1.3129999999999999</v>
      </c>
      <c r="M777" s="3">
        <v>0.47699999999999998</v>
      </c>
      <c r="N777" s="3">
        <v>0.40100000000000002</v>
      </c>
      <c r="O777" s="3">
        <v>7.0000000000000007E-2</v>
      </c>
      <c r="P777" s="3">
        <v>5.6000000000000001E-2</v>
      </c>
      <c r="Q777" s="3"/>
    </row>
    <row r="778" spans="1:17" x14ac:dyDescent="0.25">
      <c r="A778" s="3" t="s">
        <v>137</v>
      </c>
      <c r="B778" s="3" t="s">
        <v>43</v>
      </c>
      <c r="C778" s="3">
        <v>2020</v>
      </c>
      <c r="D778" s="3">
        <v>4.5711002350000003</v>
      </c>
      <c r="E778" s="3">
        <v>0.84008198999999995</v>
      </c>
      <c r="F778" s="3">
        <v>2.2093823693346799</v>
      </c>
      <c r="G778" s="3">
        <v>-0.985014224675686</v>
      </c>
      <c r="H778" s="3">
        <v>5.2190070152282697</v>
      </c>
      <c r="I778" s="5"/>
      <c r="J778" s="5"/>
      <c r="K778" s="3">
        <v>3.46310579675403</v>
      </c>
      <c r="L778" s="3">
        <v>1.2457381489999999</v>
      </c>
      <c r="M778" s="3">
        <v>0.40687117</v>
      </c>
      <c r="N778" s="3">
        <v>0.44459897300000001</v>
      </c>
      <c r="O778" s="3">
        <v>7.6454483000000004E-2</v>
      </c>
      <c r="P778" s="3">
        <v>5.4320343E-2</v>
      </c>
      <c r="Q778" s="3"/>
    </row>
    <row r="779" spans="1:17" x14ac:dyDescent="0.25">
      <c r="A779" s="3" t="s">
        <v>137</v>
      </c>
      <c r="B779" s="3" t="s">
        <v>43</v>
      </c>
      <c r="C779" s="3">
        <v>2021</v>
      </c>
      <c r="D779" s="3">
        <v>4.5739999999999998</v>
      </c>
      <c r="E779" s="3">
        <v>0.88200000000000001</v>
      </c>
      <c r="F779" s="3">
        <v>3.61690530108811</v>
      </c>
      <c r="G779" s="3">
        <v>1.26</v>
      </c>
      <c r="H779" s="3">
        <v>5.73</v>
      </c>
      <c r="I779" s="5"/>
      <c r="J779" s="5"/>
      <c r="K779" s="3">
        <v>1.73329505127085</v>
      </c>
      <c r="L779" s="3">
        <v>0.80100000000000005</v>
      </c>
      <c r="M779" s="3">
        <v>0.26200000000000001</v>
      </c>
      <c r="N779" s="3">
        <v>0.41099999999999998</v>
      </c>
      <c r="O779" s="3">
        <v>9.0999999999999998E-2</v>
      </c>
      <c r="P779" s="3">
        <v>5.8999999999999997E-2</v>
      </c>
      <c r="Q779" s="3"/>
    </row>
    <row r="780" spans="1:17" x14ac:dyDescent="0.25">
      <c r="A780" s="3" t="s">
        <v>137</v>
      </c>
      <c r="B780" s="3" t="s">
        <v>43</v>
      </c>
      <c r="C780" s="3">
        <v>2022</v>
      </c>
      <c r="D780" s="3">
        <v>4.4589999999999996</v>
      </c>
      <c r="E780" s="3">
        <v>1.292</v>
      </c>
      <c r="F780" s="3">
        <v>6.0812811411241396</v>
      </c>
      <c r="G780" s="3">
        <v>1.7583448888647399</v>
      </c>
      <c r="H780" s="3">
        <v>6.9815154918970004</v>
      </c>
      <c r="I780" s="5"/>
      <c r="J780" s="5"/>
      <c r="K780" s="3">
        <v>1.73299886812076</v>
      </c>
      <c r="L780" s="3">
        <v>0.877</v>
      </c>
      <c r="M780" s="3">
        <v>0.35399999999999998</v>
      </c>
      <c r="N780" s="3">
        <v>0.38400000000000001</v>
      </c>
      <c r="O780" s="3">
        <v>6.7000000000000004E-2</v>
      </c>
      <c r="P780" s="3">
        <v>7.0999999999999994E-2</v>
      </c>
      <c r="Q780" s="3"/>
    </row>
    <row r="781" spans="1:17" x14ac:dyDescent="0.25">
      <c r="A781" s="3" t="s">
        <v>137</v>
      </c>
      <c r="B781" s="3" t="s">
        <v>43</v>
      </c>
      <c r="C781" s="3">
        <v>2023</v>
      </c>
      <c r="D781" s="3">
        <v>4.6310000000000002</v>
      </c>
      <c r="E781" s="3">
        <v>1.2889999999999999</v>
      </c>
      <c r="F781" s="3">
        <v>5.8799346328427502</v>
      </c>
      <c r="G781" s="3">
        <v>2.9248319404588199</v>
      </c>
      <c r="H781" s="3">
        <v>11.3111799104627</v>
      </c>
      <c r="I781" s="5"/>
      <c r="J781" s="5"/>
      <c r="K781" s="3">
        <v>6.9560537865869003</v>
      </c>
      <c r="L781" s="3">
        <v>1.1259999999999999</v>
      </c>
      <c r="M781" s="3">
        <v>0.14499999999999999</v>
      </c>
      <c r="N781" s="3">
        <v>0.38300000000000001</v>
      </c>
      <c r="O781" s="3">
        <v>6.9000000000000006E-2</v>
      </c>
      <c r="P781" s="3">
        <v>7.0999999999999994E-2</v>
      </c>
      <c r="Q781" s="3"/>
    </row>
    <row r="782" spans="1:17" x14ac:dyDescent="0.25">
      <c r="A782" s="3" t="s">
        <v>138</v>
      </c>
      <c r="B782" s="3" t="s">
        <v>37</v>
      </c>
      <c r="C782" s="3">
        <v>2015</v>
      </c>
      <c r="D782" s="3">
        <v>4.5140000000000002</v>
      </c>
      <c r="E782" s="3">
        <v>0.35997000000000001</v>
      </c>
      <c r="F782" s="3">
        <v>7.2119998931884703</v>
      </c>
      <c r="G782" s="5"/>
      <c r="H782" s="5"/>
      <c r="I782" s="5"/>
      <c r="J782" s="5"/>
      <c r="K782" s="3">
        <v>4.4085909357123896</v>
      </c>
      <c r="L782" s="3">
        <v>0.86448999999999998</v>
      </c>
      <c r="M782" s="3">
        <v>0.56874000000000002</v>
      </c>
      <c r="N782" s="3">
        <v>0.38281999999999999</v>
      </c>
      <c r="O782" s="3">
        <v>0.32296000000000002</v>
      </c>
      <c r="P782" s="3">
        <v>5.9069999999999998E-2</v>
      </c>
      <c r="Q782" s="3"/>
    </row>
    <row r="783" spans="1:17" x14ac:dyDescent="0.25">
      <c r="A783" s="3" t="s">
        <v>138</v>
      </c>
      <c r="B783" s="3" t="s">
        <v>37</v>
      </c>
      <c r="C783" s="3">
        <v>2016</v>
      </c>
      <c r="D783" s="3">
        <v>4.7930000000000001</v>
      </c>
      <c r="E783" s="3">
        <v>0.44625999999999999</v>
      </c>
      <c r="F783" s="3">
        <v>9.9320001602172798</v>
      </c>
      <c r="G783" s="5"/>
      <c r="H783" s="5"/>
      <c r="I783" s="5"/>
      <c r="J783" s="5"/>
      <c r="K783" s="3">
        <v>7.1508706142709899</v>
      </c>
      <c r="L783" s="3">
        <v>0.69699</v>
      </c>
      <c r="M783" s="3">
        <v>0.50073000000000001</v>
      </c>
      <c r="N783" s="3">
        <v>0.37012</v>
      </c>
      <c r="O783" s="3">
        <v>0.38159999999999999</v>
      </c>
      <c r="P783" s="3">
        <v>7.0080000000000003E-2</v>
      </c>
      <c r="Q783" s="3"/>
    </row>
    <row r="784" spans="1:17" x14ac:dyDescent="0.25">
      <c r="A784" s="3" t="s">
        <v>138</v>
      </c>
      <c r="B784" s="3" t="s">
        <v>37</v>
      </c>
      <c r="C784" s="3">
        <v>2017</v>
      </c>
      <c r="D784" s="3">
        <v>4.9619998929999998</v>
      </c>
      <c r="E784" s="3">
        <v>0.47982019199999998</v>
      </c>
      <c r="F784" s="3">
        <v>4.4539999999999997</v>
      </c>
      <c r="G784" s="5"/>
      <c r="H784" s="3">
        <v>2.5699300699300598</v>
      </c>
      <c r="I784" s="5"/>
      <c r="J784" s="5"/>
      <c r="K784" s="3">
        <v>8.2613809127678497</v>
      </c>
      <c r="L784" s="3">
        <v>1.1792832609999999</v>
      </c>
      <c r="M784" s="3">
        <v>0.50413078099999997</v>
      </c>
      <c r="N784" s="3">
        <v>0.440305948</v>
      </c>
      <c r="O784" s="3">
        <v>0.39409616600000003</v>
      </c>
      <c r="P784" s="3">
        <v>7.2975546000000002E-2</v>
      </c>
      <c r="Q784" s="3"/>
    </row>
    <row r="785" spans="1:17" x14ac:dyDescent="0.25">
      <c r="A785" s="3" t="s">
        <v>138</v>
      </c>
      <c r="B785" s="3" t="s">
        <v>37</v>
      </c>
      <c r="C785" s="3">
        <v>2018</v>
      </c>
      <c r="D785" s="3">
        <v>4.88</v>
      </c>
      <c r="E785" s="3">
        <v>0.42499999999999999</v>
      </c>
      <c r="F785" s="3">
        <v>4.1500000000000004</v>
      </c>
      <c r="G785" s="3">
        <v>7.5869553638010299</v>
      </c>
      <c r="H785" s="3">
        <v>2.7647672755297301</v>
      </c>
      <c r="I785" s="5"/>
      <c r="J785" s="5"/>
      <c r="K785" s="3">
        <v>4.3553429956810801</v>
      </c>
      <c r="L785" s="3">
        <v>1.228</v>
      </c>
      <c r="M785" s="3">
        <v>0.53900000000000003</v>
      </c>
      <c r="N785" s="3">
        <v>0.52600000000000002</v>
      </c>
      <c r="O785" s="3">
        <v>0.30199999999999999</v>
      </c>
      <c r="P785" s="3">
        <v>7.8E-2</v>
      </c>
      <c r="Q785" s="3"/>
    </row>
    <row r="786" spans="1:17" x14ac:dyDescent="0.25">
      <c r="A786" s="3" t="s">
        <v>138</v>
      </c>
      <c r="B786" s="3" t="s">
        <v>37</v>
      </c>
      <c r="C786" s="3">
        <v>2019</v>
      </c>
      <c r="D786" s="3">
        <v>4.9130000000000003</v>
      </c>
      <c r="E786" s="3">
        <v>0.44600000000000001</v>
      </c>
      <c r="F786" s="3">
        <v>4.6389999389648402</v>
      </c>
      <c r="G786" s="3">
        <v>6.5475564002990696</v>
      </c>
      <c r="H786" s="3">
        <v>5.6332211494445801</v>
      </c>
      <c r="I786" s="5"/>
      <c r="J786" s="5"/>
      <c r="K786" s="3">
        <v>4.6934409892153699</v>
      </c>
      <c r="L786" s="3">
        <v>1.226</v>
      </c>
      <c r="M786" s="3">
        <v>0.67700000000000005</v>
      </c>
      <c r="N786" s="3">
        <v>0.439</v>
      </c>
      <c r="O786" s="3">
        <v>0.28499999999999998</v>
      </c>
      <c r="P786" s="3">
        <v>8.8999999999999996E-2</v>
      </c>
      <c r="Q786" s="3"/>
    </row>
    <row r="787" spans="1:17" x14ac:dyDescent="0.25">
      <c r="A787" s="3" t="s">
        <v>138</v>
      </c>
      <c r="B787" s="3" t="s">
        <v>37</v>
      </c>
      <c r="C787" s="3">
        <v>2020</v>
      </c>
      <c r="D787" s="3">
        <v>5.1371998789999997</v>
      </c>
      <c r="E787" s="3">
        <v>0.44405037200000003</v>
      </c>
      <c r="F787" s="3">
        <v>5.0523665528921304</v>
      </c>
      <c r="G787" s="3">
        <v>2.8135473116218699</v>
      </c>
      <c r="H787" s="3">
        <v>7.22025299072265</v>
      </c>
      <c r="I787" s="5"/>
      <c r="J787" s="5"/>
      <c r="K787" s="3">
        <v>4.14895745545161</v>
      </c>
      <c r="L787" s="3">
        <v>1.100789309</v>
      </c>
      <c r="M787" s="3">
        <v>0.66887938999999996</v>
      </c>
      <c r="N787" s="3">
        <v>0.48060825499999998</v>
      </c>
      <c r="O787" s="3">
        <v>0.30097180600000001</v>
      </c>
      <c r="P787" s="3">
        <v>0.127502963</v>
      </c>
      <c r="Q787" s="3"/>
    </row>
    <row r="788" spans="1:17" x14ac:dyDescent="0.25">
      <c r="A788" s="3" t="s">
        <v>138</v>
      </c>
      <c r="B788" s="3" t="s">
        <v>37</v>
      </c>
      <c r="C788" s="3">
        <v>2021</v>
      </c>
      <c r="D788" s="3">
        <v>5.2690000000000001</v>
      </c>
      <c r="E788" s="3">
        <v>0.51900000000000002</v>
      </c>
      <c r="F788" s="3">
        <v>3.5990000000000002</v>
      </c>
      <c r="G788" s="3">
        <v>2.4</v>
      </c>
      <c r="H788" s="3">
        <v>4.08</v>
      </c>
      <c r="I788" s="5"/>
      <c r="J788" s="5"/>
      <c r="K788" s="3">
        <v>5.5119714784882596</v>
      </c>
      <c r="L788" s="3">
        <v>0.70199999999999996</v>
      </c>
      <c r="M788" s="3">
        <v>0.496</v>
      </c>
      <c r="N788" s="3">
        <v>0.48799999999999999</v>
      </c>
      <c r="O788" s="3">
        <v>0.28699999999999998</v>
      </c>
      <c r="P788" s="3">
        <v>0.13500000000000001</v>
      </c>
      <c r="Q788" s="3"/>
    </row>
    <row r="789" spans="1:17" x14ac:dyDescent="0.25">
      <c r="A789" s="3" t="s">
        <v>138</v>
      </c>
      <c r="B789" s="3" t="s">
        <v>37</v>
      </c>
      <c r="C789" s="3">
        <v>2022</v>
      </c>
      <c r="D789" s="3">
        <v>5.3769999999999998</v>
      </c>
      <c r="E789" s="3">
        <v>0.98399999999999999</v>
      </c>
      <c r="F789" s="3">
        <v>7.5931040507058798</v>
      </c>
      <c r="G789" s="3">
        <v>6.53220124818972</v>
      </c>
      <c r="H789" s="3">
        <v>6.53156104282436</v>
      </c>
      <c r="I789" s="5"/>
      <c r="J789" s="5"/>
      <c r="K789" s="3">
        <v>5.51234756455744</v>
      </c>
      <c r="L789" s="3">
        <v>0.78400000000000003</v>
      </c>
      <c r="M789" s="3">
        <v>0.499</v>
      </c>
      <c r="N789" s="3">
        <v>0.51900000000000002</v>
      </c>
      <c r="O789" s="3">
        <v>0.23699999999999999</v>
      </c>
      <c r="P789" s="3">
        <v>0.13</v>
      </c>
      <c r="Q789" s="3"/>
    </row>
    <row r="790" spans="1:17" x14ac:dyDescent="0.25">
      <c r="A790" s="3" t="s">
        <v>138</v>
      </c>
      <c r="B790" s="3" t="s">
        <v>37</v>
      </c>
      <c r="C790" s="3">
        <v>2023</v>
      </c>
      <c r="D790" s="3">
        <v>5.36</v>
      </c>
      <c r="E790" s="3">
        <v>0.97899999999999998</v>
      </c>
      <c r="F790" s="3">
        <v>7.11475951738199</v>
      </c>
      <c r="G790" s="3">
        <v>8.3553650931776495</v>
      </c>
      <c r="H790" s="3">
        <v>6.1127029608402701</v>
      </c>
      <c r="I790" s="5"/>
      <c r="J790" s="5"/>
      <c r="K790" s="3">
        <v>7.0828951832525098</v>
      </c>
      <c r="L790" s="3">
        <v>1.0269999999999999</v>
      </c>
      <c r="M790" s="3">
        <v>0.28100000000000003</v>
      </c>
      <c r="N790" s="3">
        <v>0.56699999999999995</v>
      </c>
      <c r="O790" s="3">
        <v>0.215</v>
      </c>
      <c r="P790" s="3">
        <v>0.104</v>
      </c>
      <c r="Q790" s="3"/>
    </row>
    <row r="791" spans="1:17" x14ac:dyDescent="0.25">
      <c r="A791" s="3" t="s">
        <v>139</v>
      </c>
      <c r="B791" s="3" t="s">
        <v>50</v>
      </c>
      <c r="C791" s="3">
        <v>2015</v>
      </c>
      <c r="D791" s="3">
        <v>7.3780000000000001</v>
      </c>
      <c r="E791" s="3">
        <v>1.32944</v>
      </c>
      <c r="F791" s="3">
        <v>0.60024589300155595</v>
      </c>
      <c r="G791" s="3">
        <v>1.83456623554229</v>
      </c>
      <c r="H791" s="3">
        <v>0.64833599328994695</v>
      </c>
      <c r="I791" s="3">
        <v>1.2685599999999999</v>
      </c>
      <c r="J791" s="3">
        <v>-4.9580163955688397</v>
      </c>
      <c r="K791" s="3">
        <v>0.77394388906804301</v>
      </c>
      <c r="L791" s="3">
        <v>1.28017</v>
      </c>
      <c r="M791" s="3">
        <v>0.89283999999999997</v>
      </c>
      <c r="N791" s="3">
        <v>0.61575999999999997</v>
      </c>
      <c r="O791" s="3">
        <v>0.47610000000000002</v>
      </c>
      <c r="P791" s="3">
        <v>0.31813999999999998</v>
      </c>
      <c r="Q791" s="3"/>
    </row>
    <row r="792" spans="1:17" x14ac:dyDescent="0.25">
      <c r="A792" s="3" t="s">
        <v>139</v>
      </c>
      <c r="B792" s="3" t="s">
        <v>50</v>
      </c>
      <c r="C792" s="3">
        <v>2016</v>
      </c>
      <c r="D792" s="3">
        <v>7.3390000000000004</v>
      </c>
      <c r="E792" s="3">
        <v>1.46468</v>
      </c>
      <c r="F792" s="3">
        <v>0.316665649414062</v>
      </c>
      <c r="G792" s="3">
        <v>0.59828543663024902</v>
      </c>
      <c r="H792" s="3">
        <v>0.94999665021896296</v>
      </c>
      <c r="I792" s="3">
        <v>0.81003809999999998</v>
      </c>
      <c r="J792" s="3">
        <v>-2.4833531379699698</v>
      </c>
      <c r="K792" s="3">
        <v>0.45499999999999802</v>
      </c>
      <c r="L792" s="3">
        <v>1.02912</v>
      </c>
      <c r="M792" s="3">
        <v>0.81230999999999998</v>
      </c>
      <c r="N792" s="3">
        <v>0.55210999999999999</v>
      </c>
      <c r="O792" s="3">
        <v>0.47416000000000003</v>
      </c>
      <c r="P792" s="3">
        <v>0.29926999999999998</v>
      </c>
      <c r="Q792" s="3"/>
    </row>
    <row r="793" spans="1:17" x14ac:dyDescent="0.25">
      <c r="A793" s="3" t="s">
        <v>139</v>
      </c>
      <c r="B793" s="3" t="s">
        <v>50</v>
      </c>
      <c r="C793" s="3">
        <v>2017</v>
      </c>
      <c r="D793" s="3">
        <v>7.3769998550000002</v>
      </c>
      <c r="E793" s="3">
        <v>1.5039446350000001</v>
      </c>
      <c r="F793" s="3">
        <v>1.2989999999999999</v>
      </c>
      <c r="G793" s="3">
        <v>1.5630198717117301</v>
      </c>
      <c r="H793" s="3">
        <v>2.6646583080291699</v>
      </c>
      <c r="I793" s="3">
        <v>0.98673149999999998</v>
      </c>
      <c r="J793" s="3">
        <v>4.8196983337402299</v>
      </c>
      <c r="K793" s="3">
        <v>1.2602657906525301</v>
      </c>
      <c r="L793" s="3">
        <v>1.428939223</v>
      </c>
      <c r="M793" s="3">
        <v>0.81069612499999999</v>
      </c>
      <c r="N793" s="3">
        <v>0.58538448799999998</v>
      </c>
      <c r="O793" s="3">
        <v>0.47048983</v>
      </c>
      <c r="P793" s="3">
        <v>0.28266182499999998</v>
      </c>
      <c r="Q793" s="3"/>
    </row>
    <row r="794" spans="1:17" x14ac:dyDescent="0.25">
      <c r="A794" s="3" t="s">
        <v>139</v>
      </c>
      <c r="B794" s="3" t="s">
        <v>50</v>
      </c>
      <c r="C794" s="3">
        <v>2018</v>
      </c>
      <c r="D794" s="3">
        <v>7.4409999999999998</v>
      </c>
      <c r="E794" s="3">
        <v>1.361</v>
      </c>
      <c r="F794" s="3">
        <v>1.7</v>
      </c>
      <c r="G794" s="3">
        <v>2.9449865818023602</v>
      </c>
      <c r="H794" s="3">
        <v>0.78958886861801103</v>
      </c>
      <c r="I794" s="3">
        <v>1.292799</v>
      </c>
      <c r="J794" s="3">
        <v>2.9838628768920898</v>
      </c>
      <c r="K794" s="3">
        <v>2.4370582278978699</v>
      </c>
      <c r="L794" s="3">
        <v>1.488</v>
      </c>
      <c r="M794" s="3">
        <v>0.878</v>
      </c>
      <c r="N794" s="3">
        <v>0.63800000000000001</v>
      </c>
      <c r="O794" s="3">
        <v>0.33300000000000002</v>
      </c>
      <c r="P794" s="3">
        <v>0.29499999999999998</v>
      </c>
      <c r="Q794" s="3"/>
    </row>
    <row r="795" spans="1:17" x14ac:dyDescent="0.25">
      <c r="A795" s="3" t="s">
        <v>139</v>
      </c>
      <c r="B795" s="3" t="s">
        <v>50</v>
      </c>
      <c r="C795" s="3">
        <v>2019</v>
      </c>
      <c r="D795" s="3">
        <v>7.4880000000000004</v>
      </c>
      <c r="E795" s="3">
        <v>1.3959999999999999</v>
      </c>
      <c r="F795" s="3">
        <v>2.6730000972747798</v>
      </c>
      <c r="G795" s="3">
        <v>7.5720582008361799</v>
      </c>
      <c r="H795" s="3">
        <v>4.0479867527009601</v>
      </c>
      <c r="I795" s="3">
        <v>2.0051459999999999</v>
      </c>
      <c r="J795" s="3">
        <v>0.934129178524017</v>
      </c>
      <c r="K795" s="3">
        <v>2.9577735124759998</v>
      </c>
      <c r="L795" s="3">
        <v>1.522</v>
      </c>
      <c r="M795" s="3">
        <v>0.999</v>
      </c>
      <c r="N795" s="3">
        <v>0.55700000000000005</v>
      </c>
      <c r="O795" s="3">
        <v>0.32200000000000001</v>
      </c>
      <c r="P795" s="3">
        <v>0.29799999999999999</v>
      </c>
      <c r="Q795" s="3"/>
    </row>
    <row r="796" spans="1:17" x14ac:dyDescent="0.25">
      <c r="A796" s="3" t="s">
        <v>139</v>
      </c>
      <c r="B796" s="3" t="s">
        <v>50</v>
      </c>
      <c r="C796" s="3">
        <v>2020</v>
      </c>
      <c r="D796" s="3">
        <v>7.4489002229999999</v>
      </c>
      <c r="E796" s="3">
        <v>1.3389463420000001</v>
      </c>
      <c r="F796" s="3">
        <v>1.27246037789151</v>
      </c>
      <c r="G796" s="3">
        <v>0.52749299602281197</v>
      </c>
      <c r="H796" s="3">
        <v>1.8953588460152699</v>
      </c>
      <c r="I796" s="3">
        <v>2.1256059999999999</v>
      </c>
      <c r="J796" s="3">
        <v>1.59207487106323</v>
      </c>
      <c r="K796" s="3">
        <v>2.2352305139725299</v>
      </c>
      <c r="L796" s="3">
        <v>1.463645935</v>
      </c>
      <c r="M796" s="3">
        <v>0.975675344</v>
      </c>
      <c r="N796" s="3">
        <v>0.61362647999999997</v>
      </c>
      <c r="O796" s="3">
        <v>0.33631756899999998</v>
      </c>
      <c r="P796" s="3">
        <v>0.36856976200000002</v>
      </c>
      <c r="Q796" s="3"/>
    </row>
    <row r="797" spans="1:17" x14ac:dyDescent="0.25">
      <c r="A797" s="3" t="s">
        <v>139</v>
      </c>
      <c r="B797" s="3" t="s">
        <v>50</v>
      </c>
      <c r="C797" s="3">
        <v>2021</v>
      </c>
      <c r="D797" s="3">
        <v>7.4640000000000004</v>
      </c>
      <c r="E797" s="3">
        <v>1.5009999999999999</v>
      </c>
      <c r="F797" s="3">
        <v>2.6757200000000001</v>
      </c>
      <c r="G797" s="3">
        <v>17.2592</v>
      </c>
      <c r="H797" s="3">
        <v>-0.20699999999999999</v>
      </c>
      <c r="I797" s="3">
        <v>1.917532</v>
      </c>
      <c r="J797" s="3">
        <v>12.5235327821888</v>
      </c>
      <c r="K797" s="3">
        <v>2.5248214669854399</v>
      </c>
      <c r="L797" s="3">
        <v>1.079</v>
      </c>
      <c r="M797" s="3">
        <v>0.753</v>
      </c>
      <c r="N797" s="3">
        <v>0.64700000000000002</v>
      </c>
      <c r="O797" s="3">
        <v>0.30199999999999999</v>
      </c>
      <c r="P797" s="3">
        <v>0.38400000000000001</v>
      </c>
      <c r="Q797" s="3"/>
    </row>
    <row r="798" spans="1:17" x14ac:dyDescent="0.25">
      <c r="A798" s="3" t="s">
        <v>139</v>
      </c>
      <c r="B798" s="3" t="s">
        <v>50</v>
      </c>
      <c r="C798" s="3">
        <v>2022</v>
      </c>
      <c r="D798" s="3">
        <v>7.415</v>
      </c>
      <c r="E798" s="3">
        <v>1.9450000000000001</v>
      </c>
      <c r="F798" s="3">
        <v>10.00121</v>
      </c>
      <c r="G798" s="3">
        <v>71.427957332069397</v>
      </c>
      <c r="H798" s="3">
        <v>10.74305</v>
      </c>
      <c r="I798" s="3">
        <v>4.249225</v>
      </c>
      <c r="J798" s="3">
        <v>23.7797337600927</v>
      </c>
      <c r="K798" s="3">
        <v>5.1092343573032304</v>
      </c>
      <c r="L798" s="3">
        <v>1.206</v>
      </c>
      <c r="M798" s="3">
        <v>0.78700000000000003</v>
      </c>
      <c r="N798" s="3">
        <v>0.65100000000000002</v>
      </c>
      <c r="O798" s="3">
        <v>0.27100000000000002</v>
      </c>
      <c r="P798" s="3">
        <v>0.41899999999999998</v>
      </c>
      <c r="Q798" s="3"/>
    </row>
    <row r="799" spans="1:17" x14ac:dyDescent="0.25">
      <c r="A799" s="3" t="s">
        <v>139</v>
      </c>
      <c r="B799" s="3" t="s">
        <v>50</v>
      </c>
      <c r="C799" s="3">
        <v>2023</v>
      </c>
      <c r="D799" s="3">
        <v>7.4029999999999996</v>
      </c>
      <c r="E799" s="3">
        <v>1.9419999999999999</v>
      </c>
      <c r="F799" s="3">
        <v>3.8383935434280798</v>
      </c>
      <c r="G799" s="3">
        <v>-22.059544982463301</v>
      </c>
      <c r="H799" s="3">
        <v>11.8668995912924</v>
      </c>
      <c r="I799" s="3">
        <v>5.609972</v>
      </c>
      <c r="J799" s="3">
        <v>-9.7148011935835193E-2</v>
      </c>
      <c r="K799" s="3">
        <v>7.7905305258148498</v>
      </c>
      <c r="L799" s="3">
        <v>1.488</v>
      </c>
      <c r="M799" s="3">
        <v>0.54500000000000004</v>
      </c>
      <c r="N799" s="3">
        <v>0.67200000000000004</v>
      </c>
      <c r="O799" s="3">
        <v>0.251</v>
      </c>
      <c r="P799" s="3">
        <v>0.39400000000000002</v>
      </c>
      <c r="Q799" s="3"/>
    </row>
    <row r="800" spans="1:17" x14ac:dyDescent="0.25">
      <c r="A800" s="3" t="s">
        <v>140</v>
      </c>
      <c r="B800" s="3" t="s">
        <v>48</v>
      </c>
      <c r="C800" s="3">
        <v>2015</v>
      </c>
      <c r="D800" s="3">
        <v>7.2859999999999996</v>
      </c>
      <c r="E800" s="3">
        <v>1.2501800000000001</v>
      </c>
      <c r="F800" s="3">
        <v>0.29270148277282698</v>
      </c>
      <c r="G800" s="3">
        <v>2.7755103111267001</v>
      </c>
      <c r="H800" s="3">
        <v>-5.8368925005197497E-2</v>
      </c>
      <c r="I800" s="3">
        <v>1.2678529999999999</v>
      </c>
      <c r="J800" s="3">
        <v>-2.1643006801605198</v>
      </c>
      <c r="K800" s="3">
        <v>0.77489940774899302</v>
      </c>
      <c r="L800" s="3">
        <v>1.3196699999999999</v>
      </c>
      <c r="M800" s="3">
        <v>0.90837000000000001</v>
      </c>
      <c r="N800" s="3">
        <v>0.63937999999999995</v>
      </c>
      <c r="O800" s="3">
        <v>0.47500999999999999</v>
      </c>
      <c r="P800" s="3">
        <v>0.42921999999999999</v>
      </c>
      <c r="Q800" s="3"/>
    </row>
    <row r="801" spans="1:17" x14ac:dyDescent="0.25">
      <c r="A801" s="3" t="s">
        <v>140</v>
      </c>
      <c r="B801" s="3" t="s">
        <v>48</v>
      </c>
      <c r="C801" s="3">
        <v>2016</v>
      </c>
      <c r="D801" s="3">
        <v>7.3339999999999996</v>
      </c>
      <c r="E801" s="3">
        <v>1.36066</v>
      </c>
      <c r="F801" s="3">
        <v>0.646240234375</v>
      </c>
      <c r="G801" s="3">
        <v>3.1771247386932302</v>
      </c>
      <c r="H801" s="3">
        <v>-0.60346221923828103</v>
      </c>
      <c r="I801" s="3">
        <v>1.3724890000000001</v>
      </c>
      <c r="J801" s="3">
        <v>0.47573739290237399</v>
      </c>
      <c r="K801" s="3">
        <v>2.0170118077737502</v>
      </c>
      <c r="L801" s="3">
        <v>1.1727799999999999</v>
      </c>
      <c r="M801" s="3">
        <v>0.83096000000000003</v>
      </c>
      <c r="N801" s="3">
        <v>0.58147000000000004</v>
      </c>
      <c r="O801" s="3">
        <v>0.49401</v>
      </c>
      <c r="P801" s="3">
        <v>0.41904000000000002</v>
      </c>
      <c r="Q801" s="3"/>
    </row>
    <row r="802" spans="1:17" x14ac:dyDescent="0.25">
      <c r="A802" s="3" t="s">
        <v>140</v>
      </c>
      <c r="B802" s="3" t="s">
        <v>48</v>
      </c>
      <c r="C802" s="3">
        <v>2017</v>
      </c>
      <c r="D802" s="3">
        <v>7.3140001300000002</v>
      </c>
      <c r="E802" s="3">
        <v>1.4057060480000001</v>
      </c>
      <c r="F802" s="3">
        <v>1.8540000000000001</v>
      </c>
      <c r="G802" s="3">
        <v>3.1306133270263601</v>
      </c>
      <c r="H802" s="3">
        <v>2.1740846633911102</v>
      </c>
      <c r="I802" s="3">
        <v>1.400998</v>
      </c>
      <c r="J802" s="3">
        <v>4.4981060028076101</v>
      </c>
      <c r="K802" s="3">
        <v>3.8109058927000801</v>
      </c>
      <c r="L802" s="3">
        <v>1.548195124</v>
      </c>
      <c r="M802" s="3">
        <v>0.81675970600000003</v>
      </c>
      <c r="N802" s="3">
        <v>0.61406212999999998</v>
      </c>
      <c r="O802" s="3">
        <v>0.50000512600000002</v>
      </c>
      <c r="P802" s="3">
        <v>0.38281670200000001</v>
      </c>
      <c r="Q802" s="3"/>
    </row>
    <row r="803" spans="1:17" x14ac:dyDescent="0.25">
      <c r="A803" s="3" t="s">
        <v>140</v>
      </c>
      <c r="B803" s="3" t="s">
        <v>48</v>
      </c>
      <c r="C803" s="3">
        <v>2018</v>
      </c>
      <c r="D803" s="3">
        <v>7.3239999999999998</v>
      </c>
      <c r="E803" s="3">
        <v>1.268</v>
      </c>
      <c r="F803" s="3">
        <v>1.6</v>
      </c>
      <c r="G803" s="3">
        <v>3.06046271324157</v>
      </c>
      <c r="H803" s="3">
        <v>-0.24026873707771301</v>
      </c>
      <c r="I803" s="3">
        <v>1.1538109999999999</v>
      </c>
      <c r="J803" s="3">
        <v>4.2138648033142001</v>
      </c>
      <c r="K803" s="3">
        <v>2.1163572899104501</v>
      </c>
      <c r="L803" s="3">
        <v>1.601</v>
      </c>
      <c r="M803" s="3">
        <v>0.876</v>
      </c>
      <c r="N803" s="3">
        <v>0.66900000000000004</v>
      </c>
      <c r="O803" s="3">
        <v>0.36499999999999999</v>
      </c>
      <c r="P803" s="3">
        <v>0.38900000000000001</v>
      </c>
      <c r="Q803" s="3"/>
    </row>
    <row r="804" spans="1:17" x14ac:dyDescent="0.25">
      <c r="A804" s="3" t="s">
        <v>140</v>
      </c>
      <c r="B804" s="3" t="s">
        <v>48</v>
      </c>
      <c r="C804" s="3">
        <v>2019</v>
      </c>
      <c r="D804" s="3">
        <v>7.3070000000000004</v>
      </c>
      <c r="E804" s="3">
        <v>1.3029999999999999</v>
      </c>
      <c r="F804" s="3">
        <v>1.62000000476837</v>
      </c>
      <c r="G804" s="3">
        <v>0.85682642459869296</v>
      </c>
      <c r="H804" s="3">
        <v>1.0798590183257999</v>
      </c>
      <c r="I804" s="3">
        <v>1.835353</v>
      </c>
      <c r="J804" s="3">
        <v>2.23913049697875</v>
      </c>
      <c r="K804" s="3">
        <v>2.8075764741020901</v>
      </c>
      <c r="L804" s="3">
        <v>1.5569999999999999</v>
      </c>
      <c r="M804" s="3">
        <v>1.026</v>
      </c>
      <c r="N804" s="3">
        <v>0.58499999999999996</v>
      </c>
      <c r="O804" s="3">
        <v>0.33</v>
      </c>
      <c r="P804" s="3">
        <v>0.38</v>
      </c>
      <c r="Q804" s="3"/>
    </row>
    <row r="805" spans="1:17" x14ac:dyDescent="0.25">
      <c r="A805" s="3" t="s">
        <v>140</v>
      </c>
      <c r="B805" s="3" t="s">
        <v>48</v>
      </c>
      <c r="C805" s="3">
        <v>2020</v>
      </c>
      <c r="D805" s="3">
        <v>7.2996001240000004</v>
      </c>
      <c r="E805" s="3">
        <v>1.2423179150000001</v>
      </c>
      <c r="F805" s="3">
        <v>1.7145617000722699</v>
      </c>
      <c r="G805" s="3">
        <v>2.93151969981237</v>
      </c>
      <c r="H805" s="3">
        <v>3.1793500750363299</v>
      </c>
      <c r="I805" s="3">
        <v>2.3125680000000002</v>
      </c>
      <c r="J805" s="3">
        <v>21.296586990356399</v>
      </c>
      <c r="K805" s="3">
        <v>4.1060404309405403</v>
      </c>
      <c r="L805" s="3">
        <v>1.4872183800000001</v>
      </c>
      <c r="M805" s="3">
        <v>1.0081382990000001</v>
      </c>
      <c r="N805" s="3">
        <v>0.64678990800000002</v>
      </c>
      <c r="O805" s="3">
        <v>0.32572621099999999</v>
      </c>
      <c r="P805" s="3">
        <v>0.46126827599999998</v>
      </c>
      <c r="Q805" s="3"/>
    </row>
    <row r="806" spans="1:17" x14ac:dyDescent="0.25">
      <c r="A806" s="3" t="s">
        <v>140</v>
      </c>
      <c r="B806" s="3" t="s">
        <v>48</v>
      </c>
      <c r="C806" s="3">
        <v>2021</v>
      </c>
      <c r="D806" s="3">
        <v>7.2770000000000001</v>
      </c>
      <c r="E806" s="3">
        <v>1.4</v>
      </c>
      <c r="F806" s="3">
        <v>3.9409999999999998</v>
      </c>
      <c r="G806" s="3">
        <v>8.5472249999999992</v>
      </c>
      <c r="H806" s="3">
        <v>1.758</v>
      </c>
      <c r="I806" s="3">
        <v>3.7120000000000002</v>
      </c>
      <c r="J806" s="3">
        <v>5.70874623007278</v>
      </c>
      <c r="K806" s="3">
        <v>4.3276525120332003</v>
      </c>
      <c r="L806" s="3">
        <v>1.0940000000000001</v>
      </c>
      <c r="M806" s="3">
        <v>0.78500000000000003</v>
      </c>
      <c r="N806" s="3">
        <v>0.66500000000000004</v>
      </c>
      <c r="O806" s="3">
        <v>0.27600000000000002</v>
      </c>
      <c r="P806" s="3">
        <v>0.44500000000000001</v>
      </c>
      <c r="Q806" s="3"/>
    </row>
    <row r="807" spans="1:17" x14ac:dyDescent="0.25">
      <c r="A807" s="3" t="s">
        <v>140</v>
      </c>
      <c r="B807" s="3" t="s">
        <v>48</v>
      </c>
      <c r="C807" s="3">
        <v>2022</v>
      </c>
      <c r="D807" s="3">
        <v>7.2</v>
      </c>
      <c r="E807" s="3">
        <v>1.8520000000000001</v>
      </c>
      <c r="F807" s="3">
        <v>7.1722250000000001</v>
      </c>
      <c r="G807" s="3">
        <v>13.678422477585899</v>
      </c>
      <c r="H807" s="3">
        <v>8.6606719999999999</v>
      </c>
      <c r="I807" s="3">
        <v>6.0013368983957198</v>
      </c>
      <c r="J807" s="3">
        <v>9.3482034233652804</v>
      </c>
      <c r="K807" s="3">
        <v>5.3449514892012697</v>
      </c>
      <c r="L807" s="3">
        <v>1.2350000000000001</v>
      </c>
      <c r="M807" s="3">
        <v>0.752</v>
      </c>
      <c r="N807" s="3">
        <v>0.68</v>
      </c>
      <c r="O807" s="3">
        <v>0.245</v>
      </c>
      <c r="P807" s="3">
        <v>0.48299999999999998</v>
      </c>
      <c r="Q807" s="3"/>
    </row>
    <row r="808" spans="1:17" x14ac:dyDescent="0.25">
      <c r="A808" s="3" t="s">
        <v>140</v>
      </c>
      <c r="B808" s="3" t="s">
        <v>48</v>
      </c>
      <c r="C808" s="3">
        <v>2023</v>
      </c>
      <c r="D808" s="3">
        <v>7.1230000000000002</v>
      </c>
      <c r="E808" s="3">
        <v>1.8420000000000001</v>
      </c>
      <c r="F808" s="3">
        <v>5.7331628303495696</v>
      </c>
      <c r="G808" s="3">
        <v>0.53434417978127602</v>
      </c>
      <c r="H808" s="3">
        <v>9.8867962640884102</v>
      </c>
      <c r="I808" s="3">
        <v>5.6471893957547703</v>
      </c>
      <c r="J808" s="3">
        <v>2.22471489998162</v>
      </c>
      <c r="K808" s="3">
        <v>6.4779901779292697</v>
      </c>
      <c r="L808" s="3">
        <v>1.544</v>
      </c>
      <c r="M808" s="3">
        <v>0.51300000000000001</v>
      </c>
      <c r="N808" s="3">
        <v>0.67200000000000004</v>
      </c>
      <c r="O808" s="3">
        <v>0.23</v>
      </c>
      <c r="P808" s="3">
        <v>0.47099999999999997</v>
      </c>
      <c r="Q808" s="3"/>
    </row>
    <row r="809" spans="1:17" x14ac:dyDescent="0.25">
      <c r="A809" s="3" t="s">
        <v>141</v>
      </c>
      <c r="B809" s="3" t="s">
        <v>45</v>
      </c>
      <c r="C809" s="3">
        <v>2015</v>
      </c>
      <c r="D809" s="3">
        <v>5.8280000000000003</v>
      </c>
      <c r="E809" s="3">
        <v>0.59325000000000006</v>
      </c>
      <c r="F809" s="3">
        <v>3.9904587268829301</v>
      </c>
      <c r="G809" s="3">
        <v>-0.61862927675247104</v>
      </c>
      <c r="H809" s="3">
        <v>4.743408203125</v>
      </c>
      <c r="I809" s="3">
        <v>6.4133810997009197</v>
      </c>
      <c r="J809" s="3">
        <v>2.6879127025604199</v>
      </c>
      <c r="K809" s="3">
        <v>7.5889660981259199</v>
      </c>
      <c r="L809" s="3">
        <v>1.14184</v>
      </c>
      <c r="M809" s="3">
        <v>0.74314000000000002</v>
      </c>
      <c r="N809" s="3">
        <v>0.55474999999999997</v>
      </c>
      <c r="O809" s="3">
        <v>0.27815000000000001</v>
      </c>
      <c r="P809" s="3">
        <v>0.19317000000000001</v>
      </c>
      <c r="Q809" s="3"/>
    </row>
    <row r="810" spans="1:17" x14ac:dyDescent="0.25">
      <c r="A810" s="3" t="s">
        <v>141</v>
      </c>
      <c r="B810" s="3" t="s">
        <v>45</v>
      </c>
      <c r="C810" s="3">
        <v>2016</v>
      </c>
      <c r="D810" s="3">
        <v>5.992</v>
      </c>
      <c r="E810" s="3">
        <v>0.69384000000000001</v>
      </c>
      <c r="F810" s="3">
        <v>3.52036356925964</v>
      </c>
      <c r="G810" s="3">
        <v>3.8150243759155198</v>
      </c>
      <c r="H810" s="3">
        <v>1.51934266090393</v>
      </c>
      <c r="I810" s="3">
        <v>4.4134759902954102</v>
      </c>
      <c r="J810" s="3">
        <v>0.17627760767936701</v>
      </c>
      <c r="K810" s="3">
        <v>4.5895799898226697</v>
      </c>
      <c r="L810" s="3">
        <v>0.89520999999999995</v>
      </c>
      <c r="M810" s="3">
        <v>0.65212999999999999</v>
      </c>
      <c r="N810" s="3">
        <v>0.46582000000000001</v>
      </c>
      <c r="O810" s="3">
        <v>0.29772999999999999</v>
      </c>
      <c r="P810" s="3">
        <v>0.16292000000000001</v>
      </c>
      <c r="Q810" s="3"/>
    </row>
    <row r="811" spans="1:17" x14ac:dyDescent="0.25">
      <c r="A811" s="3" t="s">
        <v>141</v>
      </c>
      <c r="B811" s="3" t="s">
        <v>45</v>
      </c>
      <c r="C811" s="3">
        <v>2017</v>
      </c>
      <c r="D811" s="3">
        <v>6.0710000989999999</v>
      </c>
      <c r="E811" s="3">
        <v>0.73729920400000004</v>
      </c>
      <c r="F811" s="3">
        <v>3.851</v>
      </c>
      <c r="G811" s="3">
        <v>9.1402931213378906</v>
      </c>
      <c r="H811" s="3">
        <v>0.58016109466552701</v>
      </c>
      <c r="I811" s="3">
        <v>4.1623549461364702</v>
      </c>
      <c r="J811" s="3">
        <v>6.4702901840209899</v>
      </c>
      <c r="K811" s="3">
        <v>4.12386085068957</v>
      </c>
      <c r="L811" s="3">
        <v>1.2872157099999999</v>
      </c>
      <c r="M811" s="3">
        <v>0.653095961</v>
      </c>
      <c r="N811" s="3">
        <v>0.447551847</v>
      </c>
      <c r="O811" s="3">
        <v>0.30167421700000002</v>
      </c>
      <c r="P811" s="3">
        <v>0.13068798200000001</v>
      </c>
      <c r="Q811" s="3"/>
    </row>
    <row r="812" spans="1:17" x14ac:dyDescent="0.25">
      <c r="A812" s="3" t="s">
        <v>141</v>
      </c>
      <c r="B812" s="3" t="s">
        <v>45</v>
      </c>
      <c r="C812" s="3">
        <v>2018</v>
      </c>
      <c r="D812" s="3">
        <v>6.141</v>
      </c>
      <c r="E812" s="3">
        <v>0.66800000000000004</v>
      </c>
      <c r="F812" s="3">
        <v>4.9400000000000004</v>
      </c>
      <c r="G812" s="3">
        <v>7.1160163879394496</v>
      </c>
      <c r="H812" s="3">
        <v>4.1846966743469203</v>
      </c>
      <c r="I812" s="3">
        <v>4.1263680458068803</v>
      </c>
      <c r="J812" s="3">
        <v>3.7233293056488002</v>
      </c>
      <c r="K812" s="3">
        <v>3.59211217993359</v>
      </c>
      <c r="L812" s="3">
        <v>1.319</v>
      </c>
      <c r="M812" s="3">
        <v>0.7</v>
      </c>
      <c r="N812" s="3">
        <v>0.52700000000000002</v>
      </c>
      <c r="O812" s="3">
        <v>0.20799999999999999</v>
      </c>
      <c r="P812" s="3">
        <v>0.128</v>
      </c>
      <c r="Q812" s="3"/>
    </row>
    <row r="813" spans="1:17" x14ac:dyDescent="0.25">
      <c r="A813" s="3" t="s">
        <v>141</v>
      </c>
      <c r="B813" s="3" t="s">
        <v>45</v>
      </c>
      <c r="C813" s="3">
        <v>2019</v>
      </c>
      <c r="D813" s="3">
        <v>6.1050000000000004</v>
      </c>
      <c r="E813" s="3">
        <v>0.69399999999999995</v>
      </c>
      <c r="F813" s="3">
        <v>5.3759999275207502</v>
      </c>
      <c r="G813" s="3">
        <v>5.1820249557495099</v>
      </c>
      <c r="H813" s="3">
        <v>4.5771751403808496</v>
      </c>
      <c r="I813" s="3">
        <v>5.78830862045288</v>
      </c>
      <c r="J813" s="3">
        <v>2.4580000000000002</v>
      </c>
      <c r="K813" s="3">
        <v>4.6680776870830902</v>
      </c>
      <c r="L813" s="3">
        <v>1.325</v>
      </c>
      <c r="M813" s="3">
        <v>0.83499999999999996</v>
      </c>
      <c r="N813" s="3">
        <v>0.435</v>
      </c>
      <c r="O813" s="3">
        <v>0.2</v>
      </c>
      <c r="P813" s="3">
        <v>0.127</v>
      </c>
      <c r="Q813" s="3"/>
    </row>
    <row r="814" spans="1:17" x14ac:dyDescent="0.25">
      <c r="A814" s="3" t="s">
        <v>141</v>
      </c>
      <c r="B814" s="3" t="s">
        <v>45</v>
      </c>
      <c r="C814" s="3">
        <v>2020</v>
      </c>
      <c r="D814" s="3">
        <v>6.1371002199999998</v>
      </c>
      <c r="E814" s="3">
        <v>0.62003314499999995</v>
      </c>
      <c r="F814" s="3">
        <v>3.6818134162551499</v>
      </c>
      <c r="G814" s="3">
        <v>4.6486297883946701</v>
      </c>
      <c r="H814" s="3">
        <v>5.13203581820762</v>
      </c>
      <c r="I814" s="3">
        <v>3.59531160266563</v>
      </c>
      <c r="J814" s="3">
        <v>3.98601172165916</v>
      </c>
      <c r="K814" s="3">
        <v>3.7049007786051402</v>
      </c>
      <c r="L814" s="3">
        <v>1.2708127499999999</v>
      </c>
      <c r="M814" s="3">
        <v>0.80309325499999995</v>
      </c>
      <c r="N814" s="3">
        <v>0.56011730400000004</v>
      </c>
      <c r="O814" s="3">
        <v>0.212871477</v>
      </c>
      <c r="P814" s="3">
        <v>0.17408457399999999</v>
      </c>
      <c r="Q814" s="3"/>
    </row>
    <row r="815" spans="1:17" x14ac:dyDescent="0.25">
      <c r="A815" s="3" t="s">
        <v>141</v>
      </c>
      <c r="B815" s="3" t="s">
        <v>45</v>
      </c>
      <c r="C815" s="3">
        <v>2021</v>
      </c>
      <c r="D815" s="3">
        <v>5.9720000000000004</v>
      </c>
      <c r="E815" s="3">
        <v>0.69299999999999995</v>
      </c>
      <c r="F815" s="3">
        <v>4.9284139694896103</v>
      </c>
      <c r="G815" s="3">
        <v>2.21</v>
      </c>
      <c r="H815" s="3">
        <v>6.38</v>
      </c>
      <c r="I815" s="3">
        <v>4.3563995431156703</v>
      </c>
      <c r="J815" s="3">
        <v>9.0552407049884795</v>
      </c>
      <c r="K815" s="3">
        <v>3.3280886352408801</v>
      </c>
      <c r="L815" s="3">
        <v>0.90400000000000003</v>
      </c>
      <c r="M815" s="3">
        <v>0.60399999999999998</v>
      </c>
      <c r="N815" s="3">
        <v>0.55300000000000005</v>
      </c>
      <c r="O815" s="3">
        <v>0.20100000000000001</v>
      </c>
      <c r="P815" s="3">
        <v>0.17599999999999999</v>
      </c>
      <c r="Q815" s="3"/>
    </row>
    <row r="816" spans="1:17" x14ac:dyDescent="0.25">
      <c r="A816" s="3" t="s">
        <v>141</v>
      </c>
      <c r="B816" s="3" t="s">
        <v>45</v>
      </c>
      <c r="C816" s="3">
        <v>2022</v>
      </c>
      <c r="D816" s="3">
        <v>6.165</v>
      </c>
      <c r="E816" s="3">
        <v>1.105</v>
      </c>
      <c r="F816" s="3">
        <v>10.4674244465991</v>
      </c>
      <c r="G816" s="3">
        <v>6.4901042132563997</v>
      </c>
      <c r="H816" s="3">
        <v>14.666255221658201</v>
      </c>
      <c r="I816" s="3">
        <v>8.2393291595955702</v>
      </c>
      <c r="J816" s="3">
        <v>19.3449831534463</v>
      </c>
      <c r="K816" s="3">
        <v>8.9234984538987607</v>
      </c>
      <c r="L816" s="3">
        <v>1.0289999999999999</v>
      </c>
      <c r="M816" s="3">
        <v>0.61699999999999999</v>
      </c>
      <c r="N816" s="3">
        <v>0.61699999999999999</v>
      </c>
      <c r="O816" s="3">
        <v>0.16800000000000001</v>
      </c>
      <c r="P816" s="3">
        <v>0.21199999999999999</v>
      </c>
      <c r="Q816" s="3"/>
    </row>
    <row r="817" spans="1:17" x14ac:dyDescent="0.25">
      <c r="A817" s="3" t="s">
        <v>141</v>
      </c>
      <c r="B817" s="3" t="s">
        <v>45</v>
      </c>
      <c r="C817" s="3">
        <v>2023</v>
      </c>
      <c r="D817" s="3">
        <v>6.2590000000000003</v>
      </c>
      <c r="E817" s="3">
        <v>1.109</v>
      </c>
      <c r="F817" s="3">
        <v>9.3422832808478695</v>
      </c>
      <c r="G817" s="3">
        <v>2.6753111731339998</v>
      </c>
      <c r="H817" s="3">
        <v>10.8523935313446</v>
      </c>
      <c r="I817" s="3">
        <v>7.6049434767714601</v>
      </c>
      <c r="J817" s="5"/>
      <c r="K817" s="3">
        <v>10.721475718264999</v>
      </c>
      <c r="L817" s="3">
        <v>1.292</v>
      </c>
      <c r="M817" s="3">
        <v>0.38500000000000001</v>
      </c>
      <c r="N817" s="3">
        <v>0.66</v>
      </c>
      <c r="O817" s="3">
        <v>0.14799999999999999</v>
      </c>
      <c r="P817" s="3">
        <v>0.218</v>
      </c>
      <c r="Q817" s="3"/>
    </row>
    <row r="818" spans="1:17" x14ac:dyDescent="0.25">
      <c r="A818" s="3" t="s">
        <v>142</v>
      </c>
      <c r="B818" s="3" t="s">
        <v>43</v>
      </c>
      <c r="C818" s="3">
        <v>2015</v>
      </c>
      <c r="D818" s="3">
        <v>3.8450000000000002</v>
      </c>
      <c r="E818" s="3">
        <v>6.9400000000000003E-2</v>
      </c>
      <c r="F818" s="3">
        <v>1.0060000419616699</v>
      </c>
      <c r="G818" s="3">
        <v>2.4300000667571999</v>
      </c>
      <c r="H818" s="3">
        <v>0.458371222019195</v>
      </c>
      <c r="I818" s="5"/>
      <c r="J818" s="5"/>
      <c r="K818" s="3">
        <v>2.5789905621665898</v>
      </c>
      <c r="L818" s="3">
        <v>0.77264999999999995</v>
      </c>
      <c r="M818" s="3">
        <v>0.29707</v>
      </c>
      <c r="N818" s="3">
        <v>0.47692000000000001</v>
      </c>
      <c r="O818" s="3">
        <v>0.19386999999999999</v>
      </c>
      <c r="P818" s="3">
        <v>0.15639</v>
      </c>
      <c r="Q818" s="3"/>
    </row>
    <row r="819" spans="1:17" x14ac:dyDescent="0.25">
      <c r="A819" s="3" t="s">
        <v>142</v>
      </c>
      <c r="B819" s="3" t="s">
        <v>43</v>
      </c>
      <c r="C819" s="3">
        <v>2016</v>
      </c>
      <c r="D819" s="3">
        <v>3.8559999999999999</v>
      </c>
      <c r="E819" s="3">
        <v>0.13270000000000001</v>
      </c>
      <c r="F819" s="3">
        <v>0.177000001072883</v>
      </c>
      <c r="G819" s="3">
        <v>2.3699998855590798</v>
      </c>
      <c r="H819" s="3">
        <v>-1.2053923606872501</v>
      </c>
      <c r="I819" s="5"/>
      <c r="J819" s="5"/>
      <c r="K819" s="3">
        <v>1.35308118487108</v>
      </c>
      <c r="L819" s="3">
        <v>0.60529999999999995</v>
      </c>
      <c r="M819" s="3">
        <v>0.26162000000000002</v>
      </c>
      <c r="N819" s="3">
        <v>0.38041000000000003</v>
      </c>
      <c r="O819" s="3">
        <v>0.2097</v>
      </c>
      <c r="P819" s="3">
        <v>0.17176</v>
      </c>
      <c r="Q819" s="3"/>
    </row>
    <row r="820" spans="1:17" x14ac:dyDescent="0.25">
      <c r="A820" s="3" t="s">
        <v>142</v>
      </c>
      <c r="B820" s="3" t="s">
        <v>43</v>
      </c>
      <c r="C820" s="3">
        <v>2017</v>
      </c>
      <c r="D820" s="3">
        <v>4.0279998780000001</v>
      </c>
      <c r="E820" s="3">
        <v>0.16192533100000001</v>
      </c>
      <c r="F820" s="3">
        <v>0.19500000000000001</v>
      </c>
      <c r="G820" s="3">
        <v>6.2399997711181596</v>
      </c>
      <c r="H820" s="3">
        <v>0.75136095285415605</v>
      </c>
      <c r="I820" s="5"/>
      <c r="J820" s="5"/>
      <c r="K820" s="3">
        <v>0.84955647429129999</v>
      </c>
      <c r="L820" s="3">
        <v>0.99302500500000002</v>
      </c>
      <c r="M820" s="3">
        <v>0.26850500700000002</v>
      </c>
      <c r="N820" s="3">
        <v>0.363658696</v>
      </c>
      <c r="O820" s="3">
        <v>0.22867384599999999</v>
      </c>
      <c r="P820" s="3">
        <v>0.138572946</v>
      </c>
      <c r="Q820" s="3"/>
    </row>
    <row r="821" spans="1:17" x14ac:dyDescent="0.25">
      <c r="A821" s="3" t="s">
        <v>142</v>
      </c>
      <c r="B821" s="3" t="s">
        <v>43</v>
      </c>
      <c r="C821" s="3">
        <v>2018</v>
      </c>
      <c r="D821" s="3">
        <v>4.1660000000000004</v>
      </c>
      <c r="E821" s="3">
        <v>0.13100000000000001</v>
      </c>
      <c r="F821" s="3">
        <v>3.01</v>
      </c>
      <c r="G821" s="3">
        <v>15.6992532247115</v>
      </c>
      <c r="H821" s="3">
        <v>-0.57358327956295496</v>
      </c>
      <c r="I821" s="5"/>
      <c r="J821" s="5"/>
      <c r="K821" s="3">
        <v>2.4283813400125198</v>
      </c>
      <c r="L821" s="3">
        <v>0.86699999999999999</v>
      </c>
      <c r="M821" s="3">
        <v>0.221</v>
      </c>
      <c r="N821" s="3">
        <v>0.39</v>
      </c>
      <c r="O821" s="3">
        <v>0.17499999999999999</v>
      </c>
      <c r="P821" s="3">
        <v>9.9000000000000005E-2</v>
      </c>
    </row>
    <row r="822" spans="1:17" x14ac:dyDescent="0.25">
      <c r="A822" s="3" t="s">
        <v>142</v>
      </c>
      <c r="B822" s="3" t="s">
        <v>43</v>
      </c>
      <c r="C822" s="3">
        <v>2019</v>
      </c>
      <c r="D822" s="3">
        <v>4.6280000000000001</v>
      </c>
      <c r="E822" s="3">
        <v>0.13800000000000001</v>
      </c>
      <c r="F822" s="3">
        <v>-2.5199999809265101</v>
      </c>
      <c r="G822" s="3">
        <v>2.9191726565938199</v>
      </c>
      <c r="H822" s="3">
        <v>-4.5895849394242898</v>
      </c>
      <c r="I822" s="5"/>
      <c r="J822" s="5"/>
      <c r="K822" s="3">
        <v>0.123220938007455</v>
      </c>
      <c r="L822" s="3">
        <v>0.77400000000000002</v>
      </c>
      <c r="M822" s="3">
        <v>0.36599999999999999</v>
      </c>
      <c r="N822" s="3">
        <v>0.318</v>
      </c>
      <c r="O822" s="3">
        <v>0.188</v>
      </c>
      <c r="P822" s="3">
        <v>0.10199999999999999</v>
      </c>
      <c r="Q822" s="3"/>
    </row>
    <row r="823" spans="1:17" x14ac:dyDescent="0.25">
      <c r="A823" s="3" t="s">
        <v>142</v>
      </c>
      <c r="B823" s="3" t="s">
        <v>43</v>
      </c>
      <c r="C823" s="3">
        <v>2020</v>
      </c>
      <c r="D823" s="3">
        <v>4.9095997809999998</v>
      </c>
      <c r="E823" s="3">
        <v>0.108330332</v>
      </c>
      <c r="F823" s="3">
        <v>2.762</v>
      </c>
      <c r="G823" s="3">
        <v>-0.163911060433304</v>
      </c>
      <c r="H823" s="3">
        <v>-0.20518085610488301</v>
      </c>
      <c r="I823" s="5"/>
      <c r="J823" s="5"/>
      <c r="K823" s="3">
        <v>2.8363178431391201</v>
      </c>
      <c r="L823" s="3">
        <v>0.70380014199999996</v>
      </c>
      <c r="M823" s="3">
        <v>0.29881635299999998</v>
      </c>
      <c r="N823" s="3">
        <v>0.43531161499999999</v>
      </c>
      <c r="O823" s="3">
        <v>0.208176896</v>
      </c>
      <c r="P823" s="3">
        <v>0.137554765</v>
      </c>
      <c r="Q823" s="3"/>
    </row>
    <row r="824" spans="1:17" x14ac:dyDescent="0.25">
      <c r="A824" s="3" t="s">
        <v>142</v>
      </c>
      <c r="B824" s="3" t="s">
        <v>43</v>
      </c>
      <c r="C824" s="3">
        <v>2021</v>
      </c>
      <c r="D824" s="3">
        <v>5.0739999999999998</v>
      </c>
      <c r="E824" s="3">
        <v>0.16200000000000001</v>
      </c>
      <c r="F824" s="3">
        <v>3.8378680284050302</v>
      </c>
      <c r="G824" s="3">
        <v>0.63</v>
      </c>
      <c r="H824" s="3">
        <v>7.47</v>
      </c>
      <c r="I824" s="5"/>
      <c r="J824" s="5"/>
      <c r="K824" s="3">
        <v>3.1186406629016501</v>
      </c>
      <c r="L824" s="3">
        <v>0.40200000000000002</v>
      </c>
      <c r="M824" s="3">
        <v>0.16700000000000001</v>
      </c>
      <c r="N824" s="3">
        <v>0.51600000000000001</v>
      </c>
      <c r="O824" s="3">
        <v>0.2</v>
      </c>
      <c r="P824" s="3">
        <v>0.157</v>
      </c>
      <c r="Q824" s="3"/>
    </row>
    <row r="825" spans="1:17" x14ac:dyDescent="0.25">
      <c r="A825" s="3" t="s">
        <v>142</v>
      </c>
      <c r="B825" s="3" t="s">
        <v>43</v>
      </c>
      <c r="C825" s="3">
        <v>2022</v>
      </c>
      <c r="D825" s="3">
        <v>5.0030000000000001</v>
      </c>
      <c r="E825" s="3">
        <v>0.56999999999999995</v>
      </c>
      <c r="F825" s="3">
        <v>4.2262179191639602</v>
      </c>
      <c r="G825" s="3">
        <v>1.2706502909333199</v>
      </c>
      <c r="H825" s="3">
        <v>8.4131896081749495</v>
      </c>
      <c r="I825" s="5"/>
      <c r="J825" s="5"/>
      <c r="K825" s="3">
        <v>11.8416638711841</v>
      </c>
      <c r="L825" s="3">
        <v>0.56000000000000005</v>
      </c>
      <c r="M825" s="3">
        <v>0.32600000000000001</v>
      </c>
      <c r="N825" s="3">
        <v>0.57099999999999995</v>
      </c>
      <c r="O825" s="3">
        <v>0.16500000000000001</v>
      </c>
      <c r="P825" s="3">
        <v>0.14499999999999999</v>
      </c>
      <c r="Q825" s="3"/>
    </row>
    <row r="826" spans="1:17" x14ac:dyDescent="0.25">
      <c r="A826" s="3" t="s">
        <v>142</v>
      </c>
      <c r="B826" s="3" t="s">
        <v>43</v>
      </c>
      <c r="C826" s="3">
        <v>2023</v>
      </c>
      <c r="D826" s="3">
        <v>4.5010000000000003</v>
      </c>
      <c r="E826" s="3">
        <v>0.56100000000000005</v>
      </c>
      <c r="F826" s="3">
        <v>3.70097316425842</v>
      </c>
      <c r="G826" s="3">
        <v>5.4092672847571501</v>
      </c>
      <c r="H826" s="3">
        <v>4.2905453008313303</v>
      </c>
      <c r="I826" s="5"/>
      <c r="J826" s="5"/>
      <c r="K826" s="3">
        <v>2.80037408904025</v>
      </c>
      <c r="L826" s="3">
        <v>0.628</v>
      </c>
      <c r="M826" s="3">
        <v>0.13700000000000001</v>
      </c>
      <c r="N826" s="3">
        <v>0.54</v>
      </c>
      <c r="O826" s="3">
        <v>0.154</v>
      </c>
      <c r="P826" s="3">
        <v>0.14000000000000001</v>
      </c>
      <c r="Q826" s="3"/>
    </row>
    <row r="827" spans="1:17" x14ac:dyDescent="0.25">
      <c r="A827" s="3" t="s">
        <v>143</v>
      </c>
      <c r="B827" s="3" t="s">
        <v>43</v>
      </c>
      <c r="C827" s="3">
        <v>2015</v>
      </c>
      <c r="D827" s="3">
        <v>5.2679999999999998</v>
      </c>
      <c r="E827" s="3">
        <v>0.65434999999999999</v>
      </c>
      <c r="F827" s="3">
        <v>9.0119466781616193</v>
      </c>
      <c r="G827" s="3">
        <v>7.1963973045349103</v>
      </c>
      <c r="H827" s="3">
        <v>9.8627796173095703</v>
      </c>
      <c r="I827" s="3">
        <v>8.1610517501831001</v>
      </c>
      <c r="J827" s="5"/>
      <c r="K827" s="3">
        <v>2.8642965957254001</v>
      </c>
      <c r="L827" s="3">
        <v>0.90432000000000001</v>
      </c>
      <c r="M827" s="3">
        <v>0.16006999999999999</v>
      </c>
      <c r="N827" s="3">
        <v>0.34333999999999998</v>
      </c>
      <c r="O827" s="3">
        <v>0.27233000000000002</v>
      </c>
      <c r="P827" s="3">
        <v>4.0300000000000002E-2</v>
      </c>
      <c r="Q827" s="3"/>
    </row>
    <row r="828" spans="1:17" x14ac:dyDescent="0.25">
      <c r="A828" s="3" t="s">
        <v>143</v>
      </c>
      <c r="B828" s="3" t="s">
        <v>43</v>
      </c>
      <c r="C828" s="3">
        <v>2016</v>
      </c>
      <c r="D828" s="3">
        <v>4.875</v>
      </c>
      <c r="E828" s="3">
        <v>0.75216000000000005</v>
      </c>
      <c r="F828" s="3">
        <v>15.6871175765991</v>
      </c>
      <c r="G828" s="3">
        <v>21.909582138061499</v>
      </c>
      <c r="H828" s="3">
        <v>14.8309116363525</v>
      </c>
      <c r="I828" s="3">
        <v>12.590518951416</v>
      </c>
      <c r="J828" s="5"/>
      <c r="K828" s="3">
        <v>9.5435350010264397</v>
      </c>
      <c r="L828" s="3">
        <v>0.64498</v>
      </c>
      <c r="M828" s="3">
        <v>5.108E-2</v>
      </c>
      <c r="N828" s="3">
        <v>0.27854000000000001</v>
      </c>
      <c r="O828" s="3">
        <v>0.23219000000000001</v>
      </c>
      <c r="P828" s="3">
        <v>3.0499999999999999E-2</v>
      </c>
      <c r="Q828" s="3"/>
    </row>
    <row r="829" spans="1:17" x14ac:dyDescent="0.25">
      <c r="A829" s="3" t="s">
        <v>143</v>
      </c>
      <c r="B829" s="3" t="s">
        <v>43</v>
      </c>
      <c r="C829" s="3">
        <v>2017</v>
      </c>
      <c r="D829" s="3">
        <v>5.0739998819999999</v>
      </c>
      <c r="E829" s="3">
        <v>0.78375625599999998</v>
      </c>
      <c r="F829" s="3">
        <v>16.501999999999999</v>
      </c>
      <c r="G829" s="3">
        <v>12.857774734496999</v>
      </c>
      <c r="H829" s="3">
        <v>19.447509765625</v>
      </c>
      <c r="I829" s="3">
        <v>12.964857101440399</v>
      </c>
      <c r="J829" s="5"/>
      <c r="K829" s="3">
        <v>11.1188450804146</v>
      </c>
      <c r="L829" s="3">
        <v>1.215770483</v>
      </c>
      <c r="M829" s="3">
        <v>5.6915729999999998E-2</v>
      </c>
      <c r="N829" s="3">
        <v>0.39495256499999998</v>
      </c>
      <c r="O829" s="3">
        <v>0.23094719599999999</v>
      </c>
      <c r="P829" s="3">
        <v>2.6121565999999999E-2</v>
      </c>
      <c r="Q829" s="3"/>
    </row>
    <row r="830" spans="1:17" x14ac:dyDescent="0.25">
      <c r="A830" s="3" t="s">
        <v>143</v>
      </c>
      <c r="B830" s="3" t="s">
        <v>43</v>
      </c>
      <c r="C830" s="3">
        <v>2018</v>
      </c>
      <c r="D830" s="3">
        <v>5.1550000000000002</v>
      </c>
      <c r="E830" s="3">
        <v>0.68899999999999995</v>
      </c>
      <c r="F830" s="3">
        <v>12.1</v>
      </c>
      <c r="G830" s="3">
        <v>7.3962554931640598</v>
      </c>
      <c r="H830" s="3">
        <v>14.317079544067299</v>
      </c>
      <c r="I830" s="3">
        <v>11.1877279281616</v>
      </c>
      <c r="J830" s="5"/>
      <c r="K830" s="3">
        <v>10.228518424824999</v>
      </c>
      <c r="L830" s="3">
        <v>1.1719999999999999</v>
      </c>
      <c r="M830" s="3">
        <v>4.8000000000000001E-2</v>
      </c>
      <c r="N830" s="3">
        <v>0.46200000000000002</v>
      </c>
      <c r="O830" s="3">
        <v>0.20100000000000001</v>
      </c>
      <c r="P830" s="3">
        <v>3.2000000000000001E-2</v>
      </c>
      <c r="Q830" s="3"/>
    </row>
    <row r="831" spans="1:17" x14ac:dyDescent="0.25">
      <c r="A831" s="3" t="s">
        <v>143</v>
      </c>
      <c r="B831" s="3" t="s">
        <v>43</v>
      </c>
      <c r="C831" s="3">
        <v>2019</v>
      </c>
      <c r="D831" s="3">
        <v>5.2649999999999997</v>
      </c>
      <c r="E831" s="3">
        <v>0.69599999999999995</v>
      </c>
      <c r="F831" s="3">
        <v>11.397000312805099</v>
      </c>
      <c r="G831" s="3">
        <v>7.3524279594421298</v>
      </c>
      <c r="H831" s="3">
        <v>13.6811113357543</v>
      </c>
      <c r="I831" s="3">
        <v>9.7633399963378906</v>
      </c>
      <c r="J831" s="5"/>
      <c r="K831" s="3">
        <v>10.384791921664601</v>
      </c>
      <c r="L831" s="3">
        <v>1.111</v>
      </c>
      <c r="M831" s="3">
        <v>0.245</v>
      </c>
      <c r="N831" s="3">
        <v>0.42599999999999999</v>
      </c>
      <c r="O831" s="3">
        <v>0.215</v>
      </c>
      <c r="P831" s="3">
        <v>4.1000000000000002E-2</v>
      </c>
      <c r="Q831" s="3"/>
    </row>
    <row r="832" spans="1:17" x14ac:dyDescent="0.25">
      <c r="A832" s="3" t="s">
        <v>143</v>
      </c>
      <c r="B832" s="3" t="s">
        <v>43</v>
      </c>
      <c r="C832" s="3">
        <v>2020</v>
      </c>
      <c r="D832" s="3">
        <v>4.7241001130000004</v>
      </c>
      <c r="E832" s="3">
        <v>0.64590185899999997</v>
      </c>
      <c r="F832" s="3">
        <v>13.247</v>
      </c>
      <c r="G832" s="3">
        <v>8.1253261566162092</v>
      </c>
      <c r="H832" s="3">
        <v>16.082595825195298</v>
      </c>
      <c r="I832" s="3">
        <v>10.850512504577599</v>
      </c>
      <c r="J832" s="5"/>
      <c r="K832" s="3">
        <v>7.8489998168434596</v>
      </c>
      <c r="L832" s="3">
        <v>0.98671793900000004</v>
      </c>
      <c r="M832" s="3">
        <v>0.16783593599999999</v>
      </c>
      <c r="N832" s="3">
        <v>0.435079455</v>
      </c>
      <c r="O832" s="3">
        <v>0.22132812399999999</v>
      </c>
      <c r="P832" s="3">
        <v>4.7589935E-2</v>
      </c>
      <c r="Q832" s="3"/>
    </row>
    <row r="833" spans="1:17" x14ac:dyDescent="0.25">
      <c r="A833" s="3" t="s">
        <v>143</v>
      </c>
      <c r="B833" s="3" t="s">
        <v>43</v>
      </c>
      <c r="C833" s="3">
        <v>2021</v>
      </c>
      <c r="D833" s="3">
        <v>4.7590000000000003</v>
      </c>
      <c r="E833" s="3">
        <v>0.66300000000000003</v>
      </c>
      <c r="F833" s="3">
        <v>16.952790783419399</v>
      </c>
      <c r="G833" s="3">
        <v>10.220000000000001</v>
      </c>
      <c r="H833" s="3">
        <v>20.3</v>
      </c>
      <c r="I833" s="3">
        <v>13.748034903007101</v>
      </c>
      <c r="J833" s="5"/>
      <c r="K833" s="3">
        <v>10.1310336860574</v>
      </c>
      <c r="L833" s="3">
        <v>0.625</v>
      </c>
      <c r="M833" s="3">
        <v>5.0999999999999997E-2</v>
      </c>
      <c r="N833" s="3">
        <v>0.433</v>
      </c>
      <c r="O833" s="3">
        <v>0.21199999999999999</v>
      </c>
      <c r="P833" s="3">
        <v>3.9E-2</v>
      </c>
      <c r="Q833" s="3"/>
    </row>
    <row r="834" spans="1:17" x14ac:dyDescent="0.25">
      <c r="A834" s="3" t="s">
        <v>143</v>
      </c>
      <c r="B834" s="3" t="s">
        <v>43</v>
      </c>
      <c r="C834" s="3">
        <v>2022</v>
      </c>
      <c r="D834" s="3">
        <v>4.5519999999999996</v>
      </c>
      <c r="E834" s="3">
        <v>1.079</v>
      </c>
      <c r="F834" s="3">
        <v>18.530788674344599</v>
      </c>
      <c r="G834" s="3">
        <v>13.864232718954501</v>
      </c>
      <c r="H834" s="3">
        <v>19.4500201845925</v>
      </c>
      <c r="I834" s="3">
        <v>16.0141816272859</v>
      </c>
      <c r="J834" s="5"/>
      <c r="K834" s="3">
        <v>11.3851100926051</v>
      </c>
      <c r="L834" s="3">
        <v>0.73199999999999998</v>
      </c>
      <c r="M834" s="3">
        <v>0.3</v>
      </c>
      <c r="N834" s="3">
        <v>0.44400000000000001</v>
      </c>
      <c r="O834" s="3">
        <v>0.17499999999999999</v>
      </c>
      <c r="P834" s="3">
        <v>3.7999999999999999E-2</v>
      </c>
      <c r="Q834" s="3"/>
    </row>
    <row r="835" spans="1:17" x14ac:dyDescent="0.25">
      <c r="A835" s="3" t="s">
        <v>143</v>
      </c>
      <c r="B835" s="3" t="s">
        <v>43</v>
      </c>
      <c r="C835" s="3">
        <v>2023</v>
      </c>
      <c r="D835" s="3">
        <v>4.9809999999999999</v>
      </c>
      <c r="E835" s="3">
        <v>1.0649999999999999</v>
      </c>
      <c r="F835" s="3">
        <v>23.3158919213191</v>
      </c>
      <c r="G835" s="3">
        <v>19.284045803618699</v>
      </c>
      <c r="H835" s="3">
        <v>27.7903741914558</v>
      </c>
      <c r="I835" s="3">
        <v>20.756164575195601</v>
      </c>
      <c r="J835" s="5"/>
      <c r="K835" s="3">
        <v>11.731587643782801</v>
      </c>
      <c r="L835" s="3">
        <v>1.0069999999999999</v>
      </c>
      <c r="M835" s="3">
        <v>9.1999999999999998E-2</v>
      </c>
      <c r="N835" s="3">
        <v>0.44800000000000001</v>
      </c>
      <c r="O835" s="3">
        <v>0.17599999999999999</v>
      </c>
      <c r="P835" s="3">
        <v>1.2999999999999999E-2</v>
      </c>
      <c r="Q835" s="3"/>
    </row>
    <row r="836" spans="1:17" x14ac:dyDescent="0.25">
      <c r="A836" s="3" t="s">
        <v>144</v>
      </c>
      <c r="B836" s="3" t="s">
        <v>39</v>
      </c>
      <c r="C836" s="3">
        <v>2015</v>
      </c>
      <c r="D836" s="3">
        <v>5.0069999999999997</v>
      </c>
      <c r="E836" s="3">
        <v>0.91851000000000005</v>
      </c>
      <c r="F836" s="5"/>
      <c r="G836" s="5"/>
      <c r="H836" s="5"/>
      <c r="I836" s="3">
        <v>0.55195713043212802</v>
      </c>
      <c r="J836" s="3">
        <v>-3.8692529201507502</v>
      </c>
      <c r="K836" s="5"/>
      <c r="L836" s="3">
        <v>1.0023200000000001</v>
      </c>
      <c r="M836" s="3">
        <v>0.73545000000000005</v>
      </c>
      <c r="N836" s="3">
        <v>0.33456999999999998</v>
      </c>
      <c r="O836" s="3">
        <v>0.22359000000000001</v>
      </c>
      <c r="P836" s="3">
        <v>5.3269999999999998E-2</v>
      </c>
      <c r="Q836" s="3"/>
    </row>
    <row r="837" spans="1:17" x14ac:dyDescent="0.25">
      <c r="A837" s="3" t="s">
        <v>144</v>
      </c>
      <c r="B837" s="3" t="s">
        <v>39</v>
      </c>
      <c r="C837" s="3">
        <v>2016</v>
      </c>
      <c r="D837" s="3">
        <v>5.1210000000000004</v>
      </c>
      <c r="E837" s="3">
        <v>1.0193000000000001</v>
      </c>
      <c r="F837" s="5"/>
      <c r="G837" s="5"/>
      <c r="H837" s="5"/>
      <c r="I837" s="3">
        <v>1.39670646190643</v>
      </c>
      <c r="J837" s="3">
        <v>-3.1000120639800999</v>
      </c>
      <c r="K837" s="5"/>
      <c r="L837" s="3">
        <v>0.78236000000000006</v>
      </c>
      <c r="M837" s="3">
        <v>0.64737999999999996</v>
      </c>
      <c r="N837" s="3">
        <v>0.27667999999999998</v>
      </c>
      <c r="O837" s="3">
        <v>0.23507</v>
      </c>
      <c r="P837" s="3">
        <v>7.0470000000000005E-2</v>
      </c>
      <c r="Q837" s="3"/>
    </row>
    <row r="838" spans="1:17" x14ac:dyDescent="0.25">
      <c r="A838" s="3" t="s">
        <v>144</v>
      </c>
      <c r="B838" s="3" t="s">
        <v>39</v>
      </c>
      <c r="C838" s="3">
        <v>2017</v>
      </c>
      <c r="D838" s="3">
        <v>5.1750001909999996</v>
      </c>
      <c r="E838" s="3">
        <v>1.0645779369999999</v>
      </c>
      <c r="F838" s="5"/>
      <c r="G838" s="5"/>
      <c r="H838" s="5"/>
      <c r="I838" s="3">
        <v>2.33039355278015</v>
      </c>
      <c r="J838" s="3">
        <v>4.7901558876037598</v>
      </c>
      <c r="K838" s="5"/>
      <c r="L838" s="3">
        <v>1.2078930139999999</v>
      </c>
      <c r="M838" s="3">
        <v>0.64494818399999998</v>
      </c>
      <c r="N838" s="3">
        <v>0.32590597900000001</v>
      </c>
      <c r="O838" s="3">
        <v>0.25376096399999998</v>
      </c>
      <c r="P838" s="3">
        <v>6.0277794000000003E-2</v>
      </c>
      <c r="Q838" s="3"/>
    </row>
    <row r="839" spans="1:17" x14ac:dyDescent="0.25">
      <c r="A839" s="3" t="s">
        <v>144</v>
      </c>
      <c r="B839" s="3" t="s">
        <v>39</v>
      </c>
      <c r="C839" s="3">
        <v>2018</v>
      </c>
      <c r="D839" s="3">
        <v>5.1849999999999996</v>
      </c>
      <c r="E839" s="3">
        <v>0.95899999999999996</v>
      </c>
      <c r="F839" s="5"/>
      <c r="G839" s="5"/>
      <c r="H839" s="5"/>
      <c r="I839" s="3">
        <v>1.5326414108276301</v>
      </c>
      <c r="J839" s="3">
        <v>0.89455872774124101</v>
      </c>
      <c r="K839" s="5"/>
      <c r="L839" s="3">
        <v>1.2390000000000001</v>
      </c>
      <c r="M839" s="3">
        <v>0.69099999999999995</v>
      </c>
      <c r="N839" s="3">
        <v>0.39400000000000002</v>
      </c>
      <c r="O839" s="3">
        <v>0.17299999999999999</v>
      </c>
      <c r="P839" s="3">
        <v>5.1999999999999998E-2</v>
      </c>
      <c r="Q839" s="3"/>
    </row>
    <row r="840" spans="1:17" x14ac:dyDescent="0.25">
      <c r="A840" s="3" t="s">
        <v>144</v>
      </c>
      <c r="B840" s="3" t="s">
        <v>39</v>
      </c>
      <c r="C840" s="3">
        <v>2019</v>
      </c>
      <c r="D840" s="3">
        <v>5.274</v>
      </c>
      <c r="E840" s="3">
        <v>0.98299999999999998</v>
      </c>
      <c r="F840" s="5"/>
      <c r="G840" s="5"/>
      <c r="H840" s="5"/>
      <c r="I840" s="3">
        <v>0.50047403573989802</v>
      </c>
      <c r="J840" s="3">
        <v>2.0904352664947501</v>
      </c>
      <c r="K840" s="5"/>
      <c r="L840" s="3">
        <v>1.294</v>
      </c>
      <c r="M840" s="3">
        <v>0.83799999999999997</v>
      </c>
      <c r="N840" s="3">
        <v>0.34499999999999997</v>
      </c>
      <c r="O840" s="3">
        <v>0.185</v>
      </c>
      <c r="P840" s="3">
        <v>3.4000000000000002E-2</v>
      </c>
      <c r="Q840" s="3"/>
    </row>
    <row r="841" spans="1:17" x14ac:dyDescent="0.25">
      <c r="A841" s="3" t="s">
        <v>144</v>
      </c>
      <c r="B841" s="3" t="s">
        <v>39</v>
      </c>
      <c r="C841" s="3">
        <v>2020</v>
      </c>
      <c r="D841" s="3">
        <v>5.1598000529999997</v>
      </c>
      <c r="E841" s="3">
        <v>0.93537199500000001</v>
      </c>
      <c r="F841" s="5"/>
      <c r="G841" s="5"/>
      <c r="H841" s="5"/>
      <c r="I841" s="3">
        <v>0.89943838119506803</v>
      </c>
      <c r="J841" s="3">
        <v>0.64536982774734497</v>
      </c>
      <c r="K841" s="5"/>
      <c r="L841" s="3">
        <v>1.1831735370000001</v>
      </c>
      <c r="M841" s="3">
        <v>0.80299413200000003</v>
      </c>
      <c r="N841" s="3">
        <v>0.41022458699999997</v>
      </c>
      <c r="O841" s="3">
        <v>0.18586353999999999</v>
      </c>
      <c r="P841" s="3">
        <v>2.4595058999999999E-2</v>
      </c>
      <c r="Q841" s="3"/>
    </row>
    <row r="842" spans="1:17" x14ac:dyDescent="0.25">
      <c r="A842" s="3" t="s">
        <v>144</v>
      </c>
      <c r="B842" s="3" t="s">
        <v>39</v>
      </c>
      <c r="C842" s="3">
        <v>2021</v>
      </c>
      <c r="D842" s="3">
        <v>5.101</v>
      </c>
      <c r="E842" s="3">
        <v>1.0680000000000001</v>
      </c>
      <c r="F842" s="5"/>
      <c r="G842" s="5"/>
      <c r="H842" s="5"/>
      <c r="I842" s="3">
        <v>2.3539302227826999</v>
      </c>
      <c r="J842" s="3">
        <v>11.1339879632565</v>
      </c>
      <c r="K842" s="5"/>
      <c r="L842" s="3">
        <v>0.77200000000000002</v>
      </c>
      <c r="M842" s="3">
        <v>0.53500000000000003</v>
      </c>
      <c r="N842" s="3">
        <v>0.45</v>
      </c>
      <c r="O842" s="3">
        <v>0.21199999999999999</v>
      </c>
      <c r="P842" s="3">
        <v>2.1999999999999999E-2</v>
      </c>
      <c r="Q842" s="3"/>
    </row>
    <row r="843" spans="1:17" x14ac:dyDescent="0.25">
      <c r="A843" s="3" t="s">
        <v>144</v>
      </c>
      <c r="B843" s="3" t="s">
        <v>39</v>
      </c>
      <c r="C843" s="3">
        <v>2022</v>
      </c>
      <c r="D843" s="3">
        <v>5.1989999999999998</v>
      </c>
      <c r="E843" s="3">
        <v>1.5049999999999999</v>
      </c>
      <c r="F843" s="5"/>
      <c r="G843" s="5"/>
      <c r="H843" s="5"/>
      <c r="I843" s="3">
        <v>12.3379142605607</v>
      </c>
      <c r="J843" s="3">
        <v>18.509992021687399</v>
      </c>
      <c r="K843" s="5"/>
      <c r="L843" s="3">
        <v>0.86299999999999999</v>
      </c>
      <c r="M843" s="3">
        <v>0.63700000000000001</v>
      </c>
      <c r="N843" s="3">
        <v>0.48799999999999999</v>
      </c>
      <c r="O843" s="3">
        <v>0.215</v>
      </c>
      <c r="P843" s="3">
        <v>3.1E-2</v>
      </c>
      <c r="Q843" s="3"/>
    </row>
    <row r="844" spans="1:17" x14ac:dyDescent="0.25">
      <c r="A844" s="3" t="s">
        <v>144</v>
      </c>
      <c r="B844" s="3" t="s">
        <v>39</v>
      </c>
      <c r="C844" s="3">
        <v>2023</v>
      </c>
      <c r="D844" s="3">
        <v>5.2539999999999996</v>
      </c>
      <c r="E844" s="3">
        <v>1.498</v>
      </c>
      <c r="F844" s="5"/>
      <c r="G844" s="5"/>
      <c r="H844" s="5"/>
      <c r="I844" s="3">
        <v>8.1315461223196692</v>
      </c>
      <c r="J844" s="3">
        <v>1.1541732474790301</v>
      </c>
      <c r="K844" s="5"/>
      <c r="L844" s="3">
        <v>1.171</v>
      </c>
      <c r="M844" s="3">
        <v>0.40799999999999997</v>
      </c>
      <c r="N844" s="3">
        <v>0.51500000000000001</v>
      </c>
      <c r="O844" s="3">
        <v>0.20699999999999999</v>
      </c>
      <c r="P844" s="3">
        <v>0.02</v>
      </c>
      <c r="Q844" s="3"/>
    </row>
    <row r="845" spans="1:17" x14ac:dyDescent="0.25">
      <c r="A845" s="3" t="s">
        <v>145</v>
      </c>
      <c r="B845" s="3" t="s">
        <v>50</v>
      </c>
      <c r="C845" s="3">
        <v>2015</v>
      </c>
      <c r="D845" s="3">
        <v>7.5220000000000002</v>
      </c>
      <c r="E845" s="3">
        <v>1.4590000000000001</v>
      </c>
      <c r="F845" s="3">
        <v>2.1711366176605198</v>
      </c>
      <c r="G845" s="3">
        <v>1.30012607574462</v>
      </c>
      <c r="H845" s="3">
        <v>2.8899681568145699</v>
      </c>
      <c r="I845" s="3">
        <v>2.608965</v>
      </c>
      <c r="J845" s="3">
        <v>-8.0952745653671805</v>
      </c>
      <c r="K845" s="3">
        <v>-2.8544445505576199</v>
      </c>
      <c r="L845" s="3">
        <v>1.3309500000000001</v>
      </c>
      <c r="M845" s="3">
        <v>0.88521000000000005</v>
      </c>
      <c r="N845" s="3">
        <v>0.66973000000000005</v>
      </c>
      <c r="O845" s="3">
        <v>0.34699000000000002</v>
      </c>
      <c r="P845" s="3">
        <v>0.36503000000000002</v>
      </c>
      <c r="Q845" s="3"/>
    </row>
    <row r="846" spans="1:17" x14ac:dyDescent="0.25">
      <c r="A846" s="3" t="s">
        <v>145</v>
      </c>
      <c r="B846" s="3" t="s">
        <v>50</v>
      </c>
      <c r="C846" s="3">
        <v>2016</v>
      </c>
      <c r="D846" s="3">
        <v>7.4980000000000002</v>
      </c>
      <c r="E846" s="3">
        <v>1.57744</v>
      </c>
      <c r="F846" s="3">
        <v>3.5500030517578098</v>
      </c>
      <c r="G846" s="3">
        <v>4.48370313644409</v>
      </c>
      <c r="H846" s="3">
        <v>2.5754339694976802</v>
      </c>
      <c r="I846" s="3">
        <v>3.255026</v>
      </c>
      <c r="J846" s="3">
        <v>-8.0249999999998298</v>
      </c>
      <c r="K846" s="3">
        <v>-1.4746201487727899</v>
      </c>
      <c r="L846" s="3">
        <v>1.1269</v>
      </c>
      <c r="M846" s="3">
        <v>0.79579</v>
      </c>
      <c r="N846" s="3">
        <v>0.59609000000000001</v>
      </c>
      <c r="O846" s="3">
        <v>0.37895000000000001</v>
      </c>
      <c r="P846" s="3">
        <v>0.35776000000000002</v>
      </c>
      <c r="Q846" s="3"/>
    </row>
    <row r="847" spans="1:17" x14ac:dyDescent="0.25">
      <c r="A847" s="3" t="s">
        <v>145</v>
      </c>
      <c r="B847" s="3" t="s">
        <v>50</v>
      </c>
      <c r="C847" s="3">
        <v>2017</v>
      </c>
      <c r="D847" s="3">
        <v>7.5370001789999996</v>
      </c>
      <c r="E847" s="3">
        <v>1.6164631840000001</v>
      </c>
      <c r="F847" s="3">
        <v>1.875</v>
      </c>
      <c r="G847" s="3">
        <v>3.0071024894714302</v>
      </c>
      <c r="H847" s="3">
        <v>8.1234732642769796E-3</v>
      </c>
      <c r="I847" s="3">
        <v>1.7259420000000001</v>
      </c>
      <c r="J847" s="3">
        <v>9.2778834828305001</v>
      </c>
      <c r="K847" s="3">
        <v>3.9512633177751502</v>
      </c>
      <c r="L847" s="3">
        <v>1.5335235599999999</v>
      </c>
      <c r="M847" s="3">
        <v>0.79666650299999997</v>
      </c>
      <c r="N847" s="3">
        <v>0.63542258699999998</v>
      </c>
      <c r="O847" s="3">
        <v>0.36201223700000001</v>
      </c>
      <c r="P847" s="3">
        <v>0.31596383500000003</v>
      </c>
      <c r="Q847" s="3"/>
    </row>
    <row r="848" spans="1:17" x14ac:dyDescent="0.25">
      <c r="A848" s="3" t="s">
        <v>145</v>
      </c>
      <c r="B848" s="3" t="s">
        <v>50</v>
      </c>
      <c r="C848" s="3">
        <v>2018</v>
      </c>
      <c r="D848" s="3">
        <v>7.5940000000000003</v>
      </c>
      <c r="E848" s="3">
        <v>1.456</v>
      </c>
      <c r="F848" s="3">
        <v>2.76</v>
      </c>
      <c r="G848" s="3">
        <v>5.0100626945495597</v>
      </c>
      <c r="H848" s="3">
        <v>2.52681231498718</v>
      </c>
      <c r="I848" s="3">
        <v>1.2029380000000001</v>
      </c>
      <c r="J848" s="3">
        <v>14.824641406185201</v>
      </c>
      <c r="K848" s="3">
        <v>6.6518776063052503</v>
      </c>
      <c r="L848" s="3">
        <v>1.5820000000000001</v>
      </c>
      <c r="M848" s="3">
        <v>0.86099999999999999</v>
      </c>
      <c r="N848" s="3">
        <v>0.68600000000000005</v>
      </c>
      <c r="O848" s="3">
        <v>0.28599999999999998</v>
      </c>
      <c r="P848" s="3">
        <v>0.34</v>
      </c>
      <c r="Q848" s="3"/>
    </row>
    <row r="849" spans="1:17" x14ac:dyDescent="0.25">
      <c r="A849" s="3" t="s">
        <v>145</v>
      </c>
      <c r="B849" s="3" t="s">
        <v>50</v>
      </c>
      <c r="C849" s="3">
        <v>2019</v>
      </c>
      <c r="D849" s="3">
        <v>7.5540000000000003</v>
      </c>
      <c r="E849" s="3">
        <v>1.488</v>
      </c>
      <c r="F849" s="3">
        <v>2.1679999828338601</v>
      </c>
      <c r="G849" s="3">
        <v>0.12842270731925901</v>
      </c>
      <c r="H849" s="3">
        <v>1.06523274297374</v>
      </c>
      <c r="I849" s="3">
        <v>2.5881460000000001</v>
      </c>
      <c r="J849" s="3">
        <v>-3.5742652899128702</v>
      </c>
      <c r="K849" s="3">
        <v>-0.438000000000002</v>
      </c>
      <c r="L849" s="3">
        <v>1.5820000000000001</v>
      </c>
      <c r="M849" s="3">
        <v>1.028</v>
      </c>
      <c r="N849" s="3">
        <v>0.60299999999999998</v>
      </c>
      <c r="O849" s="3">
        <v>0.27100000000000002</v>
      </c>
      <c r="P849" s="3">
        <v>0.34100000000000003</v>
      </c>
      <c r="Q849" s="3"/>
    </row>
    <row r="850" spans="1:17" x14ac:dyDescent="0.25">
      <c r="A850" s="3" t="s">
        <v>145</v>
      </c>
      <c r="B850" s="3" t="s">
        <v>50</v>
      </c>
      <c r="C850" s="3">
        <v>2020</v>
      </c>
      <c r="D850" s="3">
        <v>7.4879999159999997</v>
      </c>
      <c r="E850" s="3">
        <v>1.42420733</v>
      </c>
      <c r="F850" s="3">
        <v>1.28658490708054</v>
      </c>
      <c r="G850" s="3">
        <v>-3.4876989869754098</v>
      </c>
      <c r="H850" s="3">
        <v>3.26592134801145</v>
      </c>
      <c r="I850" s="3">
        <v>3.1379809999999999</v>
      </c>
      <c r="J850" s="3">
        <v>-10.161749288603</v>
      </c>
      <c r="K850" s="3">
        <v>-3.7454048733452501</v>
      </c>
      <c r="L850" s="3">
        <v>1.4951725010000001</v>
      </c>
      <c r="M850" s="3">
        <v>1.0080718989999999</v>
      </c>
      <c r="N850" s="3">
        <v>0.670200884</v>
      </c>
      <c r="O850" s="3">
        <v>0.287985086</v>
      </c>
      <c r="P850" s="3">
        <v>0.43410056800000002</v>
      </c>
      <c r="Q850" s="3"/>
    </row>
    <row r="851" spans="1:17" x14ac:dyDescent="0.25">
      <c r="A851" s="3" t="s">
        <v>145</v>
      </c>
      <c r="B851" s="3" t="s">
        <v>50</v>
      </c>
      <c r="C851" s="3">
        <v>2021</v>
      </c>
      <c r="D851" s="3">
        <v>7.3920000000000003</v>
      </c>
      <c r="E851" s="3">
        <v>1.5429999999999999</v>
      </c>
      <c r="F851" s="3">
        <v>3.4838809999999998</v>
      </c>
      <c r="G851" s="3">
        <v>44.519039999999997</v>
      </c>
      <c r="H851" s="3">
        <v>-2.0270000000000001</v>
      </c>
      <c r="I851" s="3">
        <v>1.66</v>
      </c>
      <c r="J851" s="3">
        <v>37.7511044427781</v>
      </c>
      <c r="K851" s="3">
        <v>16.9113499819994</v>
      </c>
      <c r="L851" s="3">
        <v>1.1080000000000001</v>
      </c>
      <c r="M851" s="3">
        <v>0.78200000000000003</v>
      </c>
      <c r="N851" s="3">
        <v>0.70299999999999996</v>
      </c>
      <c r="O851" s="3">
        <v>0.249</v>
      </c>
      <c r="P851" s="3">
        <v>0.42699999999999999</v>
      </c>
      <c r="Q851" s="3"/>
    </row>
    <row r="852" spans="1:17" x14ac:dyDescent="0.25">
      <c r="A852" s="3" t="s">
        <v>145</v>
      </c>
      <c r="B852" s="3" t="s">
        <v>50</v>
      </c>
      <c r="C852" s="3">
        <v>2022</v>
      </c>
      <c r="D852" s="3">
        <v>7.3650000000000002</v>
      </c>
      <c r="E852" s="3">
        <v>1.9970000000000001</v>
      </c>
      <c r="F852" s="3">
        <v>5.7641229999999997</v>
      </c>
      <c r="G852" s="3">
        <v>27.035415053691299</v>
      </c>
      <c r="H852" s="3">
        <v>6.4951169999999996</v>
      </c>
      <c r="I852" s="3">
        <v>3.6159912376779699</v>
      </c>
      <c r="J852" s="3">
        <v>51.881883093307202</v>
      </c>
      <c r="K852" s="3">
        <v>21.895322298563499</v>
      </c>
      <c r="L852" s="3">
        <v>1.2390000000000001</v>
      </c>
      <c r="M852" s="3">
        <v>0.78600000000000003</v>
      </c>
      <c r="N852" s="3">
        <v>0.72799999999999998</v>
      </c>
      <c r="O852" s="3">
        <v>0.217</v>
      </c>
      <c r="P852" s="3">
        <v>0.47399999999999998</v>
      </c>
      <c r="Q852" s="3"/>
    </row>
    <row r="853" spans="1:17" x14ac:dyDescent="0.25">
      <c r="A853" s="3" t="s">
        <v>145</v>
      </c>
      <c r="B853" s="3" t="s">
        <v>50</v>
      </c>
      <c r="C853" s="3">
        <v>2023</v>
      </c>
      <c r="D853" s="3">
        <v>7.3150000000000004</v>
      </c>
      <c r="E853" s="3">
        <v>1.994</v>
      </c>
      <c r="F853" s="3">
        <v>5.5178498710465904</v>
      </c>
      <c r="G853" s="3">
        <v>-3.92518301635317</v>
      </c>
      <c r="H853" s="3">
        <v>9.7744104803493403</v>
      </c>
      <c r="I853" s="3">
        <v>5.8272507728628797</v>
      </c>
      <c r="J853" s="3">
        <v>-21.807027328499601</v>
      </c>
      <c r="K853" s="3">
        <v>-10.1200260699094</v>
      </c>
      <c r="L853" s="3">
        <v>1.5209999999999999</v>
      </c>
      <c r="M853" s="3">
        <v>0.54400000000000004</v>
      </c>
      <c r="N853" s="3">
        <v>0.752</v>
      </c>
      <c r="O853" s="3">
        <v>0.21199999999999999</v>
      </c>
      <c r="P853" s="3">
        <v>0.46300000000000002</v>
      </c>
      <c r="Q853" s="3"/>
    </row>
    <row r="854" spans="1:17" x14ac:dyDescent="0.25">
      <c r="A854" s="3" t="s">
        <v>146</v>
      </c>
      <c r="B854" s="3" t="s">
        <v>41</v>
      </c>
      <c r="C854" s="3">
        <v>2015</v>
      </c>
      <c r="D854" s="3">
        <v>6.8529999999999998</v>
      </c>
      <c r="E854" s="3">
        <v>1.3601099999999999</v>
      </c>
      <c r="F854" s="3">
        <v>6.5283805131912204E-2</v>
      </c>
      <c r="G854" s="3">
        <v>0.41999998688697798</v>
      </c>
      <c r="H854" s="3">
        <v>-0.813071489334106</v>
      </c>
      <c r="I854" s="3">
        <v>0.45799725000000002</v>
      </c>
      <c r="J854" s="3">
        <v>-22.673007965087798</v>
      </c>
      <c r="K854" s="3">
        <v>-18.7787476917911</v>
      </c>
      <c r="L854" s="3">
        <v>1.08182</v>
      </c>
      <c r="M854" s="3">
        <v>0.76275999999999999</v>
      </c>
      <c r="N854" s="3">
        <v>0.63273999999999997</v>
      </c>
      <c r="O854" s="3">
        <v>0.21542</v>
      </c>
      <c r="P854" s="3">
        <v>0.32523999999999997</v>
      </c>
      <c r="Q854" s="3"/>
    </row>
    <row r="855" spans="1:17" x14ac:dyDescent="0.25">
      <c r="A855" s="3" t="s">
        <v>147</v>
      </c>
      <c r="B855" s="3" t="s">
        <v>37</v>
      </c>
      <c r="C855" s="3">
        <v>2015</v>
      </c>
      <c r="D855" s="3">
        <v>5.194</v>
      </c>
      <c r="E855" s="3">
        <v>0.59543000000000001</v>
      </c>
      <c r="F855" s="3">
        <v>2.5487506389617902</v>
      </c>
      <c r="G855" s="3">
        <v>5.2115740776062003</v>
      </c>
      <c r="H855" s="3">
        <v>0.55198788642883301</v>
      </c>
      <c r="I855" s="5"/>
      <c r="J855" s="3">
        <v>-2.51912522315979</v>
      </c>
      <c r="K855" s="3">
        <v>4.7840189006295999</v>
      </c>
      <c r="L855" s="3">
        <v>0.41410999999999998</v>
      </c>
      <c r="M855" s="3">
        <v>0.51466000000000001</v>
      </c>
      <c r="N855" s="3">
        <v>0.12102</v>
      </c>
      <c r="O855" s="3">
        <v>0.33671000000000001</v>
      </c>
      <c r="P855" s="3">
        <v>0.10464</v>
      </c>
      <c r="Q855" s="3"/>
    </row>
    <row r="856" spans="1:17" x14ac:dyDescent="0.25">
      <c r="A856" s="3" t="s">
        <v>147</v>
      </c>
      <c r="B856" s="3" t="s">
        <v>37</v>
      </c>
      <c r="C856" s="3">
        <v>2016</v>
      </c>
      <c r="D856" s="3">
        <v>5.1319999999999997</v>
      </c>
      <c r="E856" s="3">
        <v>0.68815999999999999</v>
      </c>
      <c r="F856" s="3">
        <v>3.7547352313995299</v>
      </c>
      <c r="G856" s="3">
        <v>4.9664311408996502</v>
      </c>
      <c r="H856" s="3">
        <v>2.4565236568450901</v>
      </c>
      <c r="I856" s="5"/>
      <c r="J856" s="3">
        <v>1.8968381881713801</v>
      </c>
      <c r="K856" s="3">
        <v>1.3253217420949599</v>
      </c>
      <c r="L856" s="3">
        <v>0.26135000000000003</v>
      </c>
      <c r="M856" s="3">
        <v>0.40305999999999997</v>
      </c>
      <c r="N856" s="3">
        <v>0.14621999999999999</v>
      </c>
      <c r="O856" s="3">
        <v>0.31185000000000002</v>
      </c>
      <c r="P856" s="3">
        <v>0.13880000000000001</v>
      </c>
      <c r="Q856" s="3"/>
    </row>
    <row r="857" spans="1:17" x14ac:dyDescent="0.25">
      <c r="A857" s="3" t="s">
        <v>147</v>
      </c>
      <c r="B857" s="3" t="s">
        <v>37</v>
      </c>
      <c r="C857" s="3">
        <v>2017</v>
      </c>
      <c r="D857" s="3">
        <v>5.2690000530000001</v>
      </c>
      <c r="E857" s="3">
        <v>0.72688353100000003</v>
      </c>
      <c r="F857" s="3">
        <v>4.1479999999999997</v>
      </c>
      <c r="G857" s="3">
        <v>5.0350961685180602</v>
      </c>
      <c r="H857" s="3">
        <v>3.2866220474243102</v>
      </c>
      <c r="I857" s="5"/>
      <c r="J857" s="3">
        <v>4.8704323768615696</v>
      </c>
      <c r="K857" s="3">
        <v>4.3452993152282096</v>
      </c>
      <c r="L857" s="3">
        <v>0.67269069000000004</v>
      </c>
      <c r="M857" s="3">
        <v>0.40204778299999999</v>
      </c>
      <c r="N857" s="3">
        <v>0.23521526200000001</v>
      </c>
      <c r="O857" s="3">
        <v>0.31544601900000002</v>
      </c>
      <c r="P857" s="3">
        <v>0.12434806700000001</v>
      </c>
      <c r="Q857" s="3"/>
    </row>
    <row r="858" spans="1:17" x14ac:dyDescent="0.25">
      <c r="A858" s="3" t="s">
        <v>147</v>
      </c>
      <c r="B858" s="3" t="s">
        <v>37</v>
      </c>
      <c r="C858" s="3">
        <v>2018</v>
      </c>
      <c r="D858" s="3">
        <v>5.4720000000000004</v>
      </c>
      <c r="E858" s="3">
        <v>0.65200000000000002</v>
      </c>
      <c r="F858" s="3">
        <v>5.07</v>
      </c>
      <c r="G858" s="3">
        <v>6.2101483345031703</v>
      </c>
      <c r="H858" s="3">
        <v>2.1894664764404199</v>
      </c>
      <c r="I858" s="5"/>
      <c r="J858" s="3">
        <v>12.1325149536132</v>
      </c>
      <c r="K858" s="3">
        <v>2.7525356158761798</v>
      </c>
      <c r="L858" s="3">
        <v>0.81</v>
      </c>
      <c r="M858" s="3">
        <v>0.42399999999999999</v>
      </c>
      <c r="N858" s="3">
        <v>0.33400000000000002</v>
      </c>
      <c r="O858" s="3">
        <v>0.216</v>
      </c>
      <c r="P858" s="3">
        <v>0.113</v>
      </c>
      <c r="Q858" s="3"/>
    </row>
    <row r="859" spans="1:17" x14ac:dyDescent="0.25">
      <c r="A859" s="3" t="s">
        <v>147</v>
      </c>
      <c r="B859" s="3" t="s">
        <v>37</v>
      </c>
      <c r="C859" s="3">
        <v>2019</v>
      </c>
      <c r="D859" s="3">
        <v>5.6529999999999996</v>
      </c>
      <c r="E859" s="3">
        <v>0.67700000000000005</v>
      </c>
      <c r="F859" s="3">
        <v>6.7379999160766602</v>
      </c>
      <c r="G859" s="3">
        <v>8.4858169555663991</v>
      </c>
      <c r="H859" s="3">
        <v>11.6337566375732</v>
      </c>
      <c r="I859" s="5"/>
      <c r="J859" s="3">
        <v>14.179150581359799</v>
      </c>
      <c r="K859" s="3">
        <v>7.63772002396371</v>
      </c>
      <c r="L859" s="3">
        <v>0.88600000000000001</v>
      </c>
      <c r="M859" s="3">
        <v>0.53500000000000003</v>
      </c>
      <c r="N859" s="3">
        <v>0.313</v>
      </c>
      <c r="O859" s="3">
        <v>0.22</v>
      </c>
      <c r="P859" s="3">
        <v>9.8000000000000004E-2</v>
      </c>
      <c r="Q859" s="3"/>
    </row>
    <row r="860" spans="1:17" x14ac:dyDescent="0.25">
      <c r="A860" s="3" t="s">
        <v>147</v>
      </c>
      <c r="B860" s="3" t="s">
        <v>37</v>
      </c>
      <c r="C860" s="3">
        <v>2020</v>
      </c>
      <c r="D860" s="3">
        <v>5.6932997700000003</v>
      </c>
      <c r="E860" s="3">
        <v>0.61679947400000001</v>
      </c>
      <c r="F860" s="3">
        <v>9.7399931389811591</v>
      </c>
      <c r="G860" s="3">
        <v>6.1595932436735996</v>
      </c>
      <c r="H860" s="3">
        <v>15.384934425354</v>
      </c>
      <c r="I860" s="5"/>
      <c r="J860" s="3">
        <v>5.8070435523986799</v>
      </c>
      <c r="K860" s="3">
        <v>10.311686246446801</v>
      </c>
      <c r="L860" s="3">
        <v>0.87297958099999995</v>
      </c>
      <c r="M860" s="3">
        <v>0.46993324199999997</v>
      </c>
      <c r="N860" s="3">
        <v>0.40542173399999998</v>
      </c>
      <c r="O860" s="3">
        <v>0.22870506299999999</v>
      </c>
      <c r="P860" s="3">
        <v>0.122592121</v>
      </c>
      <c r="Q860" s="3"/>
    </row>
    <row r="861" spans="1:17" x14ac:dyDescent="0.25">
      <c r="A861" s="3" t="s">
        <v>147</v>
      </c>
      <c r="B861" s="3" t="s">
        <v>37</v>
      </c>
      <c r="C861" s="3">
        <v>2021</v>
      </c>
      <c r="D861" s="3">
        <v>4.9340000000000002</v>
      </c>
      <c r="E861" s="3">
        <v>0.63700000000000001</v>
      </c>
      <c r="F861" s="3">
        <v>9.4962105612497894</v>
      </c>
      <c r="G861" s="3">
        <v>10.039999999999999</v>
      </c>
      <c r="H861" s="3">
        <v>10.51</v>
      </c>
      <c r="I861" s="5"/>
      <c r="J861" s="3">
        <v>18.0323687627527</v>
      </c>
      <c r="K861" s="3">
        <v>10.2146766468592</v>
      </c>
      <c r="L861" s="3">
        <v>0.42299999999999999</v>
      </c>
      <c r="M861" s="3">
        <v>0.32200000000000001</v>
      </c>
      <c r="N861" s="3">
        <v>0.41799999999999998</v>
      </c>
      <c r="O861" s="3">
        <v>0.252</v>
      </c>
      <c r="P861" s="3">
        <v>9.7000000000000003E-2</v>
      </c>
    </row>
    <row r="862" spans="1:17" x14ac:dyDescent="0.25">
      <c r="A862" s="3" t="s">
        <v>147</v>
      </c>
      <c r="B862" s="3" t="s">
        <v>37</v>
      </c>
      <c r="C862" s="3">
        <v>2022</v>
      </c>
      <c r="D862" s="3">
        <v>4.516</v>
      </c>
      <c r="E862" s="3">
        <v>1.0489999999999999</v>
      </c>
      <c r="F862" s="3">
        <v>19.8738599646653</v>
      </c>
      <c r="G862" s="3">
        <v>11.6813275096289</v>
      </c>
      <c r="H862" s="3">
        <v>21.584904579077602</v>
      </c>
      <c r="I862" s="5"/>
      <c r="J862" s="3">
        <v>31.179251607314001</v>
      </c>
      <c r="K862" s="3">
        <v>11.503643738524501</v>
      </c>
      <c r="L862" s="3">
        <v>0.41299999999999998</v>
      </c>
      <c r="M862" s="3">
        <v>0.374</v>
      </c>
      <c r="N862" s="3">
        <v>0.44800000000000001</v>
      </c>
      <c r="O862" s="3">
        <v>0.18099999999999999</v>
      </c>
      <c r="P862" s="3">
        <v>0.112</v>
      </c>
      <c r="Q862" s="3"/>
    </row>
    <row r="863" spans="1:17" x14ac:dyDescent="0.25">
      <c r="A863" s="3" t="s">
        <v>147</v>
      </c>
      <c r="B863" s="3" t="s">
        <v>37</v>
      </c>
      <c r="C863" s="3">
        <v>2023</v>
      </c>
      <c r="D863" s="3">
        <v>4.5549999999999997</v>
      </c>
      <c r="E863" s="3">
        <v>1.081</v>
      </c>
      <c r="F863" s="3">
        <v>30.768128065700498</v>
      </c>
      <c r="G863" s="3">
        <v>18.8273319066064</v>
      </c>
      <c r="H863" s="3">
        <v>37.933357443141396</v>
      </c>
      <c r="I863" s="5"/>
      <c r="J863" s="3">
        <v>28.6086901972335</v>
      </c>
      <c r="K863" s="3">
        <v>26.1603402096463</v>
      </c>
      <c r="L863" s="3">
        <v>0.65700000000000003</v>
      </c>
      <c r="M863" s="3">
        <v>0.158</v>
      </c>
      <c r="N863" s="3">
        <v>0.51100000000000001</v>
      </c>
      <c r="O863" s="3">
        <v>0.14099999999999999</v>
      </c>
      <c r="P863" s="3">
        <v>0.10199999999999999</v>
      </c>
      <c r="Q863" s="3"/>
    </row>
    <row r="864" spans="1:17" x14ac:dyDescent="0.25">
      <c r="A864" s="3" t="s">
        <v>148</v>
      </c>
      <c r="B864" s="3" t="s">
        <v>45</v>
      </c>
      <c r="C864" s="3">
        <v>2015</v>
      </c>
      <c r="D864" s="3">
        <v>6.7859999999999996</v>
      </c>
      <c r="E864" s="3">
        <v>1.0635300000000001</v>
      </c>
      <c r="F864" s="3">
        <v>0.129920870065689</v>
      </c>
      <c r="G864" s="3">
        <v>-1.16999995708465</v>
      </c>
      <c r="H864" s="3">
        <v>-1.6900000572204501</v>
      </c>
      <c r="I864" s="5"/>
      <c r="J864" s="5"/>
      <c r="K864" s="3">
        <v>2.4789116771418902</v>
      </c>
      <c r="L864" s="3">
        <v>1.1984999999999999</v>
      </c>
      <c r="M864" s="3">
        <v>0.79661000000000004</v>
      </c>
      <c r="N864" s="3">
        <v>0.54210000000000003</v>
      </c>
      <c r="O864" s="3">
        <v>0.24434</v>
      </c>
      <c r="P864" s="3">
        <v>9.2700000000000005E-2</v>
      </c>
      <c r="Q864" s="3"/>
    </row>
    <row r="865" spans="1:17" x14ac:dyDescent="0.25">
      <c r="A865" s="3" t="s">
        <v>148</v>
      </c>
      <c r="B865" s="3" t="s">
        <v>45</v>
      </c>
      <c r="C865" s="3">
        <v>2016</v>
      </c>
      <c r="D865" s="3">
        <v>6.7009999999999996</v>
      </c>
      <c r="E865" s="3">
        <v>1.18306</v>
      </c>
      <c r="F865" s="3">
        <v>0.76230591535568204</v>
      </c>
      <c r="G865" s="3">
        <v>-0.980000019073486</v>
      </c>
      <c r="H865" s="3">
        <v>1.46646535396575</v>
      </c>
      <c r="I865" s="5"/>
      <c r="J865" s="5"/>
      <c r="K865" s="3">
        <v>2.0020040214927901</v>
      </c>
      <c r="L865" s="3">
        <v>0.98912</v>
      </c>
      <c r="M865" s="3">
        <v>0.70835000000000004</v>
      </c>
      <c r="N865" s="3">
        <v>0.48926999999999998</v>
      </c>
      <c r="O865" s="3">
        <v>0.24179999999999999</v>
      </c>
      <c r="P865" s="3">
        <v>8.4229999999999999E-2</v>
      </c>
      <c r="Q865" s="3"/>
    </row>
    <row r="866" spans="1:17" x14ac:dyDescent="0.25">
      <c r="A866" s="3" t="s">
        <v>148</v>
      </c>
      <c r="B866" s="3" t="s">
        <v>45</v>
      </c>
      <c r="C866" s="3">
        <v>2017</v>
      </c>
      <c r="D866" s="3">
        <v>6.4520001410000001</v>
      </c>
      <c r="E866" s="3">
        <v>1.2337484359999999</v>
      </c>
      <c r="F866" s="3">
        <v>0.876</v>
      </c>
      <c r="G866" s="3">
        <v>1.91999995708465</v>
      </c>
      <c r="H866" s="3">
        <v>-0.53588384389877297</v>
      </c>
      <c r="I866" s="5"/>
      <c r="J866" s="5"/>
      <c r="K866" s="3">
        <v>1.7286620340458101</v>
      </c>
      <c r="L866" s="3">
        <v>1.3731925490000001</v>
      </c>
      <c r="M866" s="3">
        <v>0.70615613499999996</v>
      </c>
      <c r="N866" s="3">
        <v>0.55002683399999996</v>
      </c>
      <c r="O866" s="3">
        <v>0.210556939</v>
      </c>
      <c r="P866" s="3">
        <v>7.0983924000000004E-2</v>
      </c>
      <c r="Q866" s="3"/>
    </row>
    <row r="867" spans="1:17" x14ac:dyDescent="0.25">
      <c r="A867" s="3" t="s">
        <v>148</v>
      </c>
      <c r="B867" s="3" t="s">
        <v>45</v>
      </c>
      <c r="C867" s="3">
        <v>2018</v>
      </c>
      <c r="D867" s="3">
        <v>6.43</v>
      </c>
      <c r="E867" s="3">
        <v>1.1120000000000001</v>
      </c>
      <c r="F867" s="3">
        <v>0.77</v>
      </c>
      <c r="G867" s="3">
        <v>0.64186358451843195</v>
      </c>
      <c r="H867" s="3">
        <v>-0.63673615455627397</v>
      </c>
      <c r="I867" s="5"/>
      <c r="J867" s="5"/>
      <c r="K867" s="3">
        <v>0.75631885936487397</v>
      </c>
      <c r="L867" s="3">
        <v>1.4379999999999999</v>
      </c>
      <c r="M867" s="3">
        <v>0.75900000000000001</v>
      </c>
      <c r="N867" s="3">
        <v>0.59699999999999998</v>
      </c>
      <c r="O867" s="3">
        <v>0.125</v>
      </c>
      <c r="P867" s="3">
        <v>6.3E-2</v>
      </c>
      <c r="Q867" s="3"/>
    </row>
    <row r="868" spans="1:17" x14ac:dyDescent="0.25">
      <c r="A868" s="3" t="s">
        <v>148</v>
      </c>
      <c r="B868" s="3" t="s">
        <v>45</v>
      </c>
      <c r="C868" s="3">
        <v>2019</v>
      </c>
      <c r="D868" s="3">
        <v>6.3209999999999997</v>
      </c>
      <c r="E868" s="3">
        <v>1.149</v>
      </c>
      <c r="F868" s="3">
        <v>-0.354999989271163</v>
      </c>
      <c r="G868" s="3">
        <v>-0.28641831874847401</v>
      </c>
      <c r="H868" s="3">
        <v>0.48906680941581698</v>
      </c>
      <c r="I868" s="5"/>
      <c r="J868" s="5"/>
      <c r="K868" s="3">
        <v>-0.17045417998675899</v>
      </c>
      <c r="L868" s="3">
        <v>1.4419999999999999</v>
      </c>
      <c r="M868" s="3">
        <v>0.91</v>
      </c>
      <c r="N868" s="3">
        <v>0.51600000000000001</v>
      </c>
      <c r="O868" s="3">
        <v>0.109</v>
      </c>
      <c r="P868" s="3">
        <v>5.3999999999999999E-2</v>
      </c>
      <c r="Q868" s="3"/>
    </row>
    <row r="869" spans="1:17" x14ac:dyDescent="0.25">
      <c r="A869" s="3" t="s">
        <v>148</v>
      </c>
      <c r="B869" s="3" t="s">
        <v>45</v>
      </c>
      <c r="C869" s="3">
        <v>2020</v>
      </c>
      <c r="D869" s="3">
        <v>6.3048000340000003</v>
      </c>
      <c r="E869" s="3">
        <v>1.0976678129999999</v>
      </c>
      <c r="F869" s="3">
        <v>-1.5502754080376</v>
      </c>
      <c r="G869" s="3">
        <v>-4.0703262081059597</v>
      </c>
      <c r="H869" s="3">
        <v>-0.81586085497376004</v>
      </c>
      <c r="I869" s="5"/>
      <c r="J869" s="5"/>
      <c r="K869" s="3">
        <v>-3.3975077640752001</v>
      </c>
      <c r="L869" s="3">
        <v>1.376149297</v>
      </c>
      <c r="M869" s="3">
        <v>0.87854653599999999</v>
      </c>
      <c r="N869" s="3">
        <v>0.57984977999999998</v>
      </c>
      <c r="O869" s="3">
        <v>9.7207308000000006E-2</v>
      </c>
      <c r="P869" s="3">
        <v>5.4230526000000001E-2</v>
      </c>
      <c r="Q869" s="3"/>
    </row>
    <row r="870" spans="1:17" x14ac:dyDescent="0.25">
      <c r="A870" s="3" t="s">
        <v>148</v>
      </c>
      <c r="B870" s="3" t="s">
        <v>45</v>
      </c>
      <c r="C870" s="3">
        <v>2021</v>
      </c>
      <c r="D870" s="3">
        <v>6.18</v>
      </c>
      <c r="E870" s="3">
        <v>1.298</v>
      </c>
      <c r="F870" s="3">
        <v>1.63070337301891</v>
      </c>
      <c r="G870" s="3">
        <v>-3.75</v>
      </c>
      <c r="H870" s="3">
        <v>1.64</v>
      </c>
      <c r="I870" s="5"/>
      <c r="J870" s="5"/>
      <c r="K870" s="3">
        <v>2.1689160682156201</v>
      </c>
      <c r="L870" s="3">
        <v>0.97599999999999998</v>
      </c>
      <c r="M870" s="3">
        <v>0.66700000000000004</v>
      </c>
      <c r="N870" s="3">
        <v>0.59599999999999997</v>
      </c>
      <c r="O870" s="3">
        <v>7.9000000000000001E-2</v>
      </c>
      <c r="P870" s="3">
        <v>5.2999999999999999E-2</v>
      </c>
      <c r="Q870" s="3"/>
    </row>
    <row r="871" spans="1:17" x14ac:dyDescent="0.25">
      <c r="A871" s="3" t="s">
        <v>148</v>
      </c>
      <c r="B871" s="3" t="s">
        <v>45</v>
      </c>
      <c r="C871" s="3">
        <v>2022</v>
      </c>
      <c r="D871" s="3">
        <v>6.3090000000000002</v>
      </c>
      <c r="E871" s="3">
        <v>1.7150000000000001</v>
      </c>
      <c r="F871" s="3">
        <v>2.85748282185325</v>
      </c>
      <c r="G871" s="3">
        <v>1.8278782271727501</v>
      </c>
      <c r="H871" s="3">
        <v>3.67177958829935</v>
      </c>
      <c r="I871" s="5"/>
      <c r="J871" s="5"/>
      <c r="K871" s="3">
        <v>2.7324196499464799</v>
      </c>
      <c r="L871" s="3">
        <v>1.107</v>
      </c>
      <c r="M871" s="3">
        <v>0.70899999999999996</v>
      </c>
      <c r="N871" s="3">
        <v>0.59199999999999997</v>
      </c>
      <c r="O871" s="3">
        <v>4.9000000000000002E-2</v>
      </c>
      <c r="P871" s="3">
        <v>5.0999999999999997E-2</v>
      </c>
      <c r="Q871" s="3"/>
    </row>
    <row r="872" spans="1:17" x14ac:dyDescent="0.25">
      <c r="A872" s="3" t="s">
        <v>148</v>
      </c>
      <c r="B872" s="3" t="s">
        <v>45</v>
      </c>
      <c r="C872" s="3">
        <v>2023</v>
      </c>
      <c r="D872" s="3">
        <v>6.2649999999999997</v>
      </c>
      <c r="E872" s="3">
        <v>1.714</v>
      </c>
      <c r="F872" s="3">
        <v>1.4864135527703799</v>
      </c>
      <c r="G872" s="3">
        <v>10.4021837780161</v>
      </c>
      <c r="H872" s="3">
        <v>3.4035722591580799</v>
      </c>
      <c r="I872" s="5"/>
      <c r="J872" s="5"/>
      <c r="K872" s="3">
        <v>1.4507392787210101</v>
      </c>
      <c r="L872" s="3">
        <v>1.4019999999999999</v>
      </c>
      <c r="M872" s="3">
        <v>0.47499999999999998</v>
      </c>
      <c r="N872" s="3">
        <v>0.63</v>
      </c>
      <c r="O872" s="3">
        <v>6.5000000000000002E-2</v>
      </c>
      <c r="P872" s="3">
        <v>3.5999999999999997E-2</v>
      </c>
      <c r="Q872" s="3"/>
    </row>
    <row r="873" spans="1:17" x14ac:dyDescent="0.25">
      <c r="A873" s="3" t="s">
        <v>149</v>
      </c>
      <c r="B873" s="3" t="s">
        <v>45</v>
      </c>
      <c r="C873" s="3">
        <v>2015</v>
      </c>
      <c r="D873" s="3">
        <v>5.8780000000000001</v>
      </c>
      <c r="E873" s="3">
        <v>0.75985000000000003</v>
      </c>
      <c r="F873" s="3">
        <v>3.1318070888519198</v>
      </c>
      <c r="G873" s="3">
        <v>3.0154442787170401</v>
      </c>
      <c r="H873" s="3">
        <v>2.9488427639007502</v>
      </c>
      <c r="I873" s="3">
        <v>3.7176153659820499</v>
      </c>
      <c r="J873" s="3">
        <v>1.9405339956283501</v>
      </c>
      <c r="K873" s="3">
        <v>1.605</v>
      </c>
      <c r="L873" s="3">
        <v>1.30477</v>
      </c>
      <c r="M873" s="3">
        <v>0.66098000000000001</v>
      </c>
      <c r="N873" s="3">
        <v>0.53898999999999997</v>
      </c>
      <c r="O873" s="3">
        <v>0.34239999999999998</v>
      </c>
      <c r="P873" s="3">
        <v>8.2419999999999993E-2</v>
      </c>
      <c r="Q873" s="3"/>
    </row>
    <row r="874" spans="1:17" x14ac:dyDescent="0.25">
      <c r="A874" s="3" t="s">
        <v>149</v>
      </c>
      <c r="B874" s="3" t="s">
        <v>45</v>
      </c>
      <c r="C874" s="3">
        <v>2016</v>
      </c>
      <c r="D874" s="3">
        <v>5.5380000000000003</v>
      </c>
      <c r="E874" s="3">
        <v>0.89373000000000002</v>
      </c>
      <c r="F874" s="3">
        <v>4.0825629234313903</v>
      </c>
      <c r="G874" s="3">
        <v>2.4863321781158398</v>
      </c>
      <c r="H874" s="3">
        <v>5.8554148674011204</v>
      </c>
      <c r="I874" s="3">
        <v>4.6893863677978498</v>
      </c>
      <c r="J874" s="3">
        <v>4.9721965789794904</v>
      </c>
      <c r="K874" s="3">
        <v>4.1238128044879598</v>
      </c>
      <c r="L874" s="3">
        <v>1.11111</v>
      </c>
      <c r="M874" s="3">
        <v>0.58294999999999997</v>
      </c>
      <c r="N874" s="3">
        <v>0.46234999999999998</v>
      </c>
      <c r="O874" s="3">
        <v>0.25296000000000002</v>
      </c>
      <c r="P874" s="3">
        <v>7.3959999999999998E-2</v>
      </c>
      <c r="Q874" s="3"/>
    </row>
    <row r="875" spans="1:17" x14ac:dyDescent="0.25">
      <c r="A875" s="3" t="s">
        <v>149</v>
      </c>
      <c r="B875" s="3" t="s">
        <v>45</v>
      </c>
      <c r="C875" s="3">
        <v>2017</v>
      </c>
      <c r="D875" s="3">
        <v>5.4930000310000002</v>
      </c>
      <c r="E875" s="3">
        <v>0.93253731699999998</v>
      </c>
      <c r="F875" s="3">
        <v>3.6030000000000002</v>
      </c>
      <c r="G875" s="3">
        <v>2.3830018043518</v>
      </c>
      <c r="H875" s="3">
        <v>5.7432174682617099</v>
      </c>
      <c r="I875" s="3">
        <v>4.7010822296142498</v>
      </c>
      <c r="J875" s="3">
        <v>3.2061789035797101</v>
      </c>
      <c r="K875" s="3">
        <v>2.1503851788836799</v>
      </c>
      <c r="L875" s="3">
        <v>1.50728488</v>
      </c>
      <c r="M875" s="3">
        <v>0.57925069299999998</v>
      </c>
      <c r="N875" s="3">
        <v>0.47350779199999998</v>
      </c>
      <c r="O875" s="3">
        <v>0.224150658</v>
      </c>
      <c r="P875" s="3">
        <v>9.1065912999999998E-2</v>
      </c>
      <c r="Q875" s="3"/>
    </row>
    <row r="876" spans="1:17" x14ac:dyDescent="0.25">
      <c r="A876" s="3" t="s">
        <v>149</v>
      </c>
      <c r="B876" s="3" t="s">
        <v>45</v>
      </c>
      <c r="C876" s="3">
        <v>2018</v>
      </c>
      <c r="D876" s="3">
        <v>5.681</v>
      </c>
      <c r="E876" s="3">
        <v>0.83499999999999996</v>
      </c>
      <c r="F876" s="3">
        <v>3.96</v>
      </c>
      <c r="G876" s="3">
        <v>3.0081470012664702</v>
      </c>
      <c r="H876" s="3">
        <v>3.8993782997131299</v>
      </c>
      <c r="I876" s="3">
        <v>3.2023043632507302</v>
      </c>
      <c r="J876" s="3">
        <v>2.6988887786865199</v>
      </c>
      <c r="K876" s="3">
        <v>2.1828444526695701</v>
      </c>
      <c r="L876" s="3">
        <v>1.522</v>
      </c>
      <c r="M876" s="3">
        <v>0.61499999999999999</v>
      </c>
      <c r="N876" s="3">
        <v>0.54100000000000004</v>
      </c>
      <c r="O876" s="3">
        <v>0.16200000000000001</v>
      </c>
      <c r="P876" s="3">
        <v>7.3999999999999996E-2</v>
      </c>
      <c r="Q876" s="3"/>
    </row>
    <row r="877" spans="1:17" x14ac:dyDescent="0.25">
      <c r="A877" s="3" t="s">
        <v>149</v>
      </c>
      <c r="B877" s="3" t="s">
        <v>45</v>
      </c>
      <c r="C877" s="3">
        <v>2019</v>
      </c>
      <c r="D877" s="3">
        <v>5.7430000000000003</v>
      </c>
      <c r="E877" s="3">
        <v>0.85499999999999998</v>
      </c>
      <c r="F877" s="3">
        <v>2.7569999694824201</v>
      </c>
      <c r="G877" s="3">
        <v>2.9445350170135498</v>
      </c>
      <c r="H877" s="3">
        <v>1.1644467115402199</v>
      </c>
      <c r="I877" s="3">
        <v>2.62682652473449</v>
      </c>
      <c r="J877" s="3">
        <v>1.4234806299209499</v>
      </c>
      <c r="K877" s="3">
        <v>2.8660949569406502</v>
      </c>
      <c r="L877" s="3">
        <v>1.4750000000000001</v>
      </c>
      <c r="M877" s="3">
        <v>0.77700000000000002</v>
      </c>
      <c r="N877" s="3">
        <v>0.51400000000000001</v>
      </c>
      <c r="O877" s="3">
        <v>0.184</v>
      </c>
      <c r="P877" s="3">
        <v>0.08</v>
      </c>
      <c r="Q877" s="3"/>
    </row>
    <row r="878" spans="1:17" x14ac:dyDescent="0.25">
      <c r="A878" s="3" t="s">
        <v>149</v>
      </c>
      <c r="B878" s="3" t="s">
        <v>45</v>
      </c>
      <c r="C878" s="3">
        <v>2020</v>
      </c>
      <c r="D878" s="3">
        <v>5.6921000480000004</v>
      </c>
      <c r="E878" s="3">
        <v>0.89799082299999999</v>
      </c>
      <c r="F878" s="3">
        <v>1.76751592356725</v>
      </c>
      <c r="G878" s="3">
        <v>1.41034783297677</v>
      </c>
      <c r="H878" s="3">
        <v>1.2090096473693801</v>
      </c>
      <c r="I878" s="3">
        <v>2.6955687999725302</v>
      </c>
      <c r="J878" s="3">
        <v>2.7395396232604901</v>
      </c>
      <c r="K878" s="3">
        <v>2.9684666443650101</v>
      </c>
      <c r="L878" s="3">
        <v>1.36819756</v>
      </c>
      <c r="M878" s="3">
        <v>0.73586964600000004</v>
      </c>
      <c r="N878" s="3">
        <v>0.586510062</v>
      </c>
      <c r="O878" s="3">
        <v>0.20429924099999999</v>
      </c>
      <c r="P878" s="3">
        <v>6.5077379000000005E-2</v>
      </c>
      <c r="Q878" s="3"/>
    </row>
    <row r="879" spans="1:17" x14ac:dyDescent="0.25">
      <c r="A879" s="3" t="s">
        <v>149</v>
      </c>
      <c r="B879" s="3" t="s">
        <v>45</v>
      </c>
      <c r="C879" s="3">
        <v>2021</v>
      </c>
      <c r="D879" s="3">
        <v>5.6529999999999996</v>
      </c>
      <c r="E879" s="3">
        <v>0.98299999999999998</v>
      </c>
      <c r="F879" s="3">
        <v>4.7879831012361196</v>
      </c>
      <c r="G879" s="3">
        <v>2.44</v>
      </c>
      <c r="H879" s="3">
        <v>9.2200000000000006</v>
      </c>
      <c r="I879" s="3">
        <v>4.5720071656670997</v>
      </c>
      <c r="J879" s="3">
        <v>8.6431104689348697</v>
      </c>
      <c r="K879" s="3">
        <v>7.1235060285901897</v>
      </c>
      <c r="L879" s="3">
        <v>0.97</v>
      </c>
      <c r="M879" s="3">
        <v>0.54900000000000004</v>
      </c>
      <c r="N879" s="3">
        <v>0.60199999999999998</v>
      </c>
      <c r="O879" s="3">
        <v>0.20599999999999999</v>
      </c>
      <c r="P879" s="3">
        <v>3.6999999999999998E-2</v>
      </c>
      <c r="Q879" s="3"/>
    </row>
    <row r="880" spans="1:17" x14ac:dyDescent="0.25">
      <c r="A880" s="3" t="s">
        <v>149</v>
      </c>
      <c r="B880" s="3" t="s">
        <v>45</v>
      </c>
      <c r="C880" s="3">
        <v>2022</v>
      </c>
      <c r="D880" s="3">
        <v>5.5780000000000003</v>
      </c>
      <c r="E880" s="3">
        <v>1.409</v>
      </c>
      <c r="F880" s="3">
        <v>9.7655666716439899</v>
      </c>
      <c r="G880" s="3">
        <v>2.7628448775397598</v>
      </c>
      <c r="H880" s="3">
        <v>14.6418576949777</v>
      </c>
      <c r="I880" s="3">
        <v>7.4854759422016999</v>
      </c>
      <c r="J880" s="3">
        <v>16.3230194563392</v>
      </c>
      <c r="K880" s="3">
        <v>7.0359873204058498</v>
      </c>
      <c r="L880" s="3">
        <v>1.1299999999999999</v>
      </c>
      <c r="M880" s="3">
        <v>0.624</v>
      </c>
      <c r="N880" s="3">
        <v>0.629</v>
      </c>
      <c r="O880" s="3">
        <v>0.17100000000000001</v>
      </c>
      <c r="P880" s="3">
        <v>5.8999999999999997E-2</v>
      </c>
      <c r="Q880" s="3"/>
    </row>
    <row r="881" spans="1:17" x14ac:dyDescent="0.25">
      <c r="A881" s="3" t="s">
        <v>149</v>
      </c>
      <c r="B881" s="3" t="s">
        <v>45</v>
      </c>
      <c r="C881" s="3">
        <v>2023</v>
      </c>
      <c r="D881" s="3">
        <v>5.7380000000000004</v>
      </c>
      <c r="E881" s="3">
        <v>1.4279999999999999</v>
      </c>
      <c r="F881" s="3">
        <v>4.6320228540335604</v>
      </c>
      <c r="G881" s="3">
        <v>2.22279663166904</v>
      </c>
      <c r="H881" s="3">
        <v>5.9563375692410396</v>
      </c>
      <c r="I881" s="3">
        <v>5.7861548056267997</v>
      </c>
      <c r="J881" s="5"/>
      <c r="K881" s="3">
        <v>2.4987742106315398</v>
      </c>
      <c r="L881" s="3">
        <v>1.427</v>
      </c>
      <c r="M881" s="3">
        <v>0.39200000000000002</v>
      </c>
      <c r="N881" s="3">
        <v>0.67800000000000005</v>
      </c>
      <c r="O881" s="3">
        <v>0.14799999999999999</v>
      </c>
      <c r="P881" s="3">
        <v>6.2E-2</v>
      </c>
      <c r="Q881" s="3"/>
    </row>
    <row r="882" spans="1:17" x14ac:dyDescent="0.25">
      <c r="A882" s="3" t="s">
        <v>150</v>
      </c>
      <c r="B882" s="3" t="s">
        <v>45</v>
      </c>
      <c r="C882" s="3">
        <v>2015</v>
      </c>
      <c r="D882" s="3">
        <v>5.8239999999999998</v>
      </c>
      <c r="E882" s="3">
        <v>0.90019000000000005</v>
      </c>
      <c r="F882" s="3">
        <v>3.54755187034606</v>
      </c>
      <c r="G882" s="3">
        <v>4.8415827751159597</v>
      </c>
      <c r="H882" s="3">
        <v>4.5817899703979403</v>
      </c>
      <c r="I882" s="3">
        <v>3.8208737373352002</v>
      </c>
      <c r="J882" s="3">
        <v>1.77144598960876</v>
      </c>
      <c r="K882" s="3">
        <v>2.74174384348703</v>
      </c>
      <c r="L882" s="3">
        <v>0.97458999999999996</v>
      </c>
      <c r="M882" s="3">
        <v>0.73016999999999999</v>
      </c>
      <c r="N882" s="3">
        <v>0.41496</v>
      </c>
      <c r="O882" s="3">
        <v>0.14982000000000001</v>
      </c>
      <c r="P882" s="3">
        <v>5.9889999999999999E-2</v>
      </c>
      <c r="Q882" s="3"/>
    </row>
    <row r="883" spans="1:17" x14ac:dyDescent="0.25">
      <c r="A883" s="3" t="s">
        <v>150</v>
      </c>
      <c r="B883" s="3" t="s">
        <v>45</v>
      </c>
      <c r="C883" s="3">
        <v>2016</v>
      </c>
      <c r="D883" s="3">
        <v>5.7430000000000003</v>
      </c>
      <c r="E883" s="3">
        <v>0.99602000000000002</v>
      </c>
      <c r="F883" s="3">
        <v>3.5921132564544598</v>
      </c>
      <c r="G883" s="3">
        <v>4.8875207901000897</v>
      </c>
      <c r="H883" s="3">
        <v>4.1013398170471103</v>
      </c>
      <c r="I883" s="3">
        <v>3.99991703033447</v>
      </c>
      <c r="J883" s="3">
        <v>1.58407843112945</v>
      </c>
      <c r="K883" s="3">
        <v>3.4781024499592101</v>
      </c>
      <c r="L883" s="3">
        <v>0.81254999999999999</v>
      </c>
      <c r="M883" s="3">
        <v>0.62994000000000006</v>
      </c>
      <c r="N883" s="3">
        <v>0.37502000000000002</v>
      </c>
      <c r="O883" s="3">
        <v>0.14527000000000001</v>
      </c>
      <c r="P883" s="3">
        <v>5.2920000000000002E-2</v>
      </c>
      <c r="Q883" s="3"/>
    </row>
    <row r="884" spans="1:17" x14ac:dyDescent="0.25">
      <c r="A884" s="3" t="s">
        <v>150</v>
      </c>
      <c r="B884" s="3" t="s">
        <v>45</v>
      </c>
      <c r="C884" s="3">
        <v>2017</v>
      </c>
      <c r="D884" s="3">
        <v>5.7150001530000001</v>
      </c>
      <c r="E884" s="3">
        <v>1.0352252719999999</v>
      </c>
      <c r="F884" s="3">
        <v>2.8039999999999998</v>
      </c>
      <c r="G884" s="3">
        <v>2.2674999237060498</v>
      </c>
      <c r="H884" s="3">
        <v>0.30579599738120999</v>
      </c>
      <c r="I884" s="3">
        <v>2.96921682357788</v>
      </c>
      <c r="J884" s="3">
        <v>1.14598989486694</v>
      </c>
      <c r="K884" s="3">
        <v>3.8648785192669801</v>
      </c>
      <c r="L884" s="3">
        <v>1.218770385</v>
      </c>
      <c r="M884" s="3">
        <v>0.63016611300000003</v>
      </c>
      <c r="N884" s="3">
        <v>0.45000287900000002</v>
      </c>
      <c r="O884" s="3">
        <v>0.126819715</v>
      </c>
      <c r="P884" s="3">
        <v>4.7049087000000003E-2</v>
      </c>
      <c r="Q884" s="3"/>
    </row>
    <row r="885" spans="1:17" x14ac:dyDescent="0.25">
      <c r="A885" s="3" t="s">
        <v>150</v>
      </c>
      <c r="B885" s="3" t="s">
        <v>45</v>
      </c>
      <c r="C885" s="3">
        <v>2018</v>
      </c>
      <c r="D885" s="3">
        <v>5.6630000000000003</v>
      </c>
      <c r="E885" s="3">
        <v>0.93400000000000005</v>
      </c>
      <c r="F885" s="3">
        <v>1.32</v>
      </c>
      <c r="G885" s="3">
        <v>4.1449270248412997</v>
      </c>
      <c r="H885" s="3">
        <v>-0.36549827456474299</v>
      </c>
      <c r="I885" s="3">
        <v>2.32664823532104</v>
      </c>
      <c r="J885" s="3">
        <v>1.6327309608459399</v>
      </c>
      <c r="K885" s="3">
        <v>1.9810298702160001</v>
      </c>
      <c r="L885" s="3">
        <v>1.2490000000000001</v>
      </c>
      <c r="M885" s="3">
        <v>0.67400000000000004</v>
      </c>
      <c r="N885" s="3">
        <v>0.53</v>
      </c>
      <c r="O885" s="3">
        <v>9.1999999999999998E-2</v>
      </c>
      <c r="P885" s="3">
        <v>3.4000000000000002E-2</v>
      </c>
      <c r="Q885" s="3"/>
    </row>
    <row r="886" spans="1:17" x14ac:dyDescent="0.25">
      <c r="A886" s="3" t="s">
        <v>150</v>
      </c>
      <c r="B886" s="3" t="s">
        <v>45</v>
      </c>
      <c r="C886" s="3">
        <v>2019</v>
      </c>
      <c r="D886" s="3">
        <v>5.6970000000000001</v>
      </c>
      <c r="E886" s="3">
        <v>0.96</v>
      </c>
      <c r="F886" s="3">
        <v>2.1359999179839999</v>
      </c>
      <c r="G886" s="3">
        <v>2.15993905067443</v>
      </c>
      <c r="H886" s="3">
        <v>1.7017743587493801</v>
      </c>
      <c r="I886" s="3">
        <v>2.39434742927551</v>
      </c>
      <c r="J886" s="3">
        <v>1.1758048534393299</v>
      </c>
      <c r="K886" s="3">
        <v>1.7777777777777799</v>
      </c>
      <c r="L886" s="3">
        <v>1.274</v>
      </c>
      <c r="M886" s="3">
        <v>0.85399999999999998</v>
      </c>
      <c r="N886" s="3">
        <v>0.45500000000000002</v>
      </c>
      <c r="O886" s="3">
        <v>8.3000000000000004E-2</v>
      </c>
      <c r="P886" s="3">
        <v>2.7E-2</v>
      </c>
      <c r="Q886" s="3"/>
    </row>
    <row r="887" spans="1:17" x14ac:dyDescent="0.25">
      <c r="A887" s="3" t="s">
        <v>150</v>
      </c>
      <c r="B887" s="3" t="s">
        <v>45</v>
      </c>
      <c r="C887" s="3">
        <v>2020</v>
      </c>
      <c r="D887" s="3">
        <v>5.796800137</v>
      </c>
      <c r="E887" s="3">
        <v>0.91854917999999997</v>
      </c>
      <c r="F887" s="3">
        <v>1.8260526977758</v>
      </c>
      <c r="G887" s="3">
        <v>1.2432632446289</v>
      </c>
      <c r="H887" s="3">
        <v>1.8935642242431601</v>
      </c>
      <c r="I887" s="3">
        <v>1.77535223960876</v>
      </c>
      <c r="J887" s="3">
        <v>0.22432681918144201</v>
      </c>
      <c r="K887" s="3">
        <v>4.0749813611673202</v>
      </c>
      <c r="L887" s="3">
        <v>1.208405972</v>
      </c>
      <c r="M887" s="3">
        <v>0.824444175</v>
      </c>
      <c r="N887" s="3">
        <v>0.51321005799999997</v>
      </c>
      <c r="O887" s="3">
        <v>9.1611816999999998E-2</v>
      </c>
      <c r="P887" s="3">
        <v>2.703266E-2</v>
      </c>
      <c r="Q887" s="3"/>
    </row>
    <row r="888" spans="1:17" x14ac:dyDescent="0.25">
      <c r="A888" s="3" t="s">
        <v>150</v>
      </c>
      <c r="B888" s="3" t="s">
        <v>45</v>
      </c>
      <c r="C888" s="3">
        <v>2021</v>
      </c>
      <c r="D888" s="3">
        <v>5.84</v>
      </c>
      <c r="E888" s="3">
        <v>0.98599999999999999</v>
      </c>
      <c r="F888" s="3">
        <v>4.27166381536796</v>
      </c>
      <c r="G888" s="5"/>
      <c r="H888" s="3">
        <v>4.6787383317381597</v>
      </c>
      <c r="I888" s="3">
        <v>2.4011151768600798</v>
      </c>
      <c r="J888" s="3">
        <v>9.3488126438881203</v>
      </c>
      <c r="K888" s="3">
        <v>8.42219311530177</v>
      </c>
      <c r="L888" s="3">
        <v>0.83299999999999996</v>
      </c>
      <c r="M888" s="3">
        <v>0.623</v>
      </c>
      <c r="N888" s="3">
        <v>0.53600000000000003</v>
      </c>
      <c r="O888" s="3">
        <v>8.6999999999999994E-2</v>
      </c>
      <c r="P888" s="3">
        <v>3.1E-2</v>
      </c>
      <c r="Q888" s="3"/>
    </row>
    <row r="889" spans="1:17" x14ac:dyDescent="0.25">
      <c r="A889" s="3" t="s">
        <v>150</v>
      </c>
      <c r="B889" s="3" t="s">
        <v>45</v>
      </c>
      <c r="C889" s="3">
        <v>2022</v>
      </c>
      <c r="D889" s="3">
        <v>5.5590000000000002</v>
      </c>
      <c r="E889" s="3">
        <v>1.397</v>
      </c>
      <c r="F889" s="3">
        <v>8.3337063009623193</v>
      </c>
      <c r="G889" s="3">
        <v>11.299999999999899</v>
      </c>
      <c r="H889" s="5"/>
      <c r="I889" s="3">
        <v>5.5949767726785504</v>
      </c>
      <c r="J889" s="3">
        <v>10.8941645526867</v>
      </c>
      <c r="K889" s="3">
        <v>4.14733901153825</v>
      </c>
      <c r="L889" s="3">
        <v>0.86499999999999999</v>
      </c>
      <c r="M889" s="3">
        <v>0.73499999999999999</v>
      </c>
      <c r="N889" s="3">
        <v>0.54500000000000004</v>
      </c>
      <c r="O889" s="3">
        <v>0.09</v>
      </c>
      <c r="P889" s="3">
        <v>3.6999999999999998E-2</v>
      </c>
      <c r="Q889" s="3"/>
    </row>
    <row r="890" spans="1:17" x14ac:dyDescent="0.25">
      <c r="A890" s="3" t="s">
        <v>150</v>
      </c>
      <c r="B890" s="3" t="s">
        <v>45</v>
      </c>
      <c r="C890" s="3">
        <v>2023</v>
      </c>
      <c r="D890" s="3">
        <v>5.5259999999999998</v>
      </c>
      <c r="E890" s="3">
        <v>1.39</v>
      </c>
      <c r="F890" s="3">
        <v>6.4556134836958599</v>
      </c>
      <c r="G890" s="3">
        <v>-4.0678552287613501</v>
      </c>
      <c r="H890" s="5"/>
      <c r="I890" s="3">
        <v>5.8779929747671602</v>
      </c>
      <c r="J890" s="3">
        <v>1.8938068744344401</v>
      </c>
      <c r="K890" s="3">
        <v>7.1434905629310901</v>
      </c>
      <c r="L890" s="3">
        <v>1.153</v>
      </c>
      <c r="M890" s="3">
        <v>0.499</v>
      </c>
      <c r="N890" s="3">
        <v>0.54900000000000004</v>
      </c>
      <c r="O890" s="3">
        <v>7.2999999999999995E-2</v>
      </c>
      <c r="P890" s="3">
        <v>2.7E-2</v>
      </c>
      <c r="Q890" s="3"/>
    </row>
    <row r="891" spans="1:17" x14ac:dyDescent="0.25">
      <c r="A891" s="3" t="s">
        <v>151</v>
      </c>
      <c r="B891" s="3" t="s">
        <v>67</v>
      </c>
      <c r="C891" s="3">
        <v>2015</v>
      </c>
      <c r="D891" s="3">
        <v>5.0730000000000004</v>
      </c>
      <c r="E891" s="3">
        <v>0.70531999999999995</v>
      </c>
      <c r="F891" s="3">
        <v>1.40340876579284</v>
      </c>
      <c r="G891" s="3">
        <v>-1.1499731540679901</v>
      </c>
      <c r="H891" s="3">
        <v>1.8901225328445399</v>
      </c>
      <c r="I891" s="3">
        <v>2.1</v>
      </c>
      <c r="J891" s="3">
        <v>-6.7159733772277797</v>
      </c>
      <c r="K891" s="3">
        <v>-0.72044571574947402</v>
      </c>
      <c r="L891" s="3">
        <v>1.0351600000000001</v>
      </c>
      <c r="M891" s="3">
        <v>0.58113999999999999</v>
      </c>
      <c r="N891" s="3">
        <v>0.62544999999999995</v>
      </c>
      <c r="O891" s="3">
        <v>0.24990999999999999</v>
      </c>
      <c r="P891" s="3">
        <v>0.12279</v>
      </c>
      <c r="Q891" s="3"/>
    </row>
    <row r="892" spans="1:17" x14ac:dyDescent="0.25">
      <c r="A892" s="3" t="s">
        <v>151</v>
      </c>
      <c r="B892" s="3" t="s">
        <v>67</v>
      </c>
      <c r="C892" s="3">
        <v>2016</v>
      </c>
      <c r="D892" s="3">
        <v>5.2789999999999999</v>
      </c>
      <c r="E892" s="3">
        <v>0.81216999999999995</v>
      </c>
      <c r="F892" s="3">
        <v>1.80812191963195</v>
      </c>
      <c r="G892" s="3">
        <v>0.37970197200775102</v>
      </c>
      <c r="H892" s="3">
        <v>1.58359098434448</v>
      </c>
      <c r="I892" s="3">
        <v>1.9</v>
      </c>
      <c r="J892" s="3">
        <v>-4.7680969238281197</v>
      </c>
      <c r="K892" s="3">
        <v>1.28041110764699</v>
      </c>
      <c r="L892" s="3">
        <v>0.87877000000000005</v>
      </c>
      <c r="M892" s="3">
        <v>0.47036</v>
      </c>
      <c r="N892" s="3">
        <v>0.54854000000000003</v>
      </c>
      <c r="O892" s="3">
        <v>0.21673999999999999</v>
      </c>
      <c r="P892" s="3">
        <v>0.11756999999999999</v>
      </c>
      <c r="Q892" s="3"/>
    </row>
    <row r="893" spans="1:17" x14ac:dyDescent="0.25">
      <c r="A893" s="3" t="s">
        <v>151</v>
      </c>
      <c r="B893" s="3" t="s">
        <v>67</v>
      </c>
      <c r="C893" s="3">
        <v>2017</v>
      </c>
      <c r="D893" s="3">
        <v>5.4299998279999997</v>
      </c>
      <c r="E893" s="3">
        <v>0.85769921500000001</v>
      </c>
      <c r="F893" s="3">
        <v>2.8530000000000002</v>
      </c>
      <c r="G893" s="3">
        <v>2.7364211082458398</v>
      </c>
      <c r="H893" s="3">
        <v>3.0510013103485099</v>
      </c>
      <c r="I893" s="3">
        <v>2.9</v>
      </c>
      <c r="J893" s="3">
        <v>-0.925587177276611</v>
      </c>
      <c r="K893" s="3">
        <v>2.3203974184782599</v>
      </c>
      <c r="L893" s="3">
        <v>1.253917575</v>
      </c>
      <c r="M893" s="3">
        <v>0.46800905500000001</v>
      </c>
      <c r="N893" s="3">
        <v>0.58521467400000005</v>
      </c>
      <c r="O893" s="3">
        <v>0.19351342299999999</v>
      </c>
      <c r="P893" s="3">
        <v>9.9331893000000004E-2</v>
      </c>
      <c r="Q893" s="3"/>
    </row>
    <row r="894" spans="1:17" x14ac:dyDescent="0.25">
      <c r="A894" s="3" t="s">
        <v>151</v>
      </c>
      <c r="B894" s="3" t="s">
        <v>67</v>
      </c>
      <c r="C894" s="3">
        <v>2018</v>
      </c>
      <c r="D894" s="3">
        <v>5.524</v>
      </c>
      <c r="E894" s="3">
        <v>0.77500000000000002</v>
      </c>
      <c r="F894" s="3">
        <v>5.26</v>
      </c>
      <c r="G894" s="3">
        <v>3.97179651260375</v>
      </c>
      <c r="H894" s="3">
        <v>6.8505940437316797</v>
      </c>
      <c r="I894" s="3">
        <v>3.9190520000000002</v>
      </c>
      <c r="J894" s="3">
        <v>0.68342220783233598</v>
      </c>
      <c r="K894" s="3">
        <v>3.7408967363113801</v>
      </c>
      <c r="L894" s="3">
        <v>1.3120000000000001</v>
      </c>
      <c r="M894" s="3">
        <v>0.51300000000000001</v>
      </c>
      <c r="N894" s="3">
        <v>0.64300000000000002</v>
      </c>
      <c r="O894" s="3">
        <v>0.12</v>
      </c>
      <c r="P894" s="3">
        <v>0.105</v>
      </c>
      <c r="Q894" s="3"/>
    </row>
    <row r="895" spans="1:17" x14ac:dyDescent="0.25">
      <c r="A895" s="3" t="s">
        <v>151</v>
      </c>
      <c r="B895" s="3" t="s">
        <v>67</v>
      </c>
      <c r="C895" s="3">
        <v>2019</v>
      </c>
      <c r="D895" s="3">
        <v>5.6310000000000002</v>
      </c>
      <c r="E895" s="3">
        <v>0.80700000000000005</v>
      </c>
      <c r="F895" s="3">
        <v>2.4800000190734801</v>
      </c>
      <c r="G895" s="3">
        <v>2.4035563468933101</v>
      </c>
      <c r="H895" s="3">
        <v>2.0629677772521902</v>
      </c>
      <c r="I895" s="3">
        <v>3.0300829410552899</v>
      </c>
      <c r="J895" s="3">
        <v>1.63158512115478</v>
      </c>
      <c r="K895" s="3">
        <v>0.76399999999999502</v>
      </c>
      <c r="L895" s="3">
        <v>1.2929999999999999</v>
      </c>
      <c r="M895" s="3">
        <v>0.65700000000000003</v>
      </c>
      <c r="N895" s="3">
        <v>0.55800000000000005</v>
      </c>
      <c r="O895" s="3">
        <v>0.11700000000000001</v>
      </c>
      <c r="P895" s="3">
        <v>0.107</v>
      </c>
      <c r="Q895" s="3"/>
    </row>
    <row r="896" spans="1:17" x14ac:dyDescent="0.25">
      <c r="A896" s="3" t="s">
        <v>151</v>
      </c>
      <c r="B896" s="3" t="s">
        <v>67</v>
      </c>
      <c r="C896" s="3">
        <v>2020</v>
      </c>
      <c r="D896" s="3">
        <v>6.0060000420000001</v>
      </c>
      <c r="E896" s="3">
        <v>0.77512067600000001</v>
      </c>
      <c r="F896" s="3">
        <v>2.6352288488211002</v>
      </c>
      <c r="G896" s="3">
        <v>0.91236847914060604</v>
      </c>
      <c r="H896" s="3">
        <v>2.73465871810913</v>
      </c>
      <c r="I896" s="3">
        <v>3.2160236835479701</v>
      </c>
      <c r="J896" s="3">
        <v>-4.0379915237426696</v>
      </c>
      <c r="K896" s="3">
        <v>1.7903219403755299</v>
      </c>
      <c r="L896" s="3">
        <v>1.245381713</v>
      </c>
      <c r="M896" s="3">
        <v>0.60218948100000003</v>
      </c>
      <c r="N896" s="3">
        <v>0.62191516199999997</v>
      </c>
      <c r="O896" s="3">
        <v>0.12926021200000001</v>
      </c>
      <c r="P896" s="3">
        <v>0.13038572700000001</v>
      </c>
      <c r="Q896" s="3"/>
    </row>
    <row r="897" spans="1:17" x14ac:dyDescent="0.25">
      <c r="A897" s="3" t="s">
        <v>151</v>
      </c>
      <c r="B897" s="3" t="s">
        <v>67</v>
      </c>
      <c r="C897" s="3">
        <v>2021</v>
      </c>
      <c r="D897" s="3">
        <v>5.88</v>
      </c>
      <c r="E897" s="3">
        <v>0.85299999999999998</v>
      </c>
      <c r="F897" s="3">
        <v>3.92718022100326</v>
      </c>
      <c r="G897" s="3">
        <v>2.5692549231978998</v>
      </c>
      <c r="H897" s="3">
        <v>4.5555279523719596</v>
      </c>
      <c r="I897" s="3">
        <v>3.5919201446199498</v>
      </c>
      <c r="J897" s="3">
        <v>-1.78076062639829</v>
      </c>
      <c r="K897" s="3">
        <v>2.2934362842843599</v>
      </c>
      <c r="L897" s="3">
        <v>0.82799999999999996</v>
      </c>
      <c r="M897" s="3">
        <v>0.42599999999999999</v>
      </c>
      <c r="N897" s="3">
        <v>0.65100000000000002</v>
      </c>
      <c r="O897" s="3">
        <v>0.125</v>
      </c>
      <c r="P897" s="3">
        <v>0.126</v>
      </c>
      <c r="Q897" s="3"/>
    </row>
    <row r="898" spans="1:17" x14ac:dyDescent="0.25">
      <c r="A898" s="3" t="s">
        <v>151</v>
      </c>
      <c r="B898" s="3" t="s">
        <v>67</v>
      </c>
      <c r="C898" s="3">
        <v>2022</v>
      </c>
      <c r="D898" s="3">
        <v>5.9039999999999999</v>
      </c>
      <c r="E898" s="3">
        <v>1.268</v>
      </c>
      <c r="F898" s="3">
        <v>5.8211581121395204</v>
      </c>
      <c r="G898" s="3">
        <v>6.1282236109578401</v>
      </c>
      <c r="H898" s="3">
        <v>4.9567368609243303</v>
      </c>
      <c r="I898" s="3">
        <v>4.5520066762764602</v>
      </c>
      <c r="J898" s="3">
        <v>6.5026159152342897</v>
      </c>
      <c r="K898" s="3">
        <v>5.4437991542126696</v>
      </c>
      <c r="L898" s="3">
        <v>0.91200000000000003</v>
      </c>
      <c r="M898" s="3">
        <v>0.51400000000000001</v>
      </c>
      <c r="N898" s="3">
        <v>0.67800000000000005</v>
      </c>
      <c r="O898" s="3">
        <v>0.107</v>
      </c>
      <c r="P898" s="3">
        <v>0.14199999999999999</v>
      </c>
      <c r="Q898" s="3"/>
    </row>
    <row r="899" spans="1:17" x14ac:dyDescent="0.25">
      <c r="A899" s="3" t="s">
        <v>151</v>
      </c>
      <c r="B899" s="3" t="s">
        <v>67</v>
      </c>
      <c r="C899" s="3">
        <v>2023</v>
      </c>
      <c r="D899" s="3">
        <v>5.5229999999999997</v>
      </c>
      <c r="E899" s="3">
        <v>1.238</v>
      </c>
      <c r="F899" s="3">
        <v>5.9780251554140902</v>
      </c>
      <c r="G899" s="5"/>
      <c r="H899" s="3">
        <v>7.88351759520196</v>
      </c>
      <c r="I899" s="3">
        <v>4.8835353022277399</v>
      </c>
      <c r="J899" s="5"/>
      <c r="K899" s="3">
        <v>4.8869232471877</v>
      </c>
      <c r="L899" s="3">
        <v>1.1080000000000001</v>
      </c>
      <c r="M899" s="3">
        <v>0.28599999999999998</v>
      </c>
      <c r="N899" s="3">
        <v>0.71399999999999997</v>
      </c>
      <c r="O899" s="3">
        <v>0.104</v>
      </c>
      <c r="P899" s="3">
        <v>0.14099999999999999</v>
      </c>
      <c r="Q899" s="3"/>
    </row>
    <row r="900" spans="1:17" x14ac:dyDescent="0.25">
      <c r="A900" s="3" t="s">
        <v>152</v>
      </c>
      <c r="B900" s="3" t="s">
        <v>39</v>
      </c>
      <c r="C900" s="3">
        <v>2015</v>
      </c>
      <c r="D900" s="3">
        <v>5.7910000000000004</v>
      </c>
      <c r="E900" s="3">
        <v>1.1255500000000001</v>
      </c>
      <c r="F900" s="3">
        <v>-0.87412756681442205</v>
      </c>
      <c r="G900" s="3">
        <v>0.70259362459182695</v>
      </c>
      <c r="H900" s="3">
        <v>-1.63140869140625</v>
      </c>
      <c r="I900" s="3">
        <v>0.31582891941070501</v>
      </c>
      <c r="J900" s="3">
        <v>-2.2739930152893</v>
      </c>
      <c r="K900" s="3">
        <v>0.97440298884233101</v>
      </c>
      <c r="L900" s="3">
        <v>1.27948</v>
      </c>
      <c r="M900" s="3">
        <v>0.77903</v>
      </c>
      <c r="N900" s="3">
        <v>0.53122000000000003</v>
      </c>
      <c r="O900" s="3">
        <v>0.16758999999999999</v>
      </c>
      <c r="P900" s="3">
        <v>4.2119999999999998E-2</v>
      </c>
      <c r="Q900" s="3"/>
    </row>
    <row r="901" spans="1:17" x14ac:dyDescent="0.25">
      <c r="A901" s="3" t="s">
        <v>152</v>
      </c>
      <c r="B901" s="3" t="s">
        <v>39</v>
      </c>
      <c r="C901" s="3">
        <v>2016</v>
      </c>
      <c r="D901" s="3">
        <v>5.835</v>
      </c>
      <c r="E901" s="3">
        <v>1.2458499999999999</v>
      </c>
      <c r="F901" s="3">
        <v>-0.664764404296875</v>
      </c>
      <c r="G901" s="3">
        <v>-0.60646784305572499</v>
      </c>
      <c r="H901" s="3">
        <v>0.89483696222305298</v>
      </c>
      <c r="I901" s="3">
        <v>-0.25437775254249501</v>
      </c>
      <c r="J901" s="3">
        <v>-0.28340366482734602</v>
      </c>
      <c r="K901" s="3">
        <v>0.311999999999997</v>
      </c>
      <c r="L901" s="3">
        <v>1.0468500000000001</v>
      </c>
      <c r="M901" s="3">
        <v>0.69057999999999997</v>
      </c>
      <c r="N901" s="3">
        <v>0.45190000000000002</v>
      </c>
      <c r="O901" s="3">
        <v>0.14443</v>
      </c>
      <c r="P901" s="3">
        <v>5.5E-2</v>
      </c>
      <c r="Q901" s="3"/>
    </row>
    <row r="902" spans="1:17" x14ac:dyDescent="0.25">
      <c r="A902" s="3" t="s">
        <v>152</v>
      </c>
      <c r="B902" s="3" t="s">
        <v>39</v>
      </c>
      <c r="C902" s="3">
        <v>2017</v>
      </c>
      <c r="D902" s="3">
        <v>5.9730000499999996</v>
      </c>
      <c r="E902" s="3">
        <v>1.2917878629999999</v>
      </c>
      <c r="F902" s="3">
        <v>1.9750000000000001</v>
      </c>
      <c r="G902" s="3">
        <v>1.80185866355896</v>
      </c>
      <c r="H902" s="3">
        <v>4.3478527069091797</v>
      </c>
      <c r="I902" s="3">
        <v>0.77536100149154596</v>
      </c>
      <c r="J902" s="3">
        <v>2.7250697612762398</v>
      </c>
      <c r="K902" s="3">
        <v>1.8591992981896499</v>
      </c>
      <c r="L902" s="3">
        <v>1.4457119700000001</v>
      </c>
      <c r="M902" s="3">
        <v>0.699475348</v>
      </c>
      <c r="N902" s="3">
        <v>0.52034211200000002</v>
      </c>
      <c r="O902" s="3">
        <v>0.15846596700000001</v>
      </c>
      <c r="P902" s="3">
        <v>5.9307805999999998E-2</v>
      </c>
      <c r="Q902" s="3"/>
    </row>
    <row r="903" spans="1:17" x14ac:dyDescent="0.25">
      <c r="A903" s="3" t="s">
        <v>152</v>
      </c>
      <c r="B903" s="3" t="s">
        <v>39</v>
      </c>
      <c r="C903" s="3">
        <v>2018</v>
      </c>
      <c r="D903" s="3">
        <v>6.1230000000000002</v>
      </c>
      <c r="E903" s="3">
        <v>1.1759999999999999</v>
      </c>
      <c r="F903" s="3">
        <v>1.81</v>
      </c>
      <c r="G903" s="3">
        <v>2.0572230815887398</v>
      </c>
      <c r="H903" s="3">
        <v>2.5639166831970202</v>
      </c>
      <c r="I903" s="3">
        <v>0.73714703321456898</v>
      </c>
      <c r="J903" s="3">
        <v>2.06688976287841</v>
      </c>
      <c r="K903" s="3">
        <v>1.20183602963484</v>
      </c>
      <c r="L903" s="3">
        <v>1.448</v>
      </c>
      <c r="M903" s="3">
        <v>0.78100000000000003</v>
      </c>
      <c r="N903" s="3">
        <v>0.54600000000000004</v>
      </c>
      <c r="O903" s="3">
        <v>0.108</v>
      </c>
      <c r="P903" s="3">
        <v>6.4000000000000001E-2</v>
      </c>
      <c r="Q903" s="3"/>
    </row>
    <row r="904" spans="1:17" x14ac:dyDescent="0.25">
      <c r="A904" s="3" t="s">
        <v>152</v>
      </c>
      <c r="B904" s="3" t="s">
        <v>39</v>
      </c>
      <c r="C904" s="3">
        <v>2019</v>
      </c>
      <c r="D904" s="3">
        <v>6.1820000000000004</v>
      </c>
      <c r="E904" s="3">
        <v>1.206</v>
      </c>
      <c r="F904" s="3">
        <v>2.30800008773803</v>
      </c>
      <c r="G904" s="3">
        <v>-0.38333329558372498</v>
      </c>
      <c r="H904" s="3">
        <v>4.8455700874328604</v>
      </c>
      <c r="I904" s="3">
        <v>1.88660800457</v>
      </c>
      <c r="J904" s="3">
        <v>1.4270888566970801</v>
      </c>
      <c r="K904" s="3">
        <v>3.1487839079348099</v>
      </c>
      <c r="L904" s="3">
        <v>1.4379999999999999</v>
      </c>
      <c r="M904" s="3">
        <v>0.88400000000000001</v>
      </c>
      <c r="N904" s="3">
        <v>0.48299999999999998</v>
      </c>
      <c r="O904" s="3">
        <v>0.11700000000000001</v>
      </c>
      <c r="P904" s="3">
        <v>0.05</v>
      </c>
      <c r="Q904" s="3"/>
    </row>
    <row r="905" spans="1:17" x14ac:dyDescent="0.25">
      <c r="A905" s="3" t="s">
        <v>152</v>
      </c>
      <c r="B905" s="3" t="s">
        <v>39</v>
      </c>
      <c r="C905" s="3">
        <v>2020</v>
      </c>
      <c r="D905" s="3">
        <v>6.1862998009999997</v>
      </c>
      <c r="E905" s="3">
        <v>1.1692291500000001</v>
      </c>
      <c r="F905" s="3">
        <v>3.3744697261854402</v>
      </c>
      <c r="G905" s="3">
        <v>7.4896199297349</v>
      </c>
      <c r="H905" s="3">
        <v>4.7252168655395499</v>
      </c>
      <c r="I905" s="3">
        <v>3.8833329999999999</v>
      </c>
      <c r="J905" s="3">
        <v>-0.52664643526077204</v>
      </c>
      <c r="K905" s="3">
        <v>4.1186563036161301</v>
      </c>
      <c r="L905" s="3">
        <v>1.3103997709999999</v>
      </c>
      <c r="M905" s="3">
        <v>0.86803847599999995</v>
      </c>
      <c r="N905" s="3">
        <v>0.55790352799999998</v>
      </c>
      <c r="O905" s="3">
        <v>6.3374243999999996E-2</v>
      </c>
      <c r="P905" s="3">
        <v>0.160541251</v>
      </c>
      <c r="Q905" s="3"/>
    </row>
    <row r="906" spans="1:17" x14ac:dyDescent="0.25">
      <c r="A906" s="3" t="s">
        <v>152</v>
      </c>
      <c r="B906" s="3" t="s">
        <v>39</v>
      </c>
      <c r="C906" s="3">
        <v>2021</v>
      </c>
      <c r="D906" s="3">
        <v>6.1660000000000004</v>
      </c>
      <c r="E906" s="3">
        <v>1.3089999999999999</v>
      </c>
      <c r="F906" s="3">
        <v>5.0999999999999996</v>
      </c>
      <c r="G906" s="3">
        <v>12.14167</v>
      </c>
      <c r="H906" s="3">
        <v>3.1829999999999998</v>
      </c>
      <c r="I906" s="3">
        <v>4.0999999999999996</v>
      </c>
      <c r="J906" s="3">
        <v>8.0436156763589199</v>
      </c>
      <c r="K906" s="3">
        <v>5.0525060023998503</v>
      </c>
      <c r="L906" s="3">
        <v>0.98199999999999998</v>
      </c>
      <c r="M906" s="3">
        <v>0.66800000000000004</v>
      </c>
      <c r="N906" s="3">
        <v>0.55800000000000005</v>
      </c>
      <c r="O906" s="3">
        <v>0.08</v>
      </c>
      <c r="P906" s="3">
        <v>0.13</v>
      </c>
      <c r="Q906" s="3"/>
    </row>
    <row r="907" spans="1:17" x14ac:dyDescent="0.25">
      <c r="A907" s="3" t="s">
        <v>152</v>
      </c>
      <c r="B907" s="3" t="s">
        <v>39</v>
      </c>
      <c r="C907" s="3">
        <v>2022</v>
      </c>
      <c r="D907" s="3">
        <v>6.1230000000000002</v>
      </c>
      <c r="E907" s="3">
        <v>1.758</v>
      </c>
      <c r="F907" s="3">
        <v>14.3</v>
      </c>
      <c r="G907" s="3">
        <v>29.0990493396666</v>
      </c>
      <c r="H907" s="3">
        <v>15.366669999999999</v>
      </c>
      <c r="I907" s="3">
        <v>8.9558295964125403</v>
      </c>
      <c r="J907" s="3">
        <v>22.414801813661299</v>
      </c>
      <c r="K907" s="3">
        <v>10.297049304509899</v>
      </c>
      <c r="L907" s="3">
        <v>1.1739999999999999</v>
      </c>
      <c r="M907" s="3">
        <v>0.71199999999999997</v>
      </c>
      <c r="N907" s="3">
        <v>0.52300000000000002</v>
      </c>
      <c r="O907" s="3">
        <v>0.124</v>
      </c>
      <c r="P907" s="3">
        <v>0.14000000000000001</v>
      </c>
      <c r="Q907" s="3"/>
    </row>
    <row r="908" spans="1:17" x14ac:dyDescent="0.25">
      <c r="A908" s="3" t="s">
        <v>152</v>
      </c>
      <c r="B908" s="3" t="s">
        <v>39</v>
      </c>
      <c r="C908" s="3">
        <v>2023</v>
      </c>
      <c r="D908" s="3">
        <v>6.26</v>
      </c>
      <c r="E908" s="3">
        <v>1.7669999999999999</v>
      </c>
      <c r="F908" s="3">
        <v>11.5289127961105</v>
      </c>
      <c r="G908" s="3">
        <v>11.6536525083232</v>
      </c>
      <c r="H908" s="3">
        <v>14.9516365190791</v>
      </c>
      <c r="I908" s="3">
        <v>9.9349648237152302</v>
      </c>
      <c r="J908" s="3">
        <v>2.5867734034289902</v>
      </c>
      <c r="K908" s="3">
        <v>10.991340063225</v>
      </c>
      <c r="L908" s="3">
        <v>1.474</v>
      </c>
      <c r="M908" s="3">
        <v>0.47699999999999998</v>
      </c>
      <c r="N908" s="3">
        <v>0.51100000000000001</v>
      </c>
      <c r="O908" s="3">
        <v>0.12</v>
      </c>
      <c r="P908" s="3">
        <v>0.13900000000000001</v>
      </c>
      <c r="Q908" s="3"/>
    </row>
    <row r="909" spans="1:17" x14ac:dyDescent="0.25">
      <c r="A909" s="3" t="s">
        <v>153</v>
      </c>
      <c r="B909" s="3" t="s">
        <v>50</v>
      </c>
      <c r="C909" s="3">
        <v>2015</v>
      </c>
      <c r="D909" s="3">
        <v>5.1020000000000003</v>
      </c>
      <c r="E909" s="3">
        <v>1.15991</v>
      </c>
      <c r="F909" s="3">
        <v>0.48794212937355003</v>
      </c>
      <c r="G909" s="3">
        <v>0.231446117162704</v>
      </c>
      <c r="H909" s="3">
        <v>1.0141288042068399</v>
      </c>
      <c r="I909" s="3">
        <v>-24.8457851409912</v>
      </c>
      <c r="J909" s="3">
        <v>-3.26456451416015</v>
      </c>
      <c r="K909" s="3">
        <v>2.0193844301932198</v>
      </c>
      <c r="L909" s="3">
        <v>1.1393500000000001</v>
      </c>
      <c r="M909" s="3">
        <v>0.87519000000000002</v>
      </c>
      <c r="N909" s="3">
        <v>0.51468999999999998</v>
      </c>
      <c r="O909" s="3">
        <v>0.13719000000000001</v>
      </c>
      <c r="P909" s="3">
        <v>1.078E-2</v>
      </c>
      <c r="Q909" s="3"/>
    </row>
    <row r="910" spans="1:17" x14ac:dyDescent="0.25">
      <c r="A910" s="3" t="s">
        <v>153</v>
      </c>
      <c r="B910" s="3" t="s">
        <v>50</v>
      </c>
      <c r="C910" s="3">
        <v>2016</v>
      </c>
      <c r="D910" s="3">
        <v>5.1230000000000002</v>
      </c>
      <c r="E910" s="3">
        <v>1.27607</v>
      </c>
      <c r="F910" s="3">
        <v>0.60739898681640603</v>
      </c>
      <c r="G910" s="3">
        <v>0.38593655824661199</v>
      </c>
      <c r="H910" s="3">
        <v>0.49003675580024703</v>
      </c>
      <c r="I910" s="3">
        <v>0.73813527822494496</v>
      </c>
      <c r="J910" s="3">
        <v>-2.6831152439117401</v>
      </c>
      <c r="K910" s="3">
        <v>1.7169826674261499</v>
      </c>
      <c r="L910" s="3">
        <v>0.94367000000000001</v>
      </c>
      <c r="M910" s="3">
        <v>0.79362999999999995</v>
      </c>
      <c r="N910" s="3">
        <v>0.44727</v>
      </c>
      <c r="O910" s="3">
        <v>0.11691</v>
      </c>
      <c r="P910" s="3">
        <v>1.521E-2</v>
      </c>
      <c r="Q910" s="3"/>
    </row>
    <row r="911" spans="1:17" x14ac:dyDescent="0.25">
      <c r="A911" s="3" t="s">
        <v>153</v>
      </c>
      <c r="B911" s="3" t="s">
        <v>50</v>
      </c>
      <c r="C911" s="3">
        <v>2017</v>
      </c>
      <c r="D911" s="3">
        <v>5.1950001720000003</v>
      </c>
      <c r="E911" s="3">
        <v>1.315175295</v>
      </c>
      <c r="F911" s="3">
        <v>1.556</v>
      </c>
      <c r="G911" s="3">
        <v>0.596155285835266</v>
      </c>
      <c r="H911" s="3">
        <v>1.53166568279266</v>
      </c>
      <c r="I911" s="3">
        <v>1.08843505382537</v>
      </c>
      <c r="J911" s="3">
        <v>3.3393404483795099</v>
      </c>
      <c r="K911" s="3">
        <v>1.512</v>
      </c>
      <c r="L911" s="3">
        <v>1.3670430179999999</v>
      </c>
      <c r="M911" s="3">
        <v>0.79584354199999996</v>
      </c>
      <c r="N911" s="3">
        <v>0.4984653</v>
      </c>
      <c r="O911" s="3">
        <v>9.5102713000000005E-2</v>
      </c>
      <c r="P911" s="3">
        <v>1.5869451999999999E-2</v>
      </c>
      <c r="Q911" s="3"/>
    </row>
    <row r="912" spans="1:17" x14ac:dyDescent="0.25">
      <c r="A912" s="3" t="s">
        <v>153</v>
      </c>
      <c r="B912" s="3" t="s">
        <v>50</v>
      </c>
      <c r="C912" s="3">
        <v>2018</v>
      </c>
      <c r="D912" s="3">
        <v>5.41</v>
      </c>
      <c r="E912" s="3">
        <v>1.1879999999999999</v>
      </c>
      <c r="F912" s="3">
        <v>0.99</v>
      </c>
      <c r="G912" s="3">
        <v>2.1905479431152299</v>
      </c>
      <c r="H912" s="3">
        <v>0.73796880245208696</v>
      </c>
      <c r="I912" s="3">
        <v>0.66808277368545499</v>
      </c>
      <c r="J912" s="3">
        <v>2.6679894924163801</v>
      </c>
      <c r="K912" s="3">
        <v>1.81259358499488</v>
      </c>
      <c r="L912" s="3">
        <v>1.429</v>
      </c>
      <c r="M912" s="3">
        <v>0.88400000000000001</v>
      </c>
      <c r="N912" s="3">
        <v>0.56200000000000006</v>
      </c>
      <c r="O912" s="3">
        <v>5.5E-2</v>
      </c>
      <c r="P912" s="3">
        <v>1.7000000000000001E-2</v>
      </c>
      <c r="Q912" s="3"/>
    </row>
    <row r="913" spans="1:17" x14ac:dyDescent="0.25">
      <c r="A913" s="3" t="s">
        <v>153</v>
      </c>
      <c r="B913" s="3" t="s">
        <v>50</v>
      </c>
      <c r="C913" s="3">
        <v>2019</v>
      </c>
      <c r="D913" s="3">
        <v>5.6929999999999996</v>
      </c>
      <c r="E913" s="3">
        <v>1.2210000000000001</v>
      </c>
      <c r="F913" s="3">
        <v>0.30000001192092801</v>
      </c>
      <c r="G913" s="3">
        <v>-1.7696900367736801</v>
      </c>
      <c r="H913" s="3">
        <v>0.31693011195824899</v>
      </c>
      <c r="I913" s="3">
        <v>0.48887738585472101</v>
      </c>
      <c r="J913" s="3">
        <v>1.61510482430458E-2</v>
      </c>
      <c r="K913" s="3">
        <v>1.7396857341899501</v>
      </c>
      <c r="L913" s="3">
        <v>1.431</v>
      </c>
      <c r="M913" s="3">
        <v>0.999</v>
      </c>
      <c r="N913" s="3">
        <v>0.50800000000000001</v>
      </c>
      <c r="O913" s="3">
        <v>4.7E-2</v>
      </c>
      <c r="P913" s="3">
        <v>2.5000000000000001E-2</v>
      </c>
      <c r="Q913" s="3"/>
    </row>
    <row r="914" spans="1:17" x14ac:dyDescent="0.25">
      <c r="A914" s="3" t="s">
        <v>153</v>
      </c>
      <c r="B914" s="3" t="s">
        <v>50</v>
      </c>
      <c r="C914" s="3">
        <v>2020</v>
      </c>
      <c r="D914" s="3">
        <v>5.9109001159999996</v>
      </c>
      <c r="E914" s="3">
        <v>1.168800831</v>
      </c>
      <c r="F914" s="3">
        <v>-1.2438329957616699E-2</v>
      </c>
      <c r="G914" s="3">
        <v>7.4857382453527299E-2</v>
      </c>
      <c r="H914" s="3">
        <v>2.0873439311981201</v>
      </c>
      <c r="I914" s="3">
        <v>-3.92725802958011E-2</v>
      </c>
      <c r="J914" s="3">
        <v>-4.1797789074477301</v>
      </c>
      <c r="K914" s="3">
        <v>2.52591535901092</v>
      </c>
      <c r="L914" s="3">
        <v>1.3395303489999999</v>
      </c>
      <c r="M914" s="3">
        <v>0.97931528099999998</v>
      </c>
      <c r="N914" s="3">
        <v>0.58989518900000004</v>
      </c>
      <c r="O914" s="3">
        <v>5.3036947000000001E-2</v>
      </c>
      <c r="P914" s="3">
        <v>2.7733465999999998E-2</v>
      </c>
      <c r="Q914" s="3"/>
    </row>
    <row r="915" spans="1:17" x14ac:dyDescent="0.25">
      <c r="A915" s="3" t="s">
        <v>153</v>
      </c>
      <c r="B915" s="3" t="s">
        <v>50</v>
      </c>
      <c r="C915" s="3">
        <v>2021</v>
      </c>
      <c r="D915" s="3">
        <v>5.9290000000000003</v>
      </c>
      <c r="E915" s="3">
        <v>1.323</v>
      </c>
      <c r="F915" s="3">
        <v>1.265657</v>
      </c>
      <c r="G915" s="3">
        <v>7.2761620000000002</v>
      </c>
      <c r="H915" s="3">
        <v>0.73599999999999999</v>
      </c>
      <c r="I915" s="3">
        <v>0.752</v>
      </c>
      <c r="J915" s="3">
        <v>8.8658752210151199</v>
      </c>
      <c r="K915" s="3">
        <v>1.39879177784729</v>
      </c>
      <c r="L915" s="3">
        <v>0.93899999999999995</v>
      </c>
      <c r="M915" s="3">
        <v>0.76</v>
      </c>
      <c r="N915" s="3">
        <v>0.621</v>
      </c>
      <c r="O915" s="3">
        <v>2.9000000000000001E-2</v>
      </c>
      <c r="P915" s="3">
        <v>3.3000000000000002E-2</v>
      </c>
      <c r="Q915" s="3"/>
    </row>
    <row r="916" spans="1:17" x14ac:dyDescent="0.25">
      <c r="A916" s="3" t="s">
        <v>153</v>
      </c>
      <c r="B916" s="3" t="s">
        <v>50</v>
      </c>
      <c r="C916" s="3">
        <v>2022</v>
      </c>
      <c r="D916" s="3">
        <v>6.016</v>
      </c>
      <c r="E916" s="3">
        <v>1.76</v>
      </c>
      <c r="F916" s="3">
        <v>7.8326909999999996</v>
      </c>
      <c r="G916" s="3">
        <v>23.605342243255802</v>
      </c>
      <c r="H916" s="3">
        <v>12.991070000000001</v>
      </c>
      <c r="I916" s="3">
        <v>5.6098795180722796</v>
      </c>
      <c r="J916" s="3">
        <v>20.502706883216799</v>
      </c>
      <c r="K916" s="3">
        <v>4.2985770429779304</v>
      </c>
      <c r="L916" s="3">
        <v>1.0780000000000001</v>
      </c>
      <c r="M916" s="3">
        <v>0.77700000000000002</v>
      </c>
      <c r="N916" s="3">
        <v>0.65500000000000003</v>
      </c>
      <c r="O916" s="3">
        <v>1.6E-2</v>
      </c>
      <c r="P916" s="3">
        <v>3.9E-2</v>
      </c>
      <c r="Q916" s="3"/>
    </row>
    <row r="917" spans="1:17" x14ac:dyDescent="0.25">
      <c r="A917" s="3" t="s">
        <v>153</v>
      </c>
      <c r="B917" s="3" t="s">
        <v>50</v>
      </c>
      <c r="C917" s="3">
        <v>2023</v>
      </c>
      <c r="D917" s="3">
        <v>5.968</v>
      </c>
      <c r="E917" s="3">
        <v>1.758</v>
      </c>
      <c r="F917" s="3">
        <v>4.3112819189867198</v>
      </c>
      <c r="G917" s="3">
        <v>-8.5741132555988404</v>
      </c>
      <c r="H917" s="3">
        <v>10.0403731659089</v>
      </c>
      <c r="I917" s="3">
        <v>5.0235086259135198</v>
      </c>
      <c r="J917" s="3">
        <v>-2.1885629933889601</v>
      </c>
      <c r="K917" s="3">
        <v>7.2457029326645896</v>
      </c>
      <c r="L917" s="3">
        <v>1.3560000000000001</v>
      </c>
      <c r="M917" s="3">
        <v>0.53700000000000003</v>
      </c>
      <c r="N917" s="3">
        <v>0.69299999999999995</v>
      </c>
      <c r="O917" s="3">
        <v>3.1E-2</v>
      </c>
      <c r="P917" s="3">
        <v>3.6999999999999998E-2</v>
      </c>
      <c r="Q917" s="3"/>
    </row>
    <row r="918" spans="1:17" x14ac:dyDescent="0.25">
      <c r="A918" s="3" t="s">
        <v>154</v>
      </c>
      <c r="B918" s="3" t="s">
        <v>45</v>
      </c>
      <c r="C918" s="3">
        <v>2016</v>
      </c>
      <c r="D918" s="3">
        <v>7.0389999999999997</v>
      </c>
      <c r="E918" s="3">
        <v>1.3594299999999999</v>
      </c>
      <c r="F918" s="3">
        <v>-0.29399999976158098</v>
      </c>
      <c r="G918" s="5"/>
      <c r="H918" s="5"/>
      <c r="I918" s="5"/>
      <c r="J918" s="5"/>
      <c r="K918" s="3">
        <v>2.2212234706616698</v>
      </c>
      <c r="L918" s="3">
        <v>1.0811299999999999</v>
      </c>
      <c r="M918" s="3">
        <v>0.77758000000000005</v>
      </c>
      <c r="N918" s="3">
        <v>0.46822999999999998</v>
      </c>
      <c r="O918" s="3">
        <v>0.22202</v>
      </c>
      <c r="P918" s="3">
        <v>0.12275</v>
      </c>
      <c r="Q918" s="3"/>
    </row>
    <row r="919" spans="1:17" x14ac:dyDescent="0.25">
      <c r="A919" s="3" t="s">
        <v>155</v>
      </c>
      <c r="B919" s="3" t="s">
        <v>41</v>
      </c>
      <c r="C919" s="3">
        <v>2015</v>
      </c>
      <c r="D919" s="3">
        <v>6.6109999999999998</v>
      </c>
      <c r="E919" s="3">
        <v>1.69042</v>
      </c>
      <c r="F919" s="3">
        <v>1.86084461212158</v>
      </c>
      <c r="G919" s="3">
        <v>2.8699998855590798</v>
      </c>
      <c r="H919" s="3">
        <v>0.83999997377395597</v>
      </c>
      <c r="I919" s="5"/>
      <c r="J919" s="3">
        <v>-37.925991058349602</v>
      </c>
      <c r="K919" s="3">
        <v>-25.129437411747201</v>
      </c>
      <c r="L919" s="3">
        <v>1.0786</v>
      </c>
      <c r="M919" s="3">
        <v>0.79732999999999998</v>
      </c>
      <c r="N919" s="3">
        <v>0.64039999999999997</v>
      </c>
      <c r="O919" s="3">
        <v>0.32573000000000002</v>
      </c>
      <c r="P919" s="3">
        <v>0.52207999999999999</v>
      </c>
      <c r="Q919" s="3"/>
    </row>
    <row r="920" spans="1:17" x14ac:dyDescent="0.25">
      <c r="A920" s="3" t="s">
        <v>155</v>
      </c>
      <c r="B920" s="3" t="s">
        <v>41</v>
      </c>
      <c r="C920" s="3">
        <v>2016</v>
      </c>
      <c r="D920" s="3">
        <v>6.375</v>
      </c>
      <c r="E920" s="3">
        <v>1.8242700000000001</v>
      </c>
      <c r="F920" s="3">
        <v>2.6812829971313401</v>
      </c>
      <c r="G920" s="3">
        <v>4.0298490524291903</v>
      </c>
      <c r="H920" s="3">
        <v>-1.8542506694793699</v>
      </c>
      <c r="I920" s="3">
        <v>1.8316965103149401</v>
      </c>
      <c r="J920" s="3">
        <v>-22.5149021148681</v>
      </c>
      <c r="K920" s="3">
        <v>-8.9766072196671303</v>
      </c>
      <c r="L920" s="3">
        <v>0.87963999999999998</v>
      </c>
      <c r="M920" s="3">
        <v>0.71723000000000003</v>
      </c>
      <c r="N920" s="3">
        <v>0.56679000000000002</v>
      </c>
      <c r="O920" s="3">
        <v>0.32388</v>
      </c>
      <c r="P920" s="3">
        <v>0.48048999999999997</v>
      </c>
      <c r="Q920" s="3"/>
    </row>
    <row r="921" spans="1:17" x14ac:dyDescent="0.25">
      <c r="A921" s="3" t="s">
        <v>155</v>
      </c>
      <c r="B921" s="3" t="s">
        <v>41</v>
      </c>
      <c r="C921" s="3">
        <v>2017</v>
      </c>
      <c r="D921" s="3">
        <v>6.375</v>
      </c>
      <c r="E921" s="3">
        <v>1.8707656859999999</v>
      </c>
      <c r="F921" s="3">
        <v>0.39500000000000002</v>
      </c>
      <c r="G921" s="3">
        <v>-3.0401961803436199</v>
      </c>
      <c r="H921" s="3">
        <v>1.92372262477874</v>
      </c>
      <c r="I921" s="3">
        <v>1.4581675529479901</v>
      </c>
      <c r="J921" s="3">
        <v>19.287887573242099</v>
      </c>
      <c r="K921" s="3">
        <v>7.7874712225857099</v>
      </c>
      <c r="L921" s="3">
        <v>1.2742968800000001</v>
      </c>
      <c r="M921" s="3">
        <v>0.71009808799999996</v>
      </c>
      <c r="N921" s="3">
        <v>0.60413098300000001</v>
      </c>
      <c r="O921" s="3">
        <v>0.33047387</v>
      </c>
      <c r="P921" s="3">
        <v>0.43929925600000003</v>
      </c>
      <c r="Q921" s="3"/>
    </row>
    <row r="922" spans="1:17" x14ac:dyDescent="0.25">
      <c r="A922" s="3" t="s">
        <v>155</v>
      </c>
      <c r="B922" s="3" t="s">
        <v>41</v>
      </c>
      <c r="C922" s="3">
        <v>2018</v>
      </c>
      <c r="D922" s="3">
        <v>6.3739999999999997</v>
      </c>
      <c r="E922" s="3">
        <v>1.649</v>
      </c>
      <c r="F922" s="3">
        <v>0.22</v>
      </c>
      <c r="G922" s="3">
        <v>-3.9020810127258301</v>
      </c>
      <c r="H922" s="3">
        <v>-4.5327398926019599E-2</v>
      </c>
      <c r="I922" s="3">
        <v>1.21285724639892</v>
      </c>
      <c r="J922" s="3">
        <v>25.918706893920898</v>
      </c>
      <c r="K922" s="3">
        <v>12.413862877570001</v>
      </c>
      <c r="L922" s="3">
        <v>1.3029999999999999</v>
      </c>
      <c r="M922" s="3">
        <v>0.748</v>
      </c>
      <c r="N922" s="3">
        <v>0.65400000000000003</v>
      </c>
      <c r="O922" s="3">
        <v>0.25600000000000001</v>
      </c>
      <c r="P922" s="3">
        <v>0.17100000000000001</v>
      </c>
      <c r="Q922" s="3"/>
    </row>
    <row r="923" spans="1:17" x14ac:dyDescent="0.25">
      <c r="A923" s="3" t="s">
        <v>155</v>
      </c>
      <c r="B923" s="3" t="s">
        <v>41</v>
      </c>
      <c r="C923" s="3">
        <v>2019</v>
      </c>
      <c r="D923" s="3">
        <v>6.3739999999999997</v>
      </c>
      <c r="E923" s="3">
        <v>1.6839999999999999</v>
      </c>
      <c r="F923" s="3">
        <v>-0.55199998617172197</v>
      </c>
      <c r="G923" s="3">
        <v>-2.97580862045288</v>
      </c>
      <c r="H923" s="3">
        <v>2.2500000894069599E-2</v>
      </c>
      <c r="I923" s="3">
        <v>-0.43166306614875699</v>
      </c>
      <c r="J923" s="3">
        <v>-9.4818363189697195</v>
      </c>
      <c r="K923" s="3">
        <v>-4.8269999999999902</v>
      </c>
      <c r="L923" s="3">
        <v>1.3129999999999999</v>
      </c>
      <c r="M923" s="3">
        <v>0.871</v>
      </c>
      <c r="N923" s="3">
        <v>0.55500000000000005</v>
      </c>
      <c r="O923" s="3">
        <v>0.22</v>
      </c>
      <c r="P923" s="3">
        <v>0.16700000000000001</v>
      </c>
      <c r="Q923" s="3"/>
    </row>
    <row r="924" spans="1:17" x14ac:dyDescent="0.25">
      <c r="A924" s="3" t="s">
        <v>156</v>
      </c>
      <c r="B924" s="3" t="s">
        <v>39</v>
      </c>
      <c r="C924" s="3">
        <v>2015</v>
      </c>
      <c r="D924" s="3">
        <v>5.1239999999999997</v>
      </c>
      <c r="E924" s="3">
        <v>1.04345</v>
      </c>
      <c r="F924" s="3">
        <v>-0.60253864526748602</v>
      </c>
      <c r="G924" s="3">
        <v>-2.7</v>
      </c>
      <c r="H924" s="3">
        <v>-3.7960739135742099</v>
      </c>
      <c r="I924" s="3">
        <v>-0.84000384807586603</v>
      </c>
      <c r="J924" s="3">
        <v>-1.8396576642990099</v>
      </c>
      <c r="K924" s="3">
        <v>3.25565066548267</v>
      </c>
      <c r="L924" s="3">
        <v>0.88588</v>
      </c>
      <c r="M924" s="3">
        <v>0.76890000000000003</v>
      </c>
      <c r="N924" s="3">
        <v>0.35067999999999999</v>
      </c>
      <c r="O924" s="3">
        <v>0.13747999999999999</v>
      </c>
      <c r="P924" s="3">
        <v>6.4900000000000001E-3</v>
      </c>
      <c r="Q924" s="3"/>
    </row>
    <row r="925" spans="1:17" x14ac:dyDescent="0.25">
      <c r="A925" s="3" t="s">
        <v>156</v>
      </c>
      <c r="B925" s="3" t="s">
        <v>39</v>
      </c>
      <c r="C925" s="3">
        <v>2016</v>
      </c>
      <c r="D925" s="3">
        <v>5.5279999999999996</v>
      </c>
      <c r="E925" s="3">
        <v>1.1697</v>
      </c>
      <c r="F925" s="3">
        <v>-1.5521476268768299</v>
      </c>
      <c r="G925" s="3">
        <v>-4.4000000000000004</v>
      </c>
      <c r="H925" s="3">
        <v>-2.5757691860198899</v>
      </c>
      <c r="I925" s="3">
        <v>-0.79309165477752597</v>
      </c>
      <c r="J925" s="3">
        <v>-1.7916684150695801</v>
      </c>
      <c r="K925" s="3">
        <v>2.4470000000000001</v>
      </c>
      <c r="L925" s="3">
        <v>0.72802999999999995</v>
      </c>
      <c r="M925" s="3">
        <v>0.67601999999999995</v>
      </c>
      <c r="N925" s="3">
        <v>0.36712</v>
      </c>
      <c r="O925" s="3">
        <v>0.12889</v>
      </c>
      <c r="P925" s="3">
        <v>6.79E-3</v>
      </c>
      <c r="Q925" s="3"/>
    </row>
    <row r="926" spans="1:17" x14ac:dyDescent="0.25">
      <c r="A926" s="3" t="s">
        <v>156</v>
      </c>
      <c r="B926" s="3" t="s">
        <v>39</v>
      </c>
      <c r="C926" s="3">
        <v>2017</v>
      </c>
      <c r="D926" s="3">
        <v>5.8249998090000004</v>
      </c>
      <c r="E926" s="3">
        <v>1.217683911</v>
      </c>
      <c r="F926" s="3">
        <v>1.3440000000000001</v>
      </c>
      <c r="G926" s="3">
        <v>0.4</v>
      </c>
      <c r="H926" s="3">
        <v>2.4842183589935298</v>
      </c>
      <c r="I926" s="3">
        <v>1.61434757709503</v>
      </c>
      <c r="J926" s="3">
        <v>3.47051501274108</v>
      </c>
      <c r="K926" s="3">
        <v>4.6794928109168596</v>
      </c>
      <c r="L926" s="3">
        <v>1.15009129</v>
      </c>
      <c r="M926" s="3">
        <v>0.68515831199999999</v>
      </c>
      <c r="N926" s="3">
        <v>0.45700374199999999</v>
      </c>
      <c r="O926" s="3">
        <v>0.13351991799999999</v>
      </c>
      <c r="P926" s="3">
        <v>4.3879009999999996E-3</v>
      </c>
      <c r="Q926" s="3"/>
    </row>
    <row r="927" spans="1:17" x14ac:dyDescent="0.25">
      <c r="A927" s="3" t="s">
        <v>156</v>
      </c>
      <c r="B927" s="3" t="s">
        <v>39</v>
      </c>
      <c r="C927" s="3">
        <v>2018</v>
      </c>
      <c r="D927" s="3">
        <v>5.9450000000000003</v>
      </c>
      <c r="E927" s="3">
        <v>1.1160000000000001</v>
      </c>
      <c r="F927" s="3">
        <v>4.6399999999999997</v>
      </c>
      <c r="G927" s="3">
        <v>12.2</v>
      </c>
      <c r="H927" s="3">
        <v>3.7527806758880602</v>
      </c>
      <c r="I927" s="3">
        <v>3.1011371612548801</v>
      </c>
      <c r="J927" s="3">
        <v>5.0270614624023402</v>
      </c>
      <c r="K927" s="3">
        <v>6.1860668960565404</v>
      </c>
      <c r="L927" s="3">
        <v>1.2190000000000001</v>
      </c>
      <c r="M927" s="3">
        <v>0.72599999999999998</v>
      </c>
      <c r="N927" s="3">
        <v>0.52800000000000002</v>
      </c>
      <c r="O927" s="3">
        <v>8.7999999999999995E-2</v>
      </c>
      <c r="P927" s="3">
        <v>1E-3</v>
      </c>
      <c r="Q927" s="3"/>
    </row>
    <row r="928" spans="1:17" x14ac:dyDescent="0.25">
      <c r="A928" s="3" t="s">
        <v>156</v>
      </c>
      <c r="B928" s="3" t="s">
        <v>39</v>
      </c>
      <c r="C928" s="3">
        <v>2019</v>
      </c>
      <c r="D928" s="3">
        <v>6.07</v>
      </c>
      <c r="E928" s="3">
        <v>1.1619999999999999</v>
      </c>
      <c r="F928" s="3">
        <v>3.82500004768371</v>
      </c>
      <c r="G928" s="3">
        <v>2.7</v>
      </c>
      <c r="H928" s="3">
        <v>4.6959590911865199</v>
      </c>
      <c r="I928" s="3">
        <v>3.5932102203369101</v>
      </c>
      <c r="J928" s="3">
        <v>3.9509637355804399</v>
      </c>
      <c r="K928" s="3">
        <v>6.77848518111964</v>
      </c>
      <c r="L928" s="3">
        <v>1.232</v>
      </c>
      <c r="M928" s="3">
        <v>0.82499999999999996</v>
      </c>
      <c r="N928" s="3">
        <v>0.46200000000000002</v>
      </c>
      <c r="O928" s="3">
        <v>8.3000000000000004E-2</v>
      </c>
      <c r="P928" s="3">
        <v>5.0000000000000001E-3</v>
      </c>
      <c r="Q928" s="3"/>
    </row>
    <row r="929" spans="1:17" x14ac:dyDescent="0.25">
      <c r="A929" s="3" t="s">
        <v>156</v>
      </c>
      <c r="B929" s="3" t="s">
        <v>39</v>
      </c>
      <c r="C929" s="3">
        <v>2020</v>
      </c>
      <c r="D929" s="3">
        <v>6.1237001419999997</v>
      </c>
      <c r="E929" s="3">
        <v>1.1204016210000001</v>
      </c>
      <c r="F929" s="3">
        <v>2.63107311184742</v>
      </c>
      <c r="G929" s="3">
        <v>-7.4</v>
      </c>
      <c r="H929" s="3">
        <v>4.7969679832458496</v>
      </c>
      <c r="I929" s="3">
        <v>4.0422687530517498</v>
      </c>
      <c r="J929" s="3">
        <v>-1.50611822027713E-3</v>
      </c>
      <c r="K929" s="3">
        <v>3.1720315147128901</v>
      </c>
      <c r="L929" s="3">
        <v>1.1944380999999999</v>
      </c>
      <c r="M929" s="3">
        <v>0.79229486000000005</v>
      </c>
      <c r="N929" s="3">
        <v>0.53485232599999999</v>
      </c>
      <c r="O929" s="3">
        <v>6.8181618999999999E-2</v>
      </c>
      <c r="P929" s="3">
        <v>8.2956900000000005E-4</v>
      </c>
      <c r="Q929" s="3"/>
    </row>
    <row r="930" spans="1:17" x14ac:dyDescent="0.25">
      <c r="A930" s="3" t="s">
        <v>156</v>
      </c>
      <c r="B930" s="3" t="s">
        <v>39</v>
      </c>
      <c r="C930" s="3">
        <v>2021</v>
      </c>
      <c r="D930" s="3">
        <v>6.14</v>
      </c>
      <c r="E930" s="3">
        <v>1.2749999999999999</v>
      </c>
      <c r="F930" s="3">
        <v>5.0462755023424597</v>
      </c>
      <c r="G930" s="3">
        <v>15.2</v>
      </c>
      <c r="H930" s="3">
        <v>2.80833333333333</v>
      </c>
      <c r="I930" s="3">
        <v>4.7183002500665001</v>
      </c>
      <c r="J930" s="3">
        <v>14.8974532341665</v>
      </c>
      <c r="K930" s="3">
        <v>5.41659780793265</v>
      </c>
      <c r="L930" s="3">
        <v>0.83199999999999996</v>
      </c>
      <c r="M930" s="3">
        <v>0.59499999999999997</v>
      </c>
      <c r="N930" s="3">
        <v>0.56399999999999995</v>
      </c>
      <c r="O930" s="3">
        <v>4.4999999999999998E-2</v>
      </c>
      <c r="P930" s="3">
        <v>1E-3</v>
      </c>
      <c r="Q930" s="3"/>
    </row>
    <row r="931" spans="1:17" x14ac:dyDescent="0.25">
      <c r="A931" s="3" t="s">
        <v>156</v>
      </c>
      <c r="B931" s="3" t="s">
        <v>39</v>
      </c>
      <c r="C931" s="3">
        <v>2022</v>
      </c>
      <c r="D931" s="3">
        <v>6.4770000000000003</v>
      </c>
      <c r="E931" s="3">
        <v>1.7190000000000001</v>
      </c>
      <c r="F931" s="3">
        <v>13.795488743251999</v>
      </c>
      <c r="G931" s="3">
        <v>32.8272727272727</v>
      </c>
      <c r="H931" s="3">
        <v>13.935342885428</v>
      </c>
      <c r="I931" s="3">
        <v>8.7858806691639906</v>
      </c>
      <c r="J931" s="3">
        <v>44.710343925722903</v>
      </c>
      <c r="K931" s="3">
        <v>13.322252123119499</v>
      </c>
      <c r="L931" s="3">
        <v>1.006</v>
      </c>
      <c r="M931" s="3">
        <v>0.65500000000000003</v>
      </c>
      <c r="N931" s="3">
        <v>0.60499999999999998</v>
      </c>
      <c r="O931" s="3">
        <v>3.9E-2</v>
      </c>
      <c r="P931" s="3">
        <v>6.0000000000000001E-3</v>
      </c>
      <c r="Q931" s="3"/>
    </row>
    <row r="932" spans="1:17" x14ac:dyDescent="0.25">
      <c r="A932" s="3" t="s">
        <v>156</v>
      </c>
      <c r="B932" s="3" t="s">
        <v>39</v>
      </c>
      <c r="C932" s="3">
        <v>2023</v>
      </c>
      <c r="D932" s="3">
        <v>6.5890000000000004</v>
      </c>
      <c r="E932" s="3">
        <v>1.726</v>
      </c>
      <c r="F932" s="3">
        <v>10.3971874764996</v>
      </c>
      <c r="G932" s="5"/>
      <c r="H932" s="3">
        <v>14.853101736104801</v>
      </c>
      <c r="I932" s="3">
        <v>12.004798391127601</v>
      </c>
      <c r="J932" s="3">
        <v>5.1509127055848198</v>
      </c>
      <c r="K932" s="3">
        <v>11.789257316817601</v>
      </c>
      <c r="L932" s="3">
        <v>1.28</v>
      </c>
      <c r="M932" s="3">
        <v>0.42299999999999999</v>
      </c>
      <c r="N932" s="3">
        <v>0.63100000000000001</v>
      </c>
      <c r="O932" s="3">
        <v>4.3999999999999997E-2</v>
      </c>
      <c r="P932" s="3">
        <v>0</v>
      </c>
    </row>
    <row r="933" spans="1:17" x14ac:dyDescent="0.25">
      <c r="A933" s="3" t="s">
        <v>157</v>
      </c>
      <c r="B933" s="3" t="s">
        <v>43</v>
      </c>
      <c r="C933" s="3">
        <v>2015</v>
      </c>
      <c r="D933" s="3">
        <v>3.4649999999999999</v>
      </c>
      <c r="E933" s="3">
        <v>0.22208</v>
      </c>
      <c r="F933" s="3">
        <v>2.5069999694824201</v>
      </c>
      <c r="G933" s="3">
        <v>3.9900000095367401</v>
      </c>
      <c r="H933" s="3">
        <v>3.8599998950958199</v>
      </c>
      <c r="I933" s="5"/>
      <c r="J933" s="3">
        <v>0.43958374857902499</v>
      </c>
      <c r="K933" s="3">
        <v>0.52372080341724803</v>
      </c>
      <c r="L933" s="3">
        <v>0.77370000000000005</v>
      </c>
      <c r="M933" s="3">
        <v>0.42864000000000002</v>
      </c>
      <c r="N933" s="3">
        <v>0.59201000000000004</v>
      </c>
      <c r="O933" s="3">
        <v>0.22628000000000001</v>
      </c>
      <c r="P933" s="3">
        <v>0.55191000000000001</v>
      </c>
      <c r="Q933" s="3"/>
    </row>
    <row r="934" spans="1:17" x14ac:dyDescent="0.25">
      <c r="A934" s="3" t="s">
        <v>157</v>
      </c>
      <c r="B934" s="3" t="s">
        <v>43</v>
      </c>
      <c r="C934" s="3">
        <v>2016</v>
      </c>
      <c r="D934" s="3">
        <v>3.5150000000000001</v>
      </c>
      <c r="E934" s="3">
        <v>0.32845999999999997</v>
      </c>
      <c r="F934" s="3">
        <v>5.72300004959106</v>
      </c>
      <c r="G934" s="3">
        <v>2.3900001049041699</v>
      </c>
      <c r="H934" s="3">
        <v>10.810000419616699</v>
      </c>
      <c r="I934" s="5"/>
      <c r="J934" s="3">
        <v>2.9894151687621999</v>
      </c>
      <c r="K934" s="3">
        <v>5.0245804373622596</v>
      </c>
      <c r="L934" s="3">
        <v>0.61585999999999996</v>
      </c>
      <c r="M934" s="3">
        <v>0.31864999999999999</v>
      </c>
      <c r="N934" s="3">
        <v>0.54320000000000002</v>
      </c>
      <c r="O934" s="3">
        <v>0.23552000000000001</v>
      </c>
      <c r="P934" s="3">
        <v>0.50521000000000005</v>
      </c>
      <c r="Q934" s="3"/>
    </row>
    <row r="935" spans="1:17" x14ac:dyDescent="0.25">
      <c r="A935" s="3" t="s">
        <v>157</v>
      </c>
      <c r="B935" s="3" t="s">
        <v>43</v>
      </c>
      <c r="C935" s="3">
        <v>2017</v>
      </c>
      <c r="D935" s="3">
        <v>3.470999956</v>
      </c>
      <c r="E935" s="3">
        <v>0.36874589299999999</v>
      </c>
      <c r="F935" s="3">
        <v>4.8369999999999997</v>
      </c>
      <c r="G935" s="3">
        <v>1.95000004768371</v>
      </c>
      <c r="H935" s="3">
        <v>9.4499998092651296</v>
      </c>
      <c r="I935" s="5"/>
      <c r="J935" s="3">
        <v>8.9130535125732404</v>
      </c>
      <c r="K935" s="3">
        <v>7.6067189635320798</v>
      </c>
      <c r="L935" s="3">
        <v>0.94570702299999998</v>
      </c>
      <c r="M935" s="3">
        <v>0.32642480699999998</v>
      </c>
      <c r="N935" s="3">
        <v>0.58184385299999997</v>
      </c>
      <c r="O935" s="3">
        <v>0.25275602899999999</v>
      </c>
      <c r="P935" s="3">
        <v>0.45522001400000001</v>
      </c>
      <c r="Q935" s="3"/>
    </row>
    <row r="936" spans="1:17" x14ac:dyDescent="0.25">
      <c r="A936" s="3" t="s">
        <v>157</v>
      </c>
      <c r="B936" s="3" t="s">
        <v>43</v>
      </c>
      <c r="C936" s="3">
        <v>2018</v>
      </c>
      <c r="D936" s="3">
        <v>3.4079999999999999</v>
      </c>
      <c r="E936" s="3">
        <v>0.33200000000000002</v>
      </c>
      <c r="F936" s="3">
        <v>1.36</v>
      </c>
      <c r="G936" s="3">
        <v>10.970086492991699</v>
      </c>
      <c r="H936" s="3">
        <v>2.8783117028216201</v>
      </c>
      <c r="I936" s="5"/>
      <c r="J936" s="3">
        <v>-0.46578875184059099</v>
      </c>
      <c r="K936" s="3">
        <v>-0.754000000000004</v>
      </c>
      <c r="L936" s="3">
        <v>0.89600000000000002</v>
      </c>
      <c r="M936" s="3">
        <v>0.4</v>
      </c>
      <c r="N936" s="3">
        <v>0.63600000000000001</v>
      </c>
      <c r="O936" s="3">
        <v>0.2</v>
      </c>
      <c r="P936" s="3">
        <v>0.44400000000000001</v>
      </c>
      <c r="Q936" s="3"/>
    </row>
    <row r="937" spans="1:17" x14ac:dyDescent="0.25">
      <c r="A937" s="3" t="s">
        <v>157</v>
      </c>
      <c r="B937" s="3" t="s">
        <v>43</v>
      </c>
      <c r="C937" s="3">
        <v>2019</v>
      </c>
      <c r="D937" s="3">
        <v>3.3340000000000001</v>
      </c>
      <c r="E937" s="3">
        <v>0.35899999999999999</v>
      </c>
      <c r="F937" s="3">
        <v>2.4260001182556099</v>
      </c>
      <c r="G937" s="3">
        <v>2.6293468475341699</v>
      </c>
      <c r="H937" s="3">
        <v>3.71594810485839</v>
      </c>
      <c r="I937" s="5"/>
      <c r="J937" s="3">
        <v>10.740817070007299</v>
      </c>
      <c r="K937" s="3">
        <v>0.384902162303775</v>
      </c>
      <c r="L937" s="3">
        <v>0.71099999999999997</v>
      </c>
      <c r="M937" s="3">
        <v>0.61399999999999999</v>
      </c>
      <c r="N937" s="3">
        <v>0.55500000000000005</v>
      </c>
      <c r="O937" s="3">
        <v>0.217</v>
      </c>
      <c r="P937" s="3">
        <v>0.41099999999999998</v>
      </c>
      <c r="Q937" s="3"/>
    </row>
    <row r="938" spans="1:17" x14ac:dyDescent="0.25">
      <c r="A938" s="3" t="s">
        <v>157</v>
      </c>
      <c r="B938" s="3" t="s">
        <v>43</v>
      </c>
      <c r="C938" s="3">
        <v>2020</v>
      </c>
      <c r="D938" s="3">
        <v>3.312299967</v>
      </c>
      <c r="E938" s="3">
        <v>0.343242675</v>
      </c>
      <c r="F938" s="3">
        <v>9.8503990227427494</v>
      </c>
      <c r="G938" s="3">
        <v>3.4763713459347398</v>
      </c>
      <c r="H938" s="3">
        <v>15.3958940505981</v>
      </c>
      <c r="I938" s="5"/>
      <c r="J938" s="3">
        <v>5.0617303848266602</v>
      </c>
      <c r="K938" s="3">
        <v>8.2968643353274203</v>
      </c>
      <c r="L938" s="3">
        <v>0.522876322</v>
      </c>
      <c r="M938" s="3">
        <v>0.57238328500000002</v>
      </c>
      <c r="N938" s="3">
        <v>0.60408788899999999</v>
      </c>
      <c r="O938" s="3">
        <v>0.235704988</v>
      </c>
      <c r="P938" s="3">
        <v>0.485542476</v>
      </c>
      <c r="Q938" s="3"/>
    </row>
    <row r="939" spans="1:17" x14ac:dyDescent="0.25">
      <c r="A939" s="3" t="s">
        <v>157</v>
      </c>
      <c r="B939" s="3" t="s">
        <v>43</v>
      </c>
      <c r="C939" s="3">
        <v>2021</v>
      </c>
      <c r="D939" s="3">
        <v>3.415</v>
      </c>
      <c r="E939" s="3">
        <v>0.36399999999999999</v>
      </c>
      <c r="F939" s="3">
        <v>-0.39134674830079202</v>
      </c>
      <c r="G939" s="3">
        <v>3.24</v>
      </c>
      <c r="H939" s="3">
        <v>-4.1500000000000004</v>
      </c>
      <c r="I939" s="5"/>
      <c r="J939" s="3">
        <v>5.5062984919760298</v>
      </c>
      <c r="K939" s="3">
        <v>2.7423188666226599</v>
      </c>
      <c r="L939" s="3">
        <v>0.20200000000000001</v>
      </c>
      <c r="M939" s="3">
        <v>0.40699999999999997</v>
      </c>
      <c r="N939" s="3">
        <v>0.627</v>
      </c>
      <c r="O939" s="3">
        <v>0.22700000000000001</v>
      </c>
      <c r="P939" s="3">
        <v>0.49299999999999999</v>
      </c>
      <c r="Q939" s="3"/>
    </row>
    <row r="940" spans="1:17" x14ac:dyDescent="0.25">
      <c r="A940" s="3" t="s">
        <v>157</v>
      </c>
      <c r="B940" s="3" t="s">
        <v>43</v>
      </c>
      <c r="C940" s="3">
        <v>2022</v>
      </c>
      <c r="D940" s="3">
        <v>3.2679999999999998</v>
      </c>
      <c r="E940" s="3">
        <v>0.78500000000000003</v>
      </c>
      <c r="F940" s="3">
        <v>17.689209558815399</v>
      </c>
      <c r="G940" s="3">
        <v>10.9686466668475</v>
      </c>
      <c r="H940" s="3">
        <v>24.415464279184398</v>
      </c>
      <c r="I940" s="5"/>
      <c r="J940" s="3">
        <v>12.7579074358806</v>
      </c>
      <c r="K940" s="3">
        <v>15.6950672645739</v>
      </c>
      <c r="L940" s="3">
        <v>0.13300000000000001</v>
      </c>
      <c r="M940" s="3">
        <v>0.46200000000000002</v>
      </c>
      <c r="N940" s="3">
        <v>0.621</v>
      </c>
      <c r="O940" s="3">
        <v>0.187</v>
      </c>
      <c r="P940" s="3">
        <v>0.54400000000000004</v>
      </c>
      <c r="Q940" s="3"/>
    </row>
    <row r="941" spans="1:17" x14ac:dyDescent="0.25">
      <c r="A941" s="3" t="s">
        <v>158</v>
      </c>
      <c r="B941" s="3" t="s">
        <v>41</v>
      </c>
      <c r="C941" s="3">
        <v>2015</v>
      </c>
      <c r="D941" s="3">
        <v>6.4109999999999996</v>
      </c>
      <c r="E941" s="3">
        <v>1.39541</v>
      </c>
      <c r="F941" s="3">
        <v>1.2226930856704701</v>
      </c>
      <c r="G941" s="3">
        <v>2.3675186634063698</v>
      </c>
      <c r="H941" s="3">
        <v>0.64123791456222501</v>
      </c>
      <c r="I941" s="3">
        <v>0.89244984999999999</v>
      </c>
      <c r="J941" s="3">
        <v>-0.59161788225173895</v>
      </c>
      <c r="K941" s="3">
        <v>-16.908595662517602</v>
      </c>
      <c r="L941" s="3">
        <v>1.0839300000000001</v>
      </c>
      <c r="M941" s="3">
        <v>0.72024999999999995</v>
      </c>
      <c r="N941" s="3">
        <v>0.31047999999999998</v>
      </c>
      <c r="O941" s="3">
        <v>0.13705999999999999</v>
      </c>
      <c r="P941" s="3">
        <v>0.32523999999999997</v>
      </c>
      <c r="Q941" s="3"/>
    </row>
    <row r="942" spans="1:17" x14ac:dyDescent="0.25">
      <c r="A942" s="3" t="s">
        <v>158</v>
      </c>
      <c r="B942" s="3" t="s">
        <v>41</v>
      </c>
      <c r="C942" s="3">
        <v>2016</v>
      </c>
      <c r="D942" s="3">
        <v>6.3789999999999996</v>
      </c>
      <c r="E942" s="3">
        <v>1.48953</v>
      </c>
      <c r="F942" s="3">
        <v>2.0534744262695299</v>
      </c>
      <c r="G942" s="3">
        <v>4.8738808631896902</v>
      </c>
      <c r="H942" s="3">
        <v>-1.29881179332733</v>
      </c>
      <c r="I942" s="3">
        <v>2.0773220700000001</v>
      </c>
      <c r="J942" s="3">
        <v>2.6320221424102699</v>
      </c>
      <c r="K942" s="3">
        <v>-3.0457695340055602</v>
      </c>
      <c r="L942" s="3">
        <v>0.84828999999999999</v>
      </c>
      <c r="M942" s="3">
        <v>0.59267000000000003</v>
      </c>
      <c r="N942" s="3">
        <v>0.37903999999999999</v>
      </c>
      <c r="O942" s="3">
        <v>0.15457000000000001</v>
      </c>
      <c r="P942" s="3">
        <v>0.30008000000000001</v>
      </c>
      <c r="Q942" s="3"/>
    </row>
    <row r="943" spans="1:17" x14ac:dyDescent="0.25">
      <c r="A943" s="3" t="s">
        <v>158</v>
      </c>
      <c r="B943" s="3" t="s">
        <v>41</v>
      </c>
      <c r="C943" s="3">
        <v>2017</v>
      </c>
      <c r="D943" s="3">
        <v>6.3439998629999996</v>
      </c>
      <c r="E943" s="3">
        <v>1.530623555</v>
      </c>
      <c r="F943" s="3">
        <v>-0.85199999999999998</v>
      </c>
      <c r="G943" s="3">
        <v>-0.72522670030593805</v>
      </c>
      <c r="H943" s="3">
        <v>-0.82761156558990401</v>
      </c>
      <c r="I943" s="3">
        <v>-1.15758888</v>
      </c>
      <c r="J943" s="3">
        <v>-1.2985922098159699</v>
      </c>
      <c r="K943" s="3">
        <v>7.5658035523218601</v>
      </c>
      <c r="L943" s="3">
        <v>1.2866775989999999</v>
      </c>
      <c r="M943" s="3">
        <v>0.59014833</v>
      </c>
      <c r="N943" s="3">
        <v>0.44975057200000002</v>
      </c>
      <c r="O943" s="3">
        <v>0.14761601399999999</v>
      </c>
      <c r="P943" s="3">
        <v>0.27343225500000001</v>
      </c>
      <c r="Q943" s="3"/>
    </row>
    <row r="944" spans="1:17" x14ac:dyDescent="0.25">
      <c r="A944" s="3" t="s">
        <v>158</v>
      </c>
      <c r="B944" s="3" t="s">
        <v>41</v>
      </c>
      <c r="C944" s="3">
        <v>2018</v>
      </c>
      <c r="D944" s="3">
        <v>6.3710000000000004</v>
      </c>
      <c r="E944" s="3">
        <v>1.379</v>
      </c>
      <c r="F944" s="3">
        <v>2.4700000000000002</v>
      </c>
      <c r="G944" s="3">
        <v>-1.25978338718414</v>
      </c>
      <c r="H944" s="3">
        <v>6.4841923713684002</v>
      </c>
      <c r="I944" s="3">
        <v>3.0583761100000002</v>
      </c>
      <c r="J944" s="3">
        <v>16.011583328246999</v>
      </c>
      <c r="K944" s="3">
        <v>11.5078930877042</v>
      </c>
      <c r="L944" s="3">
        <v>1.331</v>
      </c>
      <c r="M944" s="3">
        <v>0.63300000000000001</v>
      </c>
      <c r="N944" s="3">
        <v>0.50900000000000001</v>
      </c>
      <c r="O944" s="3">
        <v>9.8000000000000004E-2</v>
      </c>
      <c r="P944" s="3">
        <v>0.127</v>
      </c>
      <c r="Q944" s="3"/>
    </row>
    <row r="945" spans="1:17" x14ac:dyDescent="0.25">
      <c r="A945" s="3" t="s">
        <v>158</v>
      </c>
      <c r="B945" s="3" t="s">
        <v>41</v>
      </c>
      <c r="C945" s="3">
        <v>2019</v>
      </c>
      <c r="D945" s="3">
        <v>6.375</v>
      </c>
      <c r="E945" s="3">
        <v>1.403</v>
      </c>
      <c r="F945" s="3">
        <v>-2.0910000801086399</v>
      </c>
      <c r="G945" s="3">
        <v>-8.5833330154418892</v>
      </c>
      <c r="H945" s="3">
        <v>2.06632232666015</v>
      </c>
      <c r="I945" s="3">
        <v>-0.36442439999999998</v>
      </c>
      <c r="J945" s="3">
        <v>1.93295109272003</v>
      </c>
      <c r="K945" s="3">
        <v>0.48617305976806502</v>
      </c>
      <c r="L945" s="3">
        <v>1.357</v>
      </c>
      <c r="M945" s="3">
        <v>0.79500000000000004</v>
      </c>
      <c r="N945" s="3">
        <v>0.439</v>
      </c>
      <c r="O945" s="3">
        <v>0.08</v>
      </c>
      <c r="P945" s="3">
        <v>0.13200000000000001</v>
      </c>
      <c r="Q945" s="3"/>
    </row>
    <row r="946" spans="1:17" x14ac:dyDescent="0.25">
      <c r="A946" s="3" t="s">
        <v>158</v>
      </c>
      <c r="B946" s="3" t="s">
        <v>41</v>
      </c>
      <c r="C946" s="3">
        <v>2020</v>
      </c>
      <c r="D946" s="3">
        <v>6.4064998629999996</v>
      </c>
      <c r="E946" s="3">
        <v>1.334328532</v>
      </c>
      <c r="F946" s="3">
        <v>3.4454582595669399</v>
      </c>
      <c r="G946" s="3">
        <v>-0.63453859198072804</v>
      </c>
      <c r="H946" s="3">
        <v>9.0040817260742099</v>
      </c>
      <c r="I946" s="3">
        <v>3.5489783199999998</v>
      </c>
      <c r="J946" s="3">
        <v>3.4777097702026301</v>
      </c>
      <c r="K946" s="3">
        <v>-7.7109503306848799</v>
      </c>
      <c r="L946" s="3">
        <v>1.309950113</v>
      </c>
      <c r="M946" s="3">
        <v>0.759818137</v>
      </c>
      <c r="N946" s="3">
        <v>0.54847747099999999</v>
      </c>
      <c r="O946" s="3">
        <v>8.7440684000000005E-2</v>
      </c>
      <c r="P946" s="3">
        <v>0.163322315</v>
      </c>
      <c r="Q946" s="3"/>
    </row>
    <row r="947" spans="1:17" x14ac:dyDescent="0.25">
      <c r="A947" s="3" t="s">
        <v>158</v>
      </c>
      <c r="B947" s="3" t="s">
        <v>41</v>
      </c>
      <c r="C947" s="3">
        <v>2021</v>
      </c>
      <c r="D947" s="3">
        <v>6.4939999999999998</v>
      </c>
      <c r="E947" s="3">
        <v>1.4350000000000001</v>
      </c>
      <c r="F947" s="3">
        <v>3.0632899999999998</v>
      </c>
      <c r="G947" s="3">
        <v>-2.4300000000000002</v>
      </c>
      <c r="H947" s="3">
        <v>5.39</v>
      </c>
      <c r="I947" s="3">
        <v>4.89591888</v>
      </c>
      <c r="J947" s="3">
        <v>12.111171219908</v>
      </c>
      <c r="K947" s="3">
        <v>14.786991875916099</v>
      </c>
      <c r="L947" s="3">
        <v>0.96399999999999997</v>
      </c>
      <c r="M947" s="3">
        <v>0.57099999999999995</v>
      </c>
      <c r="N947" s="3">
        <v>0.60299999999999998</v>
      </c>
      <c r="O947" s="3">
        <v>0.09</v>
      </c>
      <c r="P947" s="3">
        <v>0.16300000000000001</v>
      </c>
      <c r="Q947" s="3"/>
    </row>
    <row r="948" spans="1:17" x14ac:dyDescent="0.25">
      <c r="A948" s="3" t="s">
        <v>158</v>
      </c>
      <c r="B948" s="3" t="s">
        <v>41</v>
      </c>
      <c r="C948" s="3">
        <v>2022</v>
      </c>
      <c r="D948" s="3">
        <v>6.5229999999999997</v>
      </c>
      <c r="E948" s="3">
        <v>1.87</v>
      </c>
      <c r="F948" s="3">
        <v>2.4740739999999999</v>
      </c>
      <c r="G948" s="3">
        <v>2.2666666666666599</v>
      </c>
      <c r="H948" s="3">
        <v>3.720494</v>
      </c>
      <c r="I948" s="3">
        <v>1.18577724</v>
      </c>
      <c r="J948" s="3">
        <v>7.7686265584924596</v>
      </c>
      <c r="K948" s="3">
        <v>14.7644959811616</v>
      </c>
      <c r="L948" s="3">
        <v>1.0920000000000001</v>
      </c>
      <c r="M948" s="3">
        <v>0.57699999999999996</v>
      </c>
      <c r="N948" s="3">
        <v>0.65100000000000002</v>
      </c>
      <c r="O948" s="3">
        <v>7.8E-2</v>
      </c>
      <c r="P948" s="3">
        <v>0.18</v>
      </c>
      <c r="Q948" s="3"/>
    </row>
    <row r="949" spans="1:17" x14ac:dyDescent="0.25">
      <c r="A949" s="3" t="s">
        <v>158</v>
      </c>
      <c r="B949" s="3" t="s">
        <v>41</v>
      </c>
      <c r="C949" s="3">
        <v>2023</v>
      </c>
      <c r="D949" s="3">
        <v>6.4630000000000001</v>
      </c>
      <c r="E949" s="3">
        <v>1.861</v>
      </c>
      <c r="F949" s="3">
        <v>2.3270851836269202</v>
      </c>
      <c r="G949" s="3">
        <v>0.72901010646211795</v>
      </c>
      <c r="H949" s="3">
        <v>1.4448174282386601</v>
      </c>
      <c r="I949" s="5"/>
      <c r="J949" s="3">
        <v>0.91994653107741597</v>
      </c>
      <c r="K949" s="3">
        <v>-4.5805158358331699</v>
      </c>
      <c r="L949" s="3">
        <v>1.37</v>
      </c>
      <c r="M949" s="3">
        <v>0.35099999999999998</v>
      </c>
      <c r="N949" s="3">
        <v>0.68200000000000005</v>
      </c>
      <c r="O949" s="3">
        <v>9.2999999999999999E-2</v>
      </c>
      <c r="P949" s="3">
        <v>0.17</v>
      </c>
      <c r="Q949" s="3"/>
    </row>
    <row r="950" spans="1:17" x14ac:dyDescent="0.25">
      <c r="A950" s="3" t="s">
        <v>159</v>
      </c>
      <c r="B950" s="3" t="s">
        <v>43</v>
      </c>
      <c r="C950" s="3">
        <v>2015</v>
      </c>
      <c r="D950" s="3">
        <v>3.9039999999999999</v>
      </c>
      <c r="E950" s="3">
        <v>0.36498000000000003</v>
      </c>
      <c r="F950" s="3">
        <v>0.12899999320507</v>
      </c>
      <c r="G950" s="3">
        <v>-2.67000007629394</v>
      </c>
      <c r="H950" s="3">
        <v>1.8066765069961499</v>
      </c>
      <c r="I950" s="5"/>
      <c r="J950" s="3">
        <v>-4.4878196716308496</v>
      </c>
      <c r="K950" s="3">
        <v>1.0699999999999901</v>
      </c>
      <c r="L950" s="3">
        <v>0.97619</v>
      </c>
      <c r="M950" s="3">
        <v>0.43540000000000001</v>
      </c>
      <c r="N950" s="3">
        <v>0.36771999999999999</v>
      </c>
      <c r="O950" s="3">
        <v>0.20843</v>
      </c>
      <c r="P950" s="3">
        <v>0.10713</v>
      </c>
      <c r="Q950" s="3"/>
    </row>
    <row r="951" spans="1:17" x14ac:dyDescent="0.25">
      <c r="A951" s="3" t="s">
        <v>159</v>
      </c>
      <c r="B951" s="3" t="s">
        <v>43</v>
      </c>
      <c r="C951" s="3">
        <v>2016</v>
      </c>
      <c r="D951" s="3">
        <v>4.2190000000000003</v>
      </c>
      <c r="E951" s="3">
        <v>0.44313999999999998</v>
      </c>
      <c r="F951" s="3">
        <v>0.83799999952316195</v>
      </c>
      <c r="G951" s="3">
        <v>-1.8200000524520801</v>
      </c>
      <c r="H951" s="3">
        <v>3.3096227645874001</v>
      </c>
      <c r="I951" s="5"/>
      <c r="J951" s="3">
        <v>-4.7791457176208496</v>
      </c>
      <c r="K951" s="3">
        <v>0.95577322647670704</v>
      </c>
      <c r="L951" s="3">
        <v>0.77415999999999996</v>
      </c>
      <c r="M951" s="3">
        <v>0.40456999999999999</v>
      </c>
      <c r="N951" s="3">
        <v>0.31056</v>
      </c>
      <c r="O951" s="3">
        <v>0.19103000000000001</v>
      </c>
      <c r="P951" s="3">
        <v>0.11681</v>
      </c>
      <c r="Q951" s="3"/>
    </row>
    <row r="952" spans="1:17" x14ac:dyDescent="0.25">
      <c r="A952" s="3" t="s">
        <v>159</v>
      </c>
      <c r="B952" s="3" t="s">
        <v>43</v>
      </c>
      <c r="C952" s="3">
        <v>2017</v>
      </c>
      <c r="D952" s="3">
        <v>4.5349998469999999</v>
      </c>
      <c r="E952" s="3">
        <v>0.47930902199999997</v>
      </c>
      <c r="F952" s="3">
        <v>1.3169999999999999</v>
      </c>
      <c r="G952" s="3">
        <v>-1.40999996662139</v>
      </c>
      <c r="H952" s="3">
        <v>3.73994612693786</v>
      </c>
      <c r="I952" s="5"/>
      <c r="J952" s="3">
        <v>0.422475695610046</v>
      </c>
      <c r="K952" s="3">
        <v>0.59880826375005303</v>
      </c>
      <c r="L952" s="3">
        <v>1.1796919109999999</v>
      </c>
      <c r="M952" s="3">
        <v>0.40936285300000003</v>
      </c>
      <c r="N952" s="3">
        <v>0.37792226699999998</v>
      </c>
      <c r="O952" s="3">
        <v>0.18346889299999999</v>
      </c>
      <c r="P952" s="3">
        <v>0.11546044799999999</v>
      </c>
      <c r="Q952" s="3"/>
    </row>
    <row r="953" spans="1:17" x14ac:dyDescent="0.25">
      <c r="A953" s="3" t="s">
        <v>159</v>
      </c>
      <c r="B953" s="3" t="s">
        <v>43</v>
      </c>
      <c r="C953" s="3">
        <v>2018</v>
      </c>
      <c r="D953" s="3">
        <v>4.6310000000000002</v>
      </c>
      <c r="E953" s="3">
        <v>0.42899999999999999</v>
      </c>
      <c r="F953" s="3">
        <v>0.46</v>
      </c>
      <c r="G953" s="3">
        <v>0.31816497445106501</v>
      </c>
      <c r="H953" s="3">
        <v>1.06196820735931</v>
      </c>
      <c r="I953" s="5"/>
      <c r="J953" s="3">
        <v>2.36432480812072</v>
      </c>
      <c r="K953" s="3">
        <v>-0.839771254883249</v>
      </c>
      <c r="L953" s="3">
        <v>1.117</v>
      </c>
      <c r="M953" s="3">
        <v>0.433</v>
      </c>
      <c r="N953" s="3">
        <v>0.40600000000000003</v>
      </c>
      <c r="O953" s="3">
        <v>0.13800000000000001</v>
      </c>
      <c r="P953" s="3">
        <v>8.2000000000000003E-2</v>
      </c>
      <c r="Q953" s="3"/>
    </row>
    <row r="954" spans="1:17" x14ac:dyDescent="0.25">
      <c r="A954" s="3" t="s">
        <v>159</v>
      </c>
      <c r="B954" s="3" t="s">
        <v>43</v>
      </c>
      <c r="C954" s="3">
        <v>2019</v>
      </c>
      <c r="D954" s="3">
        <v>4.681</v>
      </c>
      <c r="E954" s="3">
        <v>0.45</v>
      </c>
      <c r="F954" s="3">
        <v>1.0199999809265099</v>
      </c>
      <c r="G954" s="3">
        <v>0.48485878109931901</v>
      </c>
      <c r="H954" s="3">
        <v>0.97827762365341098</v>
      </c>
      <c r="I954" s="5"/>
      <c r="J954" s="3">
        <v>0.238369226455688</v>
      </c>
      <c r="K954" s="3">
        <v>1.86471484010415</v>
      </c>
      <c r="L954" s="3">
        <v>1.1339999999999999</v>
      </c>
      <c r="M954" s="3">
        <v>0.57099999999999995</v>
      </c>
      <c r="N954" s="3">
        <v>0.29199999999999998</v>
      </c>
      <c r="O954" s="3">
        <v>0.153</v>
      </c>
      <c r="P954" s="3">
        <v>7.1999999999999995E-2</v>
      </c>
      <c r="Q954" s="3"/>
    </row>
    <row r="955" spans="1:17" x14ac:dyDescent="0.25">
      <c r="A955" s="3" t="s">
        <v>159</v>
      </c>
      <c r="B955" s="3" t="s">
        <v>43</v>
      </c>
      <c r="C955" s="3">
        <v>2020</v>
      </c>
      <c r="D955" s="3">
        <v>4.9808001519999996</v>
      </c>
      <c r="E955" s="3">
        <v>0.50406181800000005</v>
      </c>
      <c r="F955" s="3">
        <v>2.5474346457052599</v>
      </c>
      <c r="G955" s="3">
        <v>0.91043499853097498</v>
      </c>
      <c r="H955" s="3">
        <v>3.30307412147521</v>
      </c>
      <c r="I955" s="5"/>
      <c r="J955" s="3">
        <v>-0.50887995233858996</v>
      </c>
      <c r="K955" s="3">
        <v>2.0562676620082199</v>
      </c>
      <c r="L955" s="3">
        <v>0.95459342000000003</v>
      </c>
      <c r="M955" s="3">
        <v>0.51839190700000004</v>
      </c>
      <c r="N955" s="3">
        <v>0.35240089899999999</v>
      </c>
      <c r="O955" s="3">
        <v>0.164397135</v>
      </c>
      <c r="P955" s="3">
        <v>8.1865937E-2</v>
      </c>
      <c r="Q955" s="3"/>
    </row>
    <row r="956" spans="1:17" x14ac:dyDescent="0.25">
      <c r="A956" s="3" t="s">
        <v>159</v>
      </c>
      <c r="B956" s="3" t="s">
        <v>43</v>
      </c>
      <c r="C956" s="3">
        <v>2021</v>
      </c>
      <c r="D956" s="3">
        <v>5.1319999999999997</v>
      </c>
      <c r="E956" s="3">
        <v>0.51800000000000002</v>
      </c>
      <c r="F956" s="3">
        <v>2.18032278088145</v>
      </c>
      <c r="G956" s="3">
        <v>2.5256252108470498</v>
      </c>
      <c r="H956" s="3">
        <v>2.7781152490137799</v>
      </c>
      <c r="I956" s="3">
        <v>2.6368040663966301</v>
      </c>
      <c r="J956" s="3">
        <v>10.1428986950847</v>
      </c>
      <c r="K956" s="3">
        <v>2.4492905748599001</v>
      </c>
      <c r="L956" s="3">
        <v>0.55800000000000005</v>
      </c>
      <c r="M956" s="3">
        <v>0.35699999999999998</v>
      </c>
      <c r="N956" s="3">
        <v>0.38100000000000001</v>
      </c>
      <c r="O956" s="3">
        <v>0.158</v>
      </c>
      <c r="P956" s="3">
        <v>8.7999999999999995E-2</v>
      </c>
      <c r="Q956" s="3"/>
    </row>
    <row r="957" spans="1:17" x14ac:dyDescent="0.25">
      <c r="A957" s="3" t="s">
        <v>159</v>
      </c>
      <c r="B957" s="3" t="s">
        <v>43</v>
      </c>
      <c r="C957" s="3">
        <v>2022</v>
      </c>
      <c r="D957" s="3">
        <v>5.0460000000000003</v>
      </c>
      <c r="E957" s="3">
        <v>0.93300000000000005</v>
      </c>
      <c r="F957" s="3">
        <v>9.69681899081076</v>
      </c>
      <c r="G957" s="3">
        <v>2.1952737292968698</v>
      </c>
      <c r="H957" s="3">
        <v>14.057480301960499</v>
      </c>
      <c r="I957" s="3">
        <v>6.6470633753772397</v>
      </c>
      <c r="J957" s="3">
        <v>17.176372022568</v>
      </c>
      <c r="K957" s="3">
        <v>10.028073583587</v>
      </c>
      <c r="L957" s="3">
        <v>0.53</v>
      </c>
      <c r="M957" s="3">
        <v>0.44700000000000001</v>
      </c>
      <c r="N957" s="3">
        <v>0.49399999999999999</v>
      </c>
      <c r="O957" s="3">
        <v>0.14299999999999999</v>
      </c>
      <c r="P957" s="3">
        <v>8.1000000000000003E-2</v>
      </c>
      <c r="Q957" s="3"/>
    </row>
    <row r="958" spans="1:17" x14ac:dyDescent="0.25">
      <c r="A958" s="3" t="s">
        <v>159</v>
      </c>
      <c r="B958" s="3" t="s">
        <v>43</v>
      </c>
      <c r="C958" s="3">
        <v>2023</v>
      </c>
      <c r="D958" s="3">
        <v>4.8550000000000004</v>
      </c>
      <c r="E958" s="3">
        <v>0.94299999999999995</v>
      </c>
      <c r="F958" s="3">
        <v>7.6675793210234202</v>
      </c>
      <c r="G958" s="3">
        <v>2.19203496864972</v>
      </c>
      <c r="H958" s="3">
        <v>6.9981928086246503</v>
      </c>
      <c r="I958" s="3">
        <v>3.69322304455086</v>
      </c>
      <c r="J958" s="3">
        <v>2.7292556457966199</v>
      </c>
      <c r="K958" s="3">
        <v>1.0658954174581099</v>
      </c>
      <c r="L958" s="3">
        <v>0.72699999999999998</v>
      </c>
      <c r="M958" s="3">
        <v>0.23100000000000001</v>
      </c>
      <c r="N958" s="3">
        <v>0.51900000000000002</v>
      </c>
      <c r="O958" s="3">
        <v>0.14199999999999999</v>
      </c>
      <c r="P958" s="3">
        <v>0.06</v>
      </c>
      <c r="Q958" s="3"/>
    </row>
    <row r="959" spans="1:17" x14ac:dyDescent="0.25">
      <c r="A959" s="3" t="s">
        <v>160</v>
      </c>
      <c r="B959" s="3" t="s">
        <v>39</v>
      </c>
      <c r="C959" s="3">
        <v>2015</v>
      </c>
      <c r="D959" s="3">
        <v>5.1230000000000002</v>
      </c>
      <c r="E959" s="3">
        <v>0.92052999999999996</v>
      </c>
      <c r="F959" s="3">
        <v>1.3921638727188099</v>
      </c>
      <c r="G959" s="5"/>
      <c r="H959" s="3">
        <v>1.9619274139404199</v>
      </c>
      <c r="I959" s="3">
        <v>2.6</v>
      </c>
      <c r="J959" s="3">
        <v>0.29268637299537598</v>
      </c>
      <c r="K959" s="3">
        <v>1.8319569047158399</v>
      </c>
      <c r="L959" s="3">
        <v>1.0096400000000001</v>
      </c>
      <c r="M959" s="3">
        <v>0.74836000000000003</v>
      </c>
      <c r="N959" s="3">
        <v>0.20107</v>
      </c>
      <c r="O959" s="3">
        <v>0.19231000000000001</v>
      </c>
      <c r="P959" s="3">
        <v>2.6169999999999999E-2</v>
      </c>
      <c r="Q959" s="3"/>
    </row>
    <row r="960" spans="1:17" x14ac:dyDescent="0.25">
      <c r="A960" s="3" t="s">
        <v>160</v>
      </c>
      <c r="B960" s="3" t="s">
        <v>39</v>
      </c>
      <c r="C960" s="3">
        <v>2016</v>
      </c>
      <c r="D960" s="3">
        <v>5.1769999999999996</v>
      </c>
      <c r="E960" s="3">
        <v>1.03437</v>
      </c>
      <c r="F960" s="3">
        <v>1.1221621036529501</v>
      </c>
      <c r="G960" s="5"/>
      <c r="H960" s="3">
        <v>-0.31119501590728699</v>
      </c>
      <c r="I960" s="3">
        <v>1.5</v>
      </c>
      <c r="J960" s="3">
        <v>-0.41574895381927401</v>
      </c>
      <c r="K960" s="3">
        <v>1.5499999999999901</v>
      </c>
      <c r="L960" s="3">
        <v>0.81328999999999996</v>
      </c>
      <c r="M960" s="3">
        <v>0.64580000000000004</v>
      </c>
      <c r="N960" s="3">
        <v>0.15717999999999999</v>
      </c>
      <c r="O960" s="3">
        <v>0.20737</v>
      </c>
      <c r="P960" s="3">
        <v>4.3389999999999998E-2</v>
      </c>
      <c r="Q960" s="3"/>
    </row>
    <row r="961" spans="1:17" x14ac:dyDescent="0.25">
      <c r="A961" s="3" t="s">
        <v>160</v>
      </c>
      <c r="B961" s="3" t="s">
        <v>39</v>
      </c>
      <c r="C961" s="3">
        <v>2017</v>
      </c>
      <c r="D961" s="3">
        <v>5.3949999809999998</v>
      </c>
      <c r="E961" s="3">
        <v>1.069317579</v>
      </c>
      <c r="F961" s="3">
        <v>3.1309999999999998</v>
      </c>
      <c r="G961" s="5"/>
      <c r="H961" s="3">
        <v>3.2843778133392298</v>
      </c>
      <c r="I961" s="3">
        <v>2</v>
      </c>
      <c r="J961" s="3">
        <v>3.1712682247161799</v>
      </c>
      <c r="K961" s="3">
        <v>2.9709502708025499</v>
      </c>
      <c r="L961" s="3">
        <v>1.258189797</v>
      </c>
      <c r="M961" s="3">
        <v>0.65078467100000004</v>
      </c>
      <c r="N961" s="3">
        <v>0.20871552800000001</v>
      </c>
      <c r="O961" s="3">
        <v>0.22012588399999999</v>
      </c>
      <c r="P961" s="3">
        <v>4.0903781E-2</v>
      </c>
      <c r="Q961" s="3"/>
    </row>
    <row r="962" spans="1:17" x14ac:dyDescent="0.25">
      <c r="A962" s="3" t="s">
        <v>160</v>
      </c>
      <c r="B962" s="3" t="s">
        <v>39</v>
      </c>
      <c r="C962" s="3">
        <v>2018</v>
      </c>
      <c r="D962" s="3">
        <v>5.3979999999999997</v>
      </c>
      <c r="E962" s="3">
        <v>0.97499999999999998</v>
      </c>
      <c r="F962" s="3">
        <v>1.95</v>
      </c>
      <c r="G962" s="5"/>
      <c r="H962" s="3">
        <v>1.8645485639572099</v>
      </c>
      <c r="I962" s="3">
        <v>1.3</v>
      </c>
      <c r="J962" s="3">
        <v>2.2344784736633301</v>
      </c>
      <c r="K962" s="3">
        <v>1.97481040863753</v>
      </c>
      <c r="L962" s="3">
        <v>1.369</v>
      </c>
      <c r="M962" s="3">
        <v>0.68500000000000005</v>
      </c>
      <c r="N962" s="3">
        <v>0.28799999999999998</v>
      </c>
      <c r="O962" s="3">
        <v>0.13400000000000001</v>
      </c>
      <c r="P962" s="3">
        <v>4.2999999999999997E-2</v>
      </c>
      <c r="Q962" s="3"/>
    </row>
    <row r="963" spans="1:17" x14ac:dyDescent="0.25">
      <c r="A963" s="3" t="s">
        <v>160</v>
      </c>
      <c r="B963" s="3" t="s">
        <v>39</v>
      </c>
      <c r="C963" s="3">
        <v>2019</v>
      </c>
      <c r="D963" s="3">
        <v>5.6029999999999998</v>
      </c>
      <c r="E963" s="3">
        <v>1.004</v>
      </c>
      <c r="F963" s="3">
        <v>1.8500000238418499</v>
      </c>
      <c r="G963" s="5"/>
      <c r="H963" s="3">
        <v>2.56592416763305</v>
      </c>
      <c r="I963" s="3">
        <v>1.3</v>
      </c>
      <c r="J963" s="3">
        <v>0.63262569904327304</v>
      </c>
      <c r="K963" s="3">
        <v>2.4439192737639601</v>
      </c>
      <c r="L963" s="3">
        <v>1.383</v>
      </c>
      <c r="M963" s="3">
        <v>0.85399999999999998</v>
      </c>
      <c r="N963" s="3">
        <v>0.28199999999999997</v>
      </c>
      <c r="O963" s="3">
        <v>0.13700000000000001</v>
      </c>
      <c r="P963" s="3">
        <v>3.9E-2</v>
      </c>
      <c r="Q963" s="3"/>
    </row>
    <row r="964" spans="1:17" x14ac:dyDescent="0.25">
      <c r="A964" s="3" t="s">
        <v>160</v>
      </c>
      <c r="B964" s="3" t="s">
        <v>39</v>
      </c>
      <c r="C964" s="3">
        <v>2020</v>
      </c>
      <c r="D964" s="3">
        <v>5.77820015</v>
      </c>
      <c r="E964" s="3">
        <v>0.98818182899999996</v>
      </c>
      <c r="F964" s="3">
        <v>1.5755329008340599</v>
      </c>
      <c r="G964" s="5"/>
      <c r="H964" s="3">
        <v>2.5384020805358798</v>
      </c>
      <c r="I964" s="3">
        <v>1.6</v>
      </c>
      <c r="J964" s="3">
        <v>-1.1872509960159801</v>
      </c>
      <c r="K964" s="3">
        <v>1.8436807704278599</v>
      </c>
      <c r="L964" s="3">
        <v>1.327448964</v>
      </c>
      <c r="M964" s="3">
        <v>0.82840329400000001</v>
      </c>
      <c r="N964" s="3">
        <v>0.39542841899999998</v>
      </c>
      <c r="O964" s="3">
        <v>0.15028289</v>
      </c>
      <c r="P964" s="3">
        <v>5.9447146999999999E-2</v>
      </c>
      <c r="Q964" s="3"/>
    </row>
    <row r="965" spans="1:17" x14ac:dyDescent="0.25">
      <c r="A965" s="3" t="s">
        <v>160</v>
      </c>
      <c r="B965" s="3" t="s">
        <v>39</v>
      </c>
      <c r="C965" s="3">
        <v>2021</v>
      </c>
      <c r="D965" s="3">
        <v>6.0780000000000003</v>
      </c>
      <c r="E965" s="3">
        <v>1.101</v>
      </c>
      <c r="F965" s="3">
        <v>4.0851028533510299</v>
      </c>
      <c r="G965" s="5"/>
      <c r="H965" s="3">
        <v>4.45</v>
      </c>
      <c r="I965" s="3">
        <v>2.9325513196480801</v>
      </c>
      <c r="J965" s="3">
        <v>8.6202725586645297</v>
      </c>
      <c r="K965" s="3">
        <v>5.9136147849921201</v>
      </c>
      <c r="L965" s="3">
        <v>0.92400000000000004</v>
      </c>
      <c r="M965" s="3">
        <v>0.63400000000000001</v>
      </c>
      <c r="N965" s="3">
        <v>0.48199999999999998</v>
      </c>
      <c r="O965" s="3">
        <v>0.189</v>
      </c>
      <c r="P965" s="3">
        <v>6.6000000000000003E-2</v>
      </c>
      <c r="Q965" s="3"/>
    </row>
    <row r="966" spans="1:17" x14ac:dyDescent="0.25">
      <c r="A966" s="3" t="s">
        <v>160</v>
      </c>
      <c r="B966" s="3" t="s">
        <v>39</v>
      </c>
      <c r="C966" s="3">
        <v>2022</v>
      </c>
      <c r="D966" s="3">
        <v>6.1779999999999999</v>
      </c>
      <c r="E966" s="3">
        <v>1.55</v>
      </c>
      <c r="F966" s="3">
        <v>11.981511734470301</v>
      </c>
      <c r="G966" s="5"/>
      <c r="H966" s="3">
        <v>16.633134085766901</v>
      </c>
      <c r="I966" s="3">
        <v>10.0080356490613</v>
      </c>
      <c r="J966" s="3">
        <v>15.426874536006</v>
      </c>
      <c r="K966" s="3">
        <v>9.5826203170813304</v>
      </c>
      <c r="L966" s="3">
        <v>1.0860000000000001</v>
      </c>
      <c r="M966" s="3">
        <v>0.65800000000000003</v>
      </c>
      <c r="N966" s="3">
        <v>0.54600000000000004</v>
      </c>
      <c r="O966" s="3">
        <v>0.219</v>
      </c>
      <c r="P966" s="3">
        <v>8.7999999999999995E-2</v>
      </c>
      <c r="Q966" s="3"/>
    </row>
    <row r="967" spans="1:17" x14ac:dyDescent="0.25">
      <c r="A967" s="3" t="s">
        <v>160</v>
      </c>
      <c r="B967" s="3" t="s">
        <v>39</v>
      </c>
      <c r="C967" s="3">
        <v>2023</v>
      </c>
      <c r="D967" s="3">
        <v>6.1440000000000001</v>
      </c>
      <c r="E967" s="3">
        <v>1.552</v>
      </c>
      <c r="F967" s="3">
        <v>12.3719043552519</v>
      </c>
      <c r="G967" s="5"/>
      <c r="H967" s="3">
        <v>18.133785904127201</v>
      </c>
      <c r="I967" s="3">
        <v>11.614317019722399</v>
      </c>
      <c r="J967" s="3">
        <v>3.4087985593001702</v>
      </c>
      <c r="K967" s="3">
        <v>12.255382161628001</v>
      </c>
      <c r="L967" s="3">
        <v>1.343</v>
      </c>
      <c r="M967" s="3">
        <v>0.42399999999999999</v>
      </c>
      <c r="N967" s="3">
        <v>0.61699999999999999</v>
      </c>
      <c r="O967" s="3">
        <v>0.246</v>
      </c>
      <c r="P967" s="3">
        <v>8.1000000000000003E-2</v>
      </c>
      <c r="Q967" s="3"/>
    </row>
    <row r="968" spans="1:17" x14ac:dyDescent="0.25">
      <c r="A968" s="3" t="s">
        <v>161</v>
      </c>
      <c r="B968" s="3" t="s">
        <v>43</v>
      </c>
      <c r="C968" s="3">
        <v>2015</v>
      </c>
      <c r="D968" s="3">
        <v>4.5069999999999997</v>
      </c>
      <c r="E968" s="3">
        <v>0.33023999999999998</v>
      </c>
      <c r="F968" s="3">
        <v>6.6939997673034597</v>
      </c>
      <c r="G968" s="3">
        <v>3.38000011444091</v>
      </c>
      <c r="H968" s="3">
        <v>8.3599996566772408</v>
      </c>
      <c r="I968" s="5"/>
      <c r="J968" s="5"/>
      <c r="K968" s="3">
        <v>19.643075763996801</v>
      </c>
      <c r="L968" s="3">
        <v>0.95570999999999995</v>
      </c>
      <c r="M968" s="3">
        <v>0</v>
      </c>
      <c r="N968" s="3">
        <v>0.40839999999999999</v>
      </c>
      <c r="O968" s="3">
        <v>0.21487999999999999</v>
      </c>
      <c r="P968" s="3">
        <v>8.7859999999999994E-2</v>
      </c>
    </row>
    <row r="969" spans="1:17" x14ac:dyDescent="0.25">
      <c r="A969" s="3" t="s">
        <v>161</v>
      </c>
      <c r="B969" s="3" t="s">
        <v>43</v>
      </c>
      <c r="C969" s="3">
        <v>2016</v>
      </c>
      <c r="D969" s="3">
        <v>4.6349999999999998</v>
      </c>
      <c r="E969" s="3">
        <v>0.36485000000000001</v>
      </c>
      <c r="F969" s="3">
        <v>10.8830003738403</v>
      </c>
      <c r="G969" s="3">
        <v>7.6399998664855904</v>
      </c>
      <c r="H969" s="3">
        <v>12.569999694824199</v>
      </c>
      <c r="I969" s="5"/>
      <c r="J969" s="5"/>
      <c r="K969" s="3">
        <v>5.8440842864227003</v>
      </c>
      <c r="L969" s="3">
        <v>0.628</v>
      </c>
      <c r="M969" s="3">
        <v>0</v>
      </c>
      <c r="N969" s="3">
        <v>0.30685000000000001</v>
      </c>
      <c r="O969" s="3">
        <v>0.23896999999999999</v>
      </c>
      <c r="P969" s="3">
        <v>8.1960000000000005E-2</v>
      </c>
      <c r="Q969" s="3"/>
    </row>
    <row r="970" spans="1:17" x14ac:dyDescent="0.25">
      <c r="A970" s="3" t="s">
        <v>161</v>
      </c>
      <c r="B970" s="3" t="s">
        <v>43</v>
      </c>
      <c r="C970" s="3">
        <v>2017</v>
      </c>
      <c r="D970" s="3">
        <v>4.7090001109999999</v>
      </c>
      <c r="E970" s="3">
        <v>0.36842092900000001</v>
      </c>
      <c r="F970" s="3">
        <v>18.22</v>
      </c>
      <c r="G970" s="3">
        <v>12.2200002670288</v>
      </c>
      <c r="H970" s="3">
        <v>19.440000534057599</v>
      </c>
      <c r="I970" s="5"/>
      <c r="J970" s="5"/>
      <c r="K970" s="3">
        <v>8.9426813170468709</v>
      </c>
      <c r="L970" s="3">
        <v>0.98413604499999996</v>
      </c>
      <c r="M970" s="3">
        <v>5.5647539999999999E-3</v>
      </c>
      <c r="N970" s="3">
        <v>0.31869769100000001</v>
      </c>
      <c r="O970" s="3">
        <v>0.29304090100000002</v>
      </c>
      <c r="P970" s="3">
        <v>7.1095175999999996E-2</v>
      </c>
      <c r="Q970" s="3"/>
    </row>
    <row r="971" spans="1:17" x14ac:dyDescent="0.25">
      <c r="A971" s="3" t="s">
        <v>161</v>
      </c>
      <c r="B971" s="3" t="s">
        <v>43</v>
      </c>
      <c r="C971" s="3">
        <v>2018</v>
      </c>
      <c r="D971" s="3">
        <v>4.5709999999999997</v>
      </c>
      <c r="E971" s="3">
        <v>0.25600000000000001</v>
      </c>
      <c r="F971" s="3">
        <v>16.03</v>
      </c>
      <c r="G971" s="3">
        <v>13.2823625310588</v>
      </c>
      <c r="H971" s="3">
        <v>17.695920188334799</v>
      </c>
      <c r="I971" s="5"/>
      <c r="J971" s="5"/>
      <c r="K971" s="3">
        <v>14.021878253152799</v>
      </c>
      <c r="L971" s="3">
        <v>0.81299999999999994</v>
      </c>
      <c r="M971" s="3">
        <v>0</v>
      </c>
      <c r="N971" s="3">
        <v>0.35499999999999998</v>
      </c>
      <c r="O971" s="3">
        <v>0.23799999999999999</v>
      </c>
      <c r="P971" s="3">
        <v>5.2999999999999999E-2</v>
      </c>
      <c r="Q971" s="3"/>
    </row>
    <row r="972" spans="1:17" x14ac:dyDescent="0.25">
      <c r="A972" s="3" t="s">
        <v>161</v>
      </c>
      <c r="B972" s="3" t="s">
        <v>43</v>
      </c>
      <c r="C972" s="3">
        <v>2019</v>
      </c>
      <c r="D972" s="3">
        <v>4.3739999999999997</v>
      </c>
      <c r="E972" s="3">
        <v>0.26800000000000002</v>
      </c>
      <c r="F972" s="3">
        <v>14.803000450134199</v>
      </c>
      <c r="G972" s="3">
        <v>12.7913478835692</v>
      </c>
      <c r="H972" s="3">
        <v>8.8102703527635899</v>
      </c>
      <c r="I972" s="5"/>
      <c r="J972" s="5"/>
      <c r="K972" s="3">
        <v>8.6335974520081198</v>
      </c>
      <c r="L972" s="3">
        <v>0.84099999999999997</v>
      </c>
      <c r="M972" s="3">
        <v>0.24199999999999999</v>
      </c>
      <c r="N972" s="3">
        <v>0.309</v>
      </c>
      <c r="O972" s="3">
        <v>0.252</v>
      </c>
      <c r="P972" s="3">
        <v>4.4999999999999998E-2</v>
      </c>
    </row>
    <row r="973" spans="1:17" x14ac:dyDescent="0.25">
      <c r="A973" s="3" t="s">
        <v>161</v>
      </c>
      <c r="B973" s="3" t="s">
        <v>43</v>
      </c>
      <c r="C973" s="3">
        <v>2020</v>
      </c>
      <c r="D973" s="3">
        <v>3.9263999460000001</v>
      </c>
      <c r="E973" s="3">
        <v>0.24056038299999999</v>
      </c>
      <c r="F973" s="3">
        <v>13.4469773031282</v>
      </c>
      <c r="G973" s="3">
        <v>3.5971775991145298</v>
      </c>
      <c r="H973" s="3">
        <v>8.5451081146709704</v>
      </c>
      <c r="I973" s="5"/>
      <c r="J973" s="5"/>
      <c r="K973" s="3">
        <v>13.9439914689357</v>
      </c>
      <c r="L973" s="3">
        <v>0.74798494599999998</v>
      </c>
      <c r="M973" s="3">
        <v>0.20395396599999999</v>
      </c>
      <c r="N973" s="3">
        <v>0.38202768599999998</v>
      </c>
      <c r="O973" s="3">
        <v>0.25764700800000001</v>
      </c>
      <c r="P973" s="3">
        <v>4.7940936000000003E-2</v>
      </c>
      <c r="Q973" s="3"/>
    </row>
    <row r="974" spans="1:17" x14ac:dyDescent="0.25">
      <c r="A974" s="3" t="s">
        <v>161</v>
      </c>
      <c r="B974" s="3" t="s">
        <v>43</v>
      </c>
      <c r="C974" s="3">
        <v>2021</v>
      </c>
      <c r="D974" s="3">
        <v>3.8490000000000002</v>
      </c>
      <c r="E974" s="3">
        <v>0.27900000000000003</v>
      </c>
      <c r="F974" s="3">
        <v>11.874000000000001</v>
      </c>
      <c r="G974" s="3">
        <v>8.4700000000000006</v>
      </c>
      <c r="H974" s="3">
        <v>16.96</v>
      </c>
      <c r="I974" s="5"/>
      <c r="J974" s="5"/>
      <c r="K974" s="3">
        <v>6.6915036746903898</v>
      </c>
      <c r="L974" s="3">
        <v>0.377</v>
      </c>
      <c r="M974" s="3">
        <v>0.1</v>
      </c>
      <c r="N974" s="3">
        <v>0.40799999999999997</v>
      </c>
      <c r="O974" s="3">
        <v>0.24299999999999999</v>
      </c>
      <c r="P974" s="3">
        <v>4.7E-2</v>
      </c>
      <c r="Q974" s="3"/>
    </row>
    <row r="975" spans="1:17" x14ac:dyDescent="0.25">
      <c r="A975" s="3" t="s">
        <v>161</v>
      </c>
      <c r="B975" s="3" t="s">
        <v>43</v>
      </c>
      <c r="C975" s="3">
        <v>2022</v>
      </c>
      <c r="D975" s="3">
        <v>3.5739999999999998</v>
      </c>
      <c r="E975" s="3">
        <v>0.68600000000000005</v>
      </c>
      <c r="F975" s="3">
        <v>27.208288381465302</v>
      </c>
      <c r="G975" s="3">
        <v>20.775792409829101</v>
      </c>
      <c r="H975" s="3">
        <v>27.286070228992202</v>
      </c>
      <c r="I975" s="5"/>
      <c r="J975" s="5"/>
      <c r="K975" s="3">
        <v>6.6915243364605903</v>
      </c>
      <c r="L975" s="3">
        <v>0.41599999999999998</v>
      </c>
      <c r="M975" s="3">
        <v>0.27300000000000002</v>
      </c>
      <c r="N975" s="3">
        <v>0.38700000000000001</v>
      </c>
      <c r="O975" s="3">
        <v>0.20200000000000001</v>
      </c>
      <c r="P975" s="3">
        <v>5.5E-2</v>
      </c>
      <c r="Q975" s="3"/>
    </row>
    <row r="976" spans="1:17" x14ac:dyDescent="0.25">
      <c r="A976" s="3" t="s">
        <v>161</v>
      </c>
      <c r="B976" s="3" t="s">
        <v>43</v>
      </c>
      <c r="C976" s="3">
        <v>2023</v>
      </c>
      <c r="D976" s="3">
        <v>3.1379999999999999</v>
      </c>
      <c r="E976" s="3">
        <v>0.67</v>
      </c>
      <c r="F976" s="3">
        <v>47.6428733253179</v>
      </c>
      <c r="G976" s="3">
        <v>31.013239603284099</v>
      </c>
      <c r="H976" s="3">
        <v>56.920147803185799</v>
      </c>
      <c r="I976" s="5"/>
      <c r="J976" s="5"/>
      <c r="K976" s="3">
        <v>40.265875611140899</v>
      </c>
      <c r="L976" s="3">
        <v>0.54</v>
      </c>
      <c r="M976" s="3">
        <v>9.1999999999999998E-2</v>
      </c>
      <c r="N976" s="3">
        <v>0.371</v>
      </c>
      <c r="O976" s="3">
        <v>0.193</v>
      </c>
      <c r="P976" s="3">
        <v>5.0999999999999997E-2</v>
      </c>
      <c r="Q976" s="3"/>
    </row>
    <row r="977" spans="1:17" x14ac:dyDescent="0.25">
      <c r="A977" s="3" t="s">
        <v>162</v>
      </c>
      <c r="B977" s="3" t="s">
        <v>67</v>
      </c>
      <c r="C977" s="3">
        <v>2015</v>
      </c>
      <c r="D977" s="3">
        <v>6.798</v>
      </c>
      <c r="E977" s="3">
        <v>1.52186</v>
      </c>
      <c r="F977" s="3">
        <v>-0.52281230688095004</v>
      </c>
      <c r="G977" s="3">
        <v>-3.5400936603546098</v>
      </c>
      <c r="H977" s="3">
        <v>1.9266604185104299</v>
      </c>
      <c r="I977" s="3">
        <v>0.49564602971076899</v>
      </c>
      <c r="J977" s="3">
        <v>-9.1642894744872994</v>
      </c>
      <c r="K977" s="3">
        <v>3.0598468530675702</v>
      </c>
      <c r="L977" s="3">
        <v>1.02</v>
      </c>
      <c r="M977" s="3">
        <v>1.02525</v>
      </c>
      <c r="N977" s="3">
        <v>0.54252</v>
      </c>
      <c r="O977" s="3">
        <v>0.31104999999999999</v>
      </c>
      <c r="P977" s="3">
        <v>0.49209999999999998</v>
      </c>
      <c r="Q977" s="3"/>
    </row>
    <row r="978" spans="1:17" x14ac:dyDescent="0.25">
      <c r="A978" s="3" t="s">
        <v>162</v>
      </c>
      <c r="B978" s="3" t="s">
        <v>67</v>
      </c>
      <c r="C978" s="3">
        <v>2016</v>
      </c>
      <c r="D978" s="3">
        <v>6.7389999999999999</v>
      </c>
      <c r="E978" s="3">
        <v>1.6455500000000001</v>
      </c>
      <c r="F978" s="3">
        <v>-0.54147601127624501</v>
      </c>
      <c r="G978" s="3">
        <v>-4.0738072395324698</v>
      </c>
      <c r="H978" s="3">
        <v>2.0530717372894198</v>
      </c>
      <c r="I978" s="3">
        <v>0.90103274583816495</v>
      </c>
      <c r="J978" s="3">
        <v>-5.5037107467651296</v>
      </c>
      <c r="K978" s="3">
        <v>0.64700000000000502</v>
      </c>
      <c r="L978" s="3">
        <v>0.86758000000000002</v>
      </c>
      <c r="M978" s="3">
        <v>0.94718999999999998</v>
      </c>
      <c r="N978" s="3">
        <v>0.48770000000000002</v>
      </c>
      <c r="O978" s="3">
        <v>0.32706000000000002</v>
      </c>
      <c r="P978" s="3">
        <v>0.46987000000000001</v>
      </c>
      <c r="Q978" s="3"/>
    </row>
    <row r="979" spans="1:17" x14ac:dyDescent="0.25">
      <c r="A979" s="3" t="s">
        <v>162</v>
      </c>
      <c r="B979" s="3" t="s">
        <v>67</v>
      </c>
      <c r="C979" s="3">
        <v>2017</v>
      </c>
      <c r="D979" s="3">
        <v>6.5720000269999996</v>
      </c>
      <c r="E979" s="3">
        <v>1.69227767</v>
      </c>
      <c r="F979" s="3">
        <v>0.57599999999999996</v>
      </c>
      <c r="G979" s="3">
        <v>-2.5389955043792698</v>
      </c>
      <c r="H979" s="3">
        <v>1.4044318199157699</v>
      </c>
      <c r="I979" s="3">
        <v>1.4531012773513701</v>
      </c>
      <c r="J979" s="3">
        <v>3.8262014389038002</v>
      </c>
      <c r="K979" s="3">
        <v>3.0065476367899602</v>
      </c>
      <c r="L979" s="3">
        <v>1.3538143629999999</v>
      </c>
      <c r="M979" s="3">
        <v>0.94949239500000004</v>
      </c>
      <c r="N979" s="3">
        <v>0.549840569</v>
      </c>
      <c r="O979" s="3">
        <v>0.34596598099999998</v>
      </c>
      <c r="P979" s="3">
        <v>0.46430778499999997</v>
      </c>
      <c r="Q979" s="3"/>
    </row>
    <row r="980" spans="1:17" x14ac:dyDescent="0.25">
      <c r="A980" s="3" t="s">
        <v>162</v>
      </c>
      <c r="B980" s="3" t="s">
        <v>67</v>
      </c>
      <c r="C980" s="3">
        <v>2018</v>
      </c>
      <c r="D980" s="3">
        <v>6.343</v>
      </c>
      <c r="E980" s="3">
        <v>1.5289999999999999</v>
      </c>
      <c r="F980" s="3">
        <v>0.45</v>
      </c>
      <c r="G980" s="3">
        <v>-1.3398959636688199</v>
      </c>
      <c r="H980" s="3">
        <v>1.43531382083892</v>
      </c>
      <c r="I980" s="3">
        <v>1.68436050415039</v>
      </c>
      <c r="J980" s="3">
        <v>4.4137415885925204</v>
      </c>
      <c r="K980" s="3">
        <v>3.3470623981171501</v>
      </c>
      <c r="L980" s="3">
        <v>1.4510000000000001</v>
      </c>
      <c r="M980" s="3">
        <v>1.008</v>
      </c>
      <c r="N980" s="3">
        <v>0.63100000000000001</v>
      </c>
      <c r="O980" s="3">
        <v>0.26100000000000001</v>
      </c>
      <c r="P980" s="3">
        <v>0.45700000000000002</v>
      </c>
      <c r="Q980" s="3"/>
    </row>
    <row r="981" spans="1:17" x14ac:dyDescent="0.25">
      <c r="A981" s="3" t="s">
        <v>162</v>
      </c>
      <c r="B981" s="3" t="s">
        <v>67</v>
      </c>
      <c r="C981" s="3">
        <v>2019</v>
      </c>
      <c r="D981" s="3">
        <v>6.2619999999999996</v>
      </c>
      <c r="E981" s="3">
        <v>1.5720000000000001</v>
      </c>
      <c r="F981" s="3">
        <v>0.56499999761581399</v>
      </c>
      <c r="G981" s="3">
        <v>-0.99254888296127297</v>
      </c>
      <c r="H981" s="3">
        <v>1.5251617431640601</v>
      </c>
      <c r="I981" s="3">
        <v>1.0448865890502901</v>
      </c>
      <c r="J981" s="3">
        <v>-3.32025146484375</v>
      </c>
      <c r="K981" s="3">
        <v>-0.62439916746777302</v>
      </c>
      <c r="L981" s="3">
        <v>1.4630000000000001</v>
      </c>
      <c r="M981" s="3">
        <v>1.141</v>
      </c>
      <c r="N981" s="3">
        <v>0.55600000000000005</v>
      </c>
      <c r="O981" s="3">
        <v>0.27100000000000002</v>
      </c>
      <c r="P981" s="3">
        <v>0.45300000000000001</v>
      </c>
      <c r="Q981" s="3"/>
    </row>
    <row r="982" spans="1:17" x14ac:dyDescent="0.25">
      <c r="A982" s="3" t="s">
        <v>162</v>
      </c>
      <c r="B982" s="3" t="s">
        <v>67</v>
      </c>
      <c r="C982" s="3">
        <v>2020</v>
      </c>
      <c r="D982" s="3">
        <v>6.3770999909999997</v>
      </c>
      <c r="E982" s="3">
        <v>1.5195801259999999</v>
      </c>
      <c r="F982" s="3">
        <v>-0.18191666666732501</v>
      </c>
      <c r="G982" s="3">
        <v>-0.28649976125017401</v>
      </c>
      <c r="H982" s="3">
        <v>1.86175000667572</v>
      </c>
      <c r="I982" s="3">
        <v>-0.155333071947097</v>
      </c>
      <c r="J982" s="3">
        <v>-6.9190611839294398</v>
      </c>
      <c r="K982" s="3">
        <v>-2.91902248436238</v>
      </c>
      <c r="L982" s="3">
        <v>1.3954569100000001</v>
      </c>
      <c r="M982" s="3">
        <v>1.137814283</v>
      </c>
      <c r="N982" s="3">
        <v>0.63531720599999997</v>
      </c>
      <c r="O982" s="3">
        <v>0.21877090599999999</v>
      </c>
      <c r="P982" s="3">
        <v>0.53316223600000001</v>
      </c>
      <c r="Q982" s="3"/>
    </row>
    <row r="983" spans="1:17" x14ac:dyDescent="0.25">
      <c r="A983" s="3" t="s">
        <v>162</v>
      </c>
      <c r="B983" s="3" t="s">
        <v>67</v>
      </c>
      <c r="C983" s="3">
        <v>2021</v>
      </c>
      <c r="D983" s="3">
        <v>6.3769999999999998</v>
      </c>
      <c r="E983" s="3">
        <v>1.6950000000000001</v>
      </c>
      <c r="F983" s="3">
        <v>2.3048595904048699</v>
      </c>
      <c r="G983" s="3">
        <v>1.39</v>
      </c>
      <c r="H983" s="3">
        <v>1.6</v>
      </c>
      <c r="I983" s="3">
        <v>0.92518557962439596</v>
      </c>
      <c r="J983" s="3">
        <v>15.2241691500999</v>
      </c>
      <c r="K983" s="3">
        <v>4.0325142233476203</v>
      </c>
      <c r="L983" s="3">
        <v>1.0189999999999999</v>
      </c>
      <c r="M983" s="3">
        <v>0.89700000000000002</v>
      </c>
      <c r="N983" s="3">
        <v>0.66400000000000003</v>
      </c>
      <c r="O983" s="3">
        <v>0.17599999999999999</v>
      </c>
      <c r="P983" s="3">
        <v>0.54700000000000004</v>
      </c>
      <c r="Q983" s="3"/>
    </row>
    <row r="984" spans="1:17" x14ac:dyDescent="0.25">
      <c r="A984" s="3" t="s">
        <v>162</v>
      </c>
      <c r="B984" s="3" t="s">
        <v>67</v>
      </c>
      <c r="C984" s="3">
        <v>2022</v>
      </c>
      <c r="D984" s="3">
        <v>6.48</v>
      </c>
      <c r="E984" s="3">
        <v>2.149</v>
      </c>
      <c r="F984" s="3">
        <v>6.1210600403941404</v>
      </c>
      <c r="G984" s="3">
        <v>5.2428709699430804</v>
      </c>
      <c r="H984" s="3">
        <v>4.9320789535153597</v>
      </c>
      <c r="I984" s="3">
        <v>4.1177672161488701</v>
      </c>
      <c r="J984" s="3">
        <v>15.0826495938927</v>
      </c>
      <c r="K984" s="3">
        <v>9.0687900906878998</v>
      </c>
      <c r="L984" s="3">
        <v>1.127</v>
      </c>
      <c r="M984" s="3">
        <v>0.85099999999999998</v>
      </c>
      <c r="N984" s="3">
        <v>0.67200000000000004</v>
      </c>
      <c r="O984" s="3">
        <v>0.16300000000000001</v>
      </c>
      <c r="P984" s="3">
        <v>0.58699999999999997</v>
      </c>
      <c r="Q984" s="3"/>
    </row>
    <row r="985" spans="1:17" x14ac:dyDescent="0.25">
      <c r="A985" s="3" t="s">
        <v>162</v>
      </c>
      <c r="B985" s="3" t="s">
        <v>67</v>
      </c>
      <c r="C985" s="3">
        <v>2023</v>
      </c>
      <c r="D985" s="3">
        <v>6.5869999999999997</v>
      </c>
      <c r="E985" s="3">
        <v>2.1680000000000001</v>
      </c>
      <c r="F985" s="3">
        <v>4.82146729476466</v>
      </c>
      <c r="G985" s="3">
        <v>4.3284491475159799</v>
      </c>
      <c r="H985" s="3">
        <v>5.1434008653709098</v>
      </c>
      <c r="I985" s="3">
        <v>4.1523101484499501</v>
      </c>
      <c r="J985" s="3">
        <v>-83.339780775939104</v>
      </c>
      <c r="K985" s="3">
        <v>0.30687670767715503</v>
      </c>
      <c r="L985" s="3">
        <v>1.3540000000000001</v>
      </c>
      <c r="M985" s="3">
        <v>0.60699999999999998</v>
      </c>
      <c r="N985" s="3">
        <v>0.66</v>
      </c>
      <c r="O985" s="3">
        <v>0.17</v>
      </c>
      <c r="P985" s="3">
        <v>0.56100000000000005</v>
      </c>
      <c r="Q985" s="3"/>
    </row>
    <row r="986" spans="1:17" x14ac:dyDescent="0.25">
      <c r="A986" s="3" t="s">
        <v>163</v>
      </c>
      <c r="B986" s="3" t="s">
        <v>39</v>
      </c>
      <c r="C986" s="3">
        <v>2015</v>
      </c>
      <c r="D986" s="3">
        <v>5.9950000000000001</v>
      </c>
      <c r="E986" s="3">
        <v>1.1689099999999999</v>
      </c>
      <c r="F986" s="5"/>
      <c r="G986" s="5"/>
      <c r="H986" s="5"/>
      <c r="I986" s="3">
        <v>0.15623982250690399</v>
      </c>
      <c r="J986" s="3">
        <v>-2.88857674598693</v>
      </c>
      <c r="K986" s="5"/>
      <c r="L986" s="3">
        <v>1.26999</v>
      </c>
      <c r="M986" s="3">
        <v>0.78902000000000005</v>
      </c>
      <c r="N986" s="3">
        <v>0.31751000000000001</v>
      </c>
      <c r="O986" s="3">
        <v>0.16893</v>
      </c>
      <c r="P986" s="3">
        <v>3.431E-2</v>
      </c>
      <c r="Q986" s="3"/>
    </row>
    <row r="987" spans="1:17" x14ac:dyDescent="0.25">
      <c r="A987" s="3" t="s">
        <v>163</v>
      </c>
      <c r="B987" s="3" t="s">
        <v>39</v>
      </c>
      <c r="C987" s="3">
        <v>2016</v>
      </c>
      <c r="D987" s="3">
        <v>6.0780000000000003</v>
      </c>
      <c r="E987" s="3">
        <v>1.27973</v>
      </c>
      <c r="F987" s="5"/>
      <c r="G987" s="5"/>
      <c r="H987" s="5"/>
      <c r="I987" s="3">
        <v>0.20799480378627699</v>
      </c>
      <c r="J987" s="3">
        <v>-3.9826693534850999</v>
      </c>
      <c r="K987" s="5"/>
      <c r="L987" s="3">
        <v>1.0826800000000001</v>
      </c>
      <c r="M987" s="3">
        <v>0.70367000000000002</v>
      </c>
      <c r="N987" s="3">
        <v>0.23391000000000001</v>
      </c>
      <c r="O987" s="3">
        <v>0.13836999999999999</v>
      </c>
      <c r="P987" s="3">
        <v>2.947E-2</v>
      </c>
      <c r="Q987" s="3"/>
    </row>
    <row r="988" spans="1:17" x14ac:dyDescent="0.25">
      <c r="A988" s="3" t="s">
        <v>163</v>
      </c>
      <c r="B988" s="3" t="s">
        <v>39</v>
      </c>
      <c r="C988" s="3">
        <v>2017</v>
      </c>
      <c r="D988" s="3">
        <v>6.0980000499999996</v>
      </c>
      <c r="E988" s="3">
        <v>1.325393558</v>
      </c>
      <c r="F988" s="5"/>
      <c r="G988" s="5"/>
      <c r="H988" s="5"/>
      <c r="I988" s="3">
        <v>1.48537325859069</v>
      </c>
      <c r="J988" s="3">
        <v>2.42970442771911</v>
      </c>
      <c r="K988" s="5"/>
      <c r="L988" s="3">
        <v>1.505059242</v>
      </c>
      <c r="M988" s="3">
        <v>0.71273291100000002</v>
      </c>
      <c r="N988" s="3">
        <v>0.295817465</v>
      </c>
      <c r="O988" s="3">
        <v>0.136544481</v>
      </c>
      <c r="P988" s="3">
        <v>2.4210852000000001E-2</v>
      </c>
      <c r="Q988" s="3"/>
    </row>
    <row r="989" spans="1:17" x14ac:dyDescent="0.25">
      <c r="A989" s="3" t="s">
        <v>163</v>
      </c>
      <c r="B989" s="3" t="s">
        <v>39</v>
      </c>
      <c r="C989" s="3">
        <v>2018</v>
      </c>
      <c r="D989" s="3">
        <v>6.173</v>
      </c>
      <c r="E989" s="3">
        <v>1.21</v>
      </c>
      <c r="F989" s="5"/>
      <c r="G989" s="5"/>
      <c r="H989" s="5"/>
      <c r="I989" s="3">
        <v>2.4798669815063401</v>
      </c>
      <c r="J989" s="3">
        <v>2.52456450462341</v>
      </c>
      <c r="K989" s="5"/>
      <c r="L989" s="3">
        <v>1.5369999999999999</v>
      </c>
      <c r="M989" s="3">
        <v>0.77600000000000002</v>
      </c>
      <c r="N989" s="3">
        <v>0.35399999999999998</v>
      </c>
      <c r="O989" s="3">
        <v>0.11799999999999999</v>
      </c>
      <c r="P989" s="3">
        <v>1.4E-2</v>
      </c>
      <c r="Q989" s="3"/>
    </row>
    <row r="990" spans="1:17" x14ac:dyDescent="0.25">
      <c r="A990" s="3" t="s">
        <v>163</v>
      </c>
      <c r="B990" s="3" t="s">
        <v>39</v>
      </c>
      <c r="C990" s="3">
        <v>2019</v>
      </c>
      <c r="D990" s="3">
        <v>6.1980000000000004</v>
      </c>
      <c r="E990" s="3">
        <v>1.246</v>
      </c>
      <c r="F990" s="5"/>
      <c r="G990" s="5"/>
      <c r="H990" s="5"/>
      <c r="I990" s="3">
        <v>1.9209181070327701</v>
      </c>
      <c r="J990" s="3">
        <v>1.9087933301925599</v>
      </c>
      <c r="K990" s="5"/>
      <c r="L990" s="3">
        <v>1.504</v>
      </c>
      <c r="M990" s="3">
        <v>0.88100000000000001</v>
      </c>
      <c r="N990" s="3">
        <v>0.33400000000000002</v>
      </c>
      <c r="O990" s="3">
        <v>0.121</v>
      </c>
      <c r="P990" s="3">
        <v>1.4E-2</v>
      </c>
      <c r="Q990" s="3"/>
    </row>
    <row r="991" spans="1:17" x14ac:dyDescent="0.25">
      <c r="A991" s="3" t="s">
        <v>163</v>
      </c>
      <c r="B991" s="3" t="s">
        <v>39</v>
      </c>
      <c r="C991" s="3">
        <v>2020</v>
      </c>
      <c r="D991" s="3">
        <v>6.2806000710000003</v>
      </c>
      <c r="E991" s="3">
        <v>1.1948376890000001</v>
      </c>
      <c r="F991" s="5"/>
      <c r="G991" s="5"/>
      <c r="H991" s="5"/>
      <c r="I991" s="3">
        <v>2.1629779999999998</v>
      </c>
      <c r="J991" s="3">
        <v>-1.52264393618635</v>
      </c>
      <c r="K991" s="5"/>
      <c r="L991" s="3">
        <v>1.424331188</v>
      </c>
      <c r="M991" s="3">
        <v>0.85346525900000003</v>
      </c>
      <c r="N991" s="3">
        <v>0.423542529</v>
      </c>
      <c r="O991" s="3">
        <v>0.11672977399999999</v>
      </c>
      <c r="P991" s="3">
        <v>1.1291440999999999E-2</v>
      </c>
      <c r="Q991" s="3"/>
    </row>
    <row r="992" spans="1:17" x14ac:dyDescent="0.25">
      <c r="A992" s="3" t="s">
        <v>163</v>
      </c>
      <c r="B992" s="3" t="s">
        <v>39</v>
      </c>
      <c r="C992" s="3">
        <v>2021</v>
      </c>
      <c r="D992" s="3">
        <v>6.3310000000000004</v>
      </c>
      <c r="E992" s="3">
        <v>1.304</v>
      </c>
      <c r="F992" s="5"/>
      <c r="G992" s="5"/>
      <c r="H992" s="5"/>
      <c r="I992" s="3">
        <v>4.1094239575801401</v>
      </c>
      <c r="J992" s="3">
        <v>6.8002280315992598</v>
      </c>
      <c r="K992" s="5"/>
      <c r="L992" s="3">
        <v>1.0660000000000001</v>
      </c>
      <c r="M992" s="3">
        <v>0.65300000000000002</v>
      </c>
      <c r="N992" s="3">
        <v>0.46800000000000003</v>
      </c>
      <c r="O992" s="3">
        <v>0.107</v>
      </c>
      <c r="P992" s="3">
        <v>1.7999999999999999E-2</v>
      </c>
      <c r="Q992" s="3"/>
    </row>
    <row r="993" spans="1:17" x14ac:dyDescent="0.25">
      <c r="A993" s="3" t="s">
        <v>163</v>
      </c>
      <c r="B993" s="3" t="s">
        <v>39</v>
      </c>
      <c r="C993" s="3">
        <v>2022</v>
      </c>
      <c r="D993" s="3">
        <v>6.391</v>
      </c>
      <c r="E993" s="3">
        <v>1.736</v>
      </c>
      <c r="F993" s="5"/>
      <c r="G993" s="5"/>
      <c r="H993" s="5"/>
      <c r="I993" s="3">
        <v>9.6728225289934109</v>
      </c>
      <c r="J993" s="3">
        <v>29.495195973768201</v>
      </c>
      <c r="K993" s="5"/>
      <c r="L993" s="3">
        <v>1.232</v>
      </c>
      <c r="M993" s="3">
        <v>0.70699999999999996</v>
      </c>
      <c r="N993" s="3">
        <v>0.47899999999999998</v>
      </c>
      <c r="O993" s="3">
        <v>0.11799999999999999</v>
      </c>
      <c r="P993" s="3">
        <v>2.5000000000000001E-2</v>
      </c>
      <c r="Q993" s="3"/>
    </row>
    <row r="994" spans="1:17" x14ac:dyDescent="0.25">
      <c r="A994" s="3" t="s">
        <v>163</v>
      </c>
      <c r="B994" s="3" t="s">
        <v>39</v>
      </c>
      <c r="C994" s="3">
        <v>2023</v>
      </c>
      <c r="D994" s="3">
        <v>6.4690000000000003</v>
      </c>
      <c r="E994" s="3">
        <v>1.7310000000000001</v>
      </c>
      <c r="F994" s="5"/>
      <c r="G994" s="5"/>
      <c r="H994" s="5"/>
      <c r="I994" s="3">
        <v>9.4287356922594601</v>
      </c>
      <c r="J994" s="3">
        <v>8.8152161111763601</v>
      </c>
      <c r="K994" s="5"/>
      <c r="L994" s="3">
        <v>1.544</v>
      </c>
      <c r="M994" s="3">
        <v>0.47199999999999998</v>
      </c>
      <c r="N994" s="3">
        <v>0.49399999999999999</v>
      </c>
      <c r="O994" s="3">
        <v>0.128</v>
      </c>
      <c r="P994" s="3">
        <v>2.1999999999999999E-2</v>
      </c>
      <c r="Q994" s="3"/>
    </row>
    <row r="995" spans="1:17" x14ac:dyDescent="0.25">
      <c r="A995" s="3" t="s">
        <v>164</v>
      </c>
      <c r="B995" s="3" t="s">
        <v>39</v>
      </c>
      <c r="C995" s="3">
        <v>2015</v>
      </c>
      <c r="D995" s="3">
        <v>5.8479999999999999</v>
      </c>
      <c r="E995" s="3">
        <v>1.1849799999999999</v>
      </c>
      <c r="F995" s="3">
        <v>-0.52555453777313199</v>
      </c>
      <c r="G995" s="3">
        <v>-2.5546615123748699</v>
      </c>
      <c r="H995" s="3">
        <v>0.83271998167037897</v>
      </c>
      <c r="I995" s="3">
        <v>0.453715950250625</v>
      </c>
      <c r="J995" s="3">
        <v>-0.22451974451541901</v>
      </c>
      <c r="K995" s="3">
        <v>1.00560707978266</v>
      </c>
      <c r="L995" s="3">
        <v>1.2738499999999999</v>
      </c>
      <c r="M995" s="3">
        <v>0.87336999999999998</v>
      </c>
      <c r="N995" s="3">
        <v>0.60855000000000004</v>
      </c>
      <c r="O995" s="3">
        <v>0.25328000000000001</v>
      </c>
      <c r="P995" s="3">
        <v>3.7870000000000001E-2</v>
      </c>
      <c r="Q995" s="3"/>
    </row>
    <row r="996" spans="1:17" x14ac:dyDescent="0.25">
      <c r="A996" s="3" t="s">
        <v>164</v>
      </c>
      <c r="B996" s="3" t="s">
        <v>39</v>
      </c>
      <c r="C996" s="3">
        <v>2016</v>
      </c>
      <c r="D996" s="3">
        <v>5.7679999999999998</v>
      </c>
      <c r="E996" s="3">
        <v>1.2994699999999999</v>
      </c>
      <c r="F996" s="3">
        <v>-5.4999846965074498E-2</v>
      </c>
      <c r="G996" s="3">
        <v>0.85192638635635298</v>
      </c>
      <c r="H996" s="3">
        <v>0.91917419433593694</v>
      </c>
      <c r="I996" s="3">
        <v>0.62250000238418501</v>
      </c>
      <c r="J996" s="3">
        <v>-1.3584524393081601</v>
      </c>
      <c r="K996" s="3">
        <v>0.87329568798310797</v>
      </c>
      <c r="L996" s="3">
        <v>1.05613</v>
      </c>
      <c r="M996" s="3">
        <v>0.79151000000000005</v>
      </c>
      <c r="N996" s="3">
        <v>0.53164</v>
      </c>
      <c r="O996" s="3">
        <v>0.25738</v>
      </c>
      <c r="P996" s="3">
        <v>3.635E-2</v>
      </c>
      <c r="Q996" s="3"/>
    </row>
    <row r="997" spans="1:17" x14ac:dyDescent="0.25">
      <c r="A997" s="3" t="s">
        <v>164</v>
      </c>
      <c r="B997" s="3" t="s">
        <v>39</v>
      </c>
      <c r="C997" s="3">
        <v>2017</v>
      </c>
      <c r="D997" s="3">
        <v>5.7579998970000004</v>
      </c>
      <c r="E997" s="3">
        <v>1.3412059549999999</v>
      </c>
      <c r="F997" s="3">
        <v>1.4319999999999999</v>
      </c>
      <c r="G997" s="3">
        <v>2.4796628952026301</v>
      </c>
      <c r="H997" s="3">
        <v>2.22456622123718</v>
      </c>
      <c r="I997" s="3">
        <v>1.05841135978698</v>
      </c>
      <c r="J997" s="3">
        <v>2.14598536491394</v>
      </c>
      <c r="K997" s="3">
        <v>1.4804641250296</v>
      </c>
      <c r="L997" s="3">
        <v>1.452518821</v>
      </c>
      <c r="M997" s="3">
        <v>0.79082822799999997</v>
      </c>
      <c r="N997" s="3">
        <v>0.57257580799999996</v>
      </c>
      <c r="O997" s="3">
        <v>0.24264909300000001</v>
      </c>
      <c r="P997" s="3">
        <v>4.5128979E-2</v>
      </c>
      <c r="Q997" s="3"/>
    </row>
    <row r="998" spans="1:17" x14ac:dyDescent="0.25">
      <c r="A998" s="3" t="s">
        <v>164</v>
      </c>
      <c r="B998" s="3" t="s">
        <v>39</v>
      </c>
      <c r="C998" s="3">
        <v>2018</v>
      </c>
      <c r="D998" s="3">
        <v>5.9480000000000004</v>
      </c>
      <c r="E998" s="3">
        <v>1.2190000000000001</v>
      </c>
      <c r="F998" s="3">
        <v>1.74</v>
      </c>
      <c r="G998" s="3">
        <v>3.7243366241454998</v>
      </c>
      <c r="H998" s="3">
        <v>2.6745653152465798</v>
      </c>
      <c r="I998" s="3">
        <v>1.1972956657409599</v>
      </c>
      <c r="J998" s="3">
        <v>2.0678288936614901</v>
      </c>
      <c r="K998" s="3">
        <v>2.1551643674513201</v>
      </c>
      <c r="L998" s="3">
        <v>1.506</v>
      </c>
      <c r="M998" s="3">
        <v>0.85599999999999998</v>
      </c>
      <c r="N998" s="3">
        <v>0.63300000000000001</v>
      </c>
      <c r="O998" s="3">
        <v>0.16</v>
      </c>
      <c r="P998" s="3">
        <v>5.0999999999999997E-2</v>
      </c>
      <c r="Q998" s="3"/>
    </row>
    <row r="999" spans="1:17" x14ac:dyDescent="0.25">
      <c r="A999" s="3" t="s">
        <v>164</v>
      </c>
      <c r="B999" s="3" t="s">
        <v>39</v>
      </c>
      <c r="C999" s="3">
        <v>2019</v>
      </c>
      <c r="D999" s="3">
        <v>6.1180000000000003</v>
      </c>
      <c r="E999" s="3">
        <v>1.258</v>
      </c>
      <c r="F999" s="3">
        <v>1.6280000209808301</v>
      </c>
      <c r="G999" s="3">
        <v>3.1112599372863698</v>
      </c>
      <c r="H999" s="3">
        <v>1.600226521492</v>
      </c>
      <c r="I999" s="3">
        <v>1.69249951839447</v>
      </c>
      <c r="J999" s="3">
        <v>0.68074059486389105</v>
      </c>
      <c r="K999" s="3">
        <v>2.2604548320191502</v>
      </c>
      <c r="L999" s="3">
        <v>1.5229999999999999</v>
      </c>
      <c r="M999" s="3">
        <v>0.95299999999999996</v>
      </c>
      <c r="N999" s="3">
        <v>0.56399999999999995</v>
      </c>
      <c r="O999" s="3">
        <v>0.14399999999999999</v>
      </c>
      <c r="P999" s="3">
        <v>5.7000000000000002E-2</v>
      </c>
      <c r="Q999" s="3"/>
    </row>
    <row r="1000" spans="1:17" x14ac:dyDescent="0.25">
      <c r="A1000" s="3" t="s">
        <v>164</v>
      </c>
      <c r="B1000" s="3" t="s">
        <v>39</v>
      </c>
      <c r="C1000" s="3">
        <v>2020</v>
      </c>
      <c r="D1000" s="3">
        <v>6.3633999819999998</v>
      </c>
      <c r="E1000" s="3">
        <v>1.208652496</v>
      </c>
      <c r="F1000" s="3">
        <v>-5.4856815760517201E-2</v>
      </c>
      <c r="G1000" s="3">
        <v>-1.1138979608847499</v>
      </c>
      <c r="H1000" s="3">
        <v>3.51940894126892</v>
      </c>
      <c r="I1000" s="3">
        <v>0.68796860000000004</v>
      </c>
      <c r="J1000" s="3">
        <v>-0.242269411683082</v>
      </c>
      <c r="K1000" s="3">
        <v>1.27232601567176</v>
      </c>
      <c r="L1000" s="3">
        <v>1.4646776909999999</v>
      </c>
      <c r="M1000" s="3">
        <v>0.93254804599999996</v>
      </c>
      <c r="N1000" s="3">
        <v>0.64670014399999998</v>
      </c>
      <c r="O1000" s="3">
        <v>0.14570149800000001</v>
      </c>
      <c r="P1000" s="3">
        <v>7.6516322999999997E-2</v>
      </c>
      <c r="Q1000" s="3"/>
    </row>
    <row r="1001" spans="1:17" x14ac:dyDescent="0.25">
      <c r="A1001" s="3" t="s">
        <v>164</v>
      </c>
      <c r="B1001" s="3" t="s">
        <v>39</v>
      </c>
      <c r="C1001" s="3">
        <v>2021</v>
      </c>
      <c r="D1001" s="3">
        <v>6.4610000000000003</v>
      </c>
      <c r="E1001" s="3">
        <v>1.36</v>
      </c>
      <c r="F1001" s="3">
        <v>1.917065</v>
      </c>
      <c r="G1001" s="3">
        <v>11.07685</v>
      </c>
      <c r="H1001" s="3">
        <v>-0.19800000000000001</v>
      </c>
      <c r="I1001" s="3">
        <v>1.083</v>
      </c>
      <c r="J1001" s="3">
        <v>5.5434519486808496</v>
      </c>
      <c r="K1001" s="3">
        <v>2.6070873601070099</v>
      </c>
      <c r="L1001" s="3">
        <v>1.093</v>
      </c>
      <c r="M1001" s="3">
        <v>0.72199999999999998</v>
      </c>
      <c r="N1001" s="3">
        <v>0.69</v>
      </c>
      <c r="O1001" s="3">
        <v>0.122</v>
      </c>
      <c r="P1001" s="3">
        <v>8.5000000000000006E-2</v>
      </c>
    </row>
    <row r="1002" spans="1:17" x14ac:dyDescent="0.25">
      <c r="A1002" s="3" t="s">
        <v>164</v>
      </c>
      <c r="B1002" s="3" t="s">
        <v>39</v>
      </c>
      <c r="C1002" s="3">
        <v>2022</v>
      </c>
      <c r="D1002" s="3">
        <v>6.63</v>
      </c>
      <c r="E1002" s="3">
        <v>1.81</v>
      </c>
      <c r="F1002" s="3">
        <v>8.8336989999999993</v>
      </c>
      <c r="G1002" s="3">
        <v>23.122983380624699</v>
      </c>
      <c r="H1002" s="3">
        <v>12.2492</v>
      </c>
      <c r="I1002" s="3">
        <v>5.8142283148191902</v>
      </c>
      <c r="J1002" s="3">
        <v>19.587155963302301</v>
      </c>
      <c r="K1002" s="3">
        <v>6.7377351529016698</v>
      </c>
      <c r="L1002" s="3">
        <v>1.2490000000000001</v>
      </c>
      <c r="M1002" s="3">
        <v>0.76900000000000002</v>
      </c>
      <c r="N1002" s="3">
        <v>0.68500000000000005</v>
      </c>
      <c r="O1002" s="3">
        <v>0.11799999999999999</v>
      </c>
      <c r="P1002" s="3">
        <v>0.115</v>
      </c>
      <c r="Q1002" s="3"/>
    </row>
    <row r="1003" spans="1:17" x14ac:dyDescent="0.25">
      <c r="A1003" s="3" t="s">
        <v>164</v>
      </c>
      <c r="B1003" s="3" t="s">
        <v>39</v>
      </c>
      <c r="C1003" s="3">
        <v>2023</v>
      </c>
      <c r="D1003" s="3">
        <v>6.65</v>
      </c>
      <c r="E1003" s="3">
        <v>1.8149999999999999</v>
      </c>
      <c r="F1003" s="3">
        <v>7.4468771738583799</v>
      </c>
      <c r="G1003" s="3">
        <v>2.6898469108604299</v>
      </c>
      <c r="H1003" s="3">
        <v>12.1378200736679</v>
      </c>
      <c r="I1003" s="3">
        <v>7.25089564106458</v>
      </c>
      <c r="J1003" s="3">
        <v>6.06060606060624</v>
      </c>
      <c r="K1003" s="3">
        <v>9.0183618418782405</v>
      </c>
      <c r="L1003" s="3">
        <v>1.5389999999999999</v>
      </c>
      <c r="M1003" s="3">
        <v>0.53200000000000003</v>
      </c>
      <c r="N1003" s="3">
        <v>0.70699999999999996</v>
      </c>
      <c r="O1003" s="3">
        <v>0.14399999999999999</v>
      </c>
      <c r="P1003" s="3">
        <v>0.113</v>
      </c>
      <c r="Q1003" s="3"/>
    </row>
    <row r="1004" spans="1:17" x14ac:dyDescent="0.25">
      <c r="A1004" s="3" t="s">
        <v>165</v>
      </c>
      <c r="B1004" s="3" t="s">
        <v>43</v>
      </c>
      <c r="C1004" s="3">
        <v>2016</v>
      </c>
      <c r="D1004" s="3">
        <v>5.44</v>
      </c>
      <c r="E1004" s="3">
        <v>0</v>
      </c>
      <c r="F1004" s="5"/>
      <c r="G1004" s="5"/>
      <c r="H1004" s="5"/>
      <c r="I1004" s="5"/>
      <c r="J1004" s="5"/>
      <c r="K1004" s="3">
        <v>0.77879241364566498</v>
      </c>
      <c r="L1004" s="3">
        <v>0.33612999999999998</v>
      </c>
      <c r="M1004" s="3">
        <v>0.11466</v>
      </c>
      <c r="N1004" s="3">
        <v>0.56777999999999995</v>
      </c>
      <c r="O1004" s="3">
        <v>0.27224999999999999</v>
      </c>
      <c r="P1004" s="3">
        <v>0.31180000000000002</v>
      </c>
      <c r="Q1004" s="3"/>
    </row>
    <row r="1005" spans="1:17" x14ac:dyDescent="0.25">
      <c r="A1005" s="3" t="s">
        <v>165</v>
      </c>
      <c r="B1005" s="3" t="s">
        <v>43</v>
      </c>
      <c r="C1005" s="3">
        <v>2017</v>
      </c>
      <c r="D1005" s="3">
        <v>5.1510000229999999</v>
      </c>
      <c r="E1005" s="3">
        <v>2.2643184E-2</v>
      </c>
      <c r="F1005" s="5"/>
      <c r="G1005" s="5"/>
      <c r="H1005" s="5"/>
      <c r="I1005" s="5"/>
      <c r="J1005" s="5"/>
      <c r="K1005" s="3">
        <v>5.92460149099945</v>
      </c>
      <c r="L1005" s="3">
        <v>0.72115135200000002</v>
      </c>
      <c r="M1005" s="3">
        <v>0.113989137</v>
      </c>
      <c r="N1005" s="3">
        <v>0.60212695599999999</v>
      </c>
      <c r="O1005" s="3">
        <v>0.291631311</v>
      </c>
      <c r="P1005" s="3">
        <v>0.28241032399999999</v>
      </c>
      <c r="Q1005" s="3"/>
    </row>
    <row r="1006" spans="1:17" x14ac:dyDescent="0.25">
      <c r="A1006" s="3" t="s">
        <v>165</v>
      </c>
      <c r="B1006" s="3" t="s">
        <v>43</v>
      </c>
      <c r="C1006" s="3">
        <v>2018</v>
      </c>
      <c r="D1006" s="3">
        <v>4.9820000000000002</v>
      </c>
      <c r="E1006" s="3">
        <v>0</v>
      </c>
      <c r="F1006" s="5"/>
      <c r="G1006" s="5"/>
      <c r="H1006" s="5"/>
      <c r="I1006" s="5"/>
      <c r="J1006" s="5"/>
      <c r="K1006" s="3">
        <v>1.84819614911452</v>
      </c>
      <c r="L1006" s="3">
        <v>0.71199999999999997</v>
      </c>
      <c r="M1006" s="3">
        <v>0.115</v>
      </c>
      <c r="N1006" s="3">
        <v>0.67400000000000004</v>
      </c>
      <c r="O1006" s="3">
        <v>0.23799999999999999</v>
      </c>
      <c r="P1006" s="3">
        <v>0.28199999999999997</v>
      </c>
      <c r="Q1006" s="3"/>
    </row>
    <row r="1007" spans="1:17" x14ac:dyDescent="0.25">
      <c r="A1007" s="3" t="s">
        <v>165</v>
      </c>
      <c r="B1007" s="3" t="s">
        <v>43</v>
      </c>
      <c r="C1007" s="3">
        <v>2019</v>
      </c>
      <c r="D1007" s="3">
        <v>4.6680000000000001</v>
      </c>
      <c r="E1007" s="3">
        <v>0</v>
      </c>
      <c r="F1007" s="5"/>
      <c r="G1007" s="5"/>
      <c r="H1007" s="5"/>
      <c r="I1007" s="5"/>
      <c r="J1007" s="5"/>
      <c r="K1007" s="3">
        <v>1.78469432661966</v>
      </c>
      <c r="L1007" s="3">
        <v>0.69799999999999995</v>
      </c>
      <c r="M1007" s="3">
        <v>0.26800000000000002</v>
      </c>
      <c r="N1007" s="3">
        <v>0.55900000000000005</v>
      </c>
      <c r="O1007" s="3">
        <v>0.24299999999999999</v>
      </c>
      <c r="P1007" s="3">
        <v>0.27</v>
      </c>
      <c r="Q1007" s="3"/>
    </row>
    <row r="1008" spans="1:17" x14ac:dyDescent="0.25">
      <c r="A1008" s="3" t="s">
        <v>166</v>
      </c>
      <c r="B1008" s="3" t="s">
        <v>43</v>
      </c>
      <c r="C1008" s="3">
        <v>2015</v>
      </c>
      <c r="D1008" s="3">
        <v>4.6420000000000003</v>
      </c>
      <c r="E1008" s="3">
        <v>0.92049000000000003</v>
      </c>
      <c r="F1008" s="3">
        <v>4.5092082023620597</v>
      </c>
      <c r="G1008" s="3">
        <v>5.9931225776672301</v>
      </c>
      <c r="H1008" s="3">
        <v>5.1223001480102504</v>
      </c>
      <c r="I1008" s="3">
        <v>5.4652042388915998</v>
      </c>
      <c r="J1008" s="3">
        <v>3.61229300498962</v>
      </c>
      <c r="K1008" s="3">
        <v>5.1707674189133099</v>
      </c>
      <c r="L1008" s="3">
        <v>1.18468</v>
      </c>
      <c r="M1008" s="3">
        <v>0.27688000000000001</v>
      </c>
      <c r="N1008" s="3">
        <v>0.33206999999999998</v>
      </c>
      <c r="O1008" s="3">
        <v>0.11973</v>
      </c>
      <c r="P1008" s="3">
        <v>8.8840000000000002E-2</v>
      </c>
    </row>
    <row r="1009" spans="1:17" x14ac:dyDescent="0.25">
      <c r="A1009" s="3" t="s">
        <v>166</v>
      </c>
      <c r="B1009" s="3" t="s">
        <v>43</v>
      </c>
      <c r="C1009" s="3">
        <v>2016</v>
      </c>
      <c r="D1009" s="3">
        <v>4.4589999999999996</v>
      </c>
      <c r="E1009" s="3">
        <v>1.02416</v>
      </c>
      <c r="F1009" s="3">
        <v>6.5946044921875</v>
      </c>
      <c r="G1009" s="3">
        <v>6.0488414764404297</v>
      </c>
      <c r="H1009" s="3">
        <v>10.527316093444799</v>
      </c>
      <c r="I1009" s="3">
        <v>5.60337114334106</v>
      </c>
      <c r="J1009" s="3">
        <v>7.08223104476928</v>
      </c>
      <c r="K1009" s="3">
        <v>7.2060893119259104</v>
      </c>
      <c r="L1009" s="3">
        <v>0.96052999999999999</v>
      </c>
      <c r="M1009" s="3">
        <v>0.18611</v>
      </c>
      <c r="N1009" s="3">
        <v>0.42482999999999999</v>
      </c>
      <c r="O1009" s="3">
        <v>0.13655999999999999</v>
      </c>
      <c r="P1009" s="3">
        <v>8.4150000000000003E-2</v>
      </c>
      <c r="Q1009" s="3"/>
    </row>
    <row r="1010" spans="1:17" x14ac:dyDescent="0.25">
      <c r="A1010" s="3" t="s">
        <v>166</v>
      </c>
      <c r="B1010" s="3" t="s">
        <v>43</v>
      </c>
      <c r="C1010" s="3">
        <v>2017</v>
      </c>
      <c r="D1010" s="3">
        <v>4.8289999960000003</v>
      </c>
      <c r="E1010" s="3">
        <v>1.0546987059999999</v>
      </c>
      <c r="F1010" s="3">
        <v>5.2729999999999997</v>
      </c>
      <c r="G1010" s="3">
        <v>5.1774182319641104</v>
      </c>
      <c r="H1010" s="3">
        <v>6.94504594802856</v>
      </c>
      <c r="I1010" s="3">
        <v>4.7457337379455504</v>
      </c>
      <c r="J1010" s="3">
        <v>4.87513828277587</v>
      </c>
      <c r="K1010" s="3">
        <v>5.2678382384077898</v>
      </c>
      <c r="L1010" s="3">
        <v>1.384788632</v>
      </c>
      <c r="M1010" s="3">
        <v>0.18708006999999999</v>
      </c>
      <c r="N1010" s="3">
        <v>0.47924673600000001</v>
      </c>
      <c r="O1010" s="3">
        <v>0.13936238000000001</v>
      </c>
      <c r="P1010" s="3">
        <v>7.2509497000000006E-2</v>
      </c>
      <c r="Q1010" s="3"/>
    </row>
    <row r="1011" spans="1:17" x14ac:dyDescent="0.25">
      <c r="A1011" s="3" t="s">
        <v>166</v>
      </c>
      <c r="B1011" s="3" t="s">
        <v>43</v>
      </c>
      <c r="C1011" s="3">
        <v>2018</v>
      </c>
      <c r="D1011" s="3">
        <v>4.7240000000000002</v>
      </c>
      <c r="E1011" s="3">
        <v>0.94</v>
      </c>
      <c r="F1011" s="3">
        <v>4.5</v>
      </c>
      <c r="G1011" s="3">
        <v>4.8940339088439897</v>
      </c>
      <c r="H1011" s="3">
        <v>3.58179759979248</v>
      </c>
      <c r="I1011" s="3">
        <v>4.2632517814636204</v>
      </c>
      <c r="J1011" s="3">
        <v>5.4530663490295401</v>
      </c>
      <c r="K1011" s="3">
        <v>3.9167571771457701</v>
      </c>
      <c r="L1011" s="3">
        <v>1.41</v>
      </c>
      <c r="M1011" s="3">
        <v>0.33</v>
      </c>
      <c r="N1011" s="3">
        <v>0.51600000000000001</v>
      </c>
      <c r="O1011" s="3">
        <v>0.10299999999999999</v>
      </c>
      <c r="P1011" s="3">
        <v>5.6000000000000001E-2</v>
      </c>
      <c r="Q1011" s="3"/>
    </row>
    <row r="1012" spans="1:17" x14ac:dyDescent="0.25">
      <c r="A1012" s="3" t="s">
        <v>166</v>
      </c>
      <c r="B1012" s="3" t="s">
        <v>43</v>
      </c>
      <c r="C1012" s="3">
        <v>2019</v>
      </c>
      <c r="D1012" s="3">
        <v>4.7220000000000004</v>
      </c>
      <c r="E1012" s="3">
        <v>0.96</v>
      </c>
      <c r="F1012" s="3">
        <v>4.13000011444091</v>
      </c>
      <c r="G1012" s="3">
        <v>5.2127428054809499</v>
      </c>
      <c r="H1012" s="3">
        <v>3.5543351173400799</v>
      </c>
      <c r="I1012" s="3">
        <v>4.1433458328246999</v>
      </c>
      <c r="J1012" s="3">
        <v>4.6239218711853001</v>
      </c>
      <c r="K1012" s="3">
        <v>4.0207489225528397</v>
      </c>
      <c r="L1012" s="3">
        <v>1.351</v>
      </c>
      <c r="M1012" s="3">
        <v>0.46899999999999997</v>
      </c>
      <c r="N1012" s="3">
        <v>0.38900000000000001</v>
      </c>
      <c r="O1012" s="3">
        <v>0.13</v>
      </c>
      <c r="P1012" s="3">
        <v>5.5E-2</v>
      </c>
      <c r="Q1012" s="3"/>
    </row>
    <row r="1013" spans="1:17" x14ac:dyDescent="0.25">
      <c r="A1013" s="3" t="s">
        <v>166</v>
      </c>
      <c r="B1013" s="3" t="s">
        <v>43</v>
      </c>
      <c r="C1013" s="3">
        <v>2020</v>
      </c>
      <c r="D1013" s="3">
        <v>4.8140997890000001</v>
      </c>
      <c r="E1013" s="3">
        <v>0.90214043899999996</v>
      </c>
      <c r="F1013" s="3">
        <v>3.22388504206676</v>
      </c>
      <c r="G1013" s="3">
        <v>3.7421267135976199</v>
      </c>
      <c r="H1013" s="3">
        <v>4.3946051597595197</v>
      </c>
      <c r="I1013" s="3">
        <v>3.34403228759765</v>
      </c>
      <c r="J1013" s="3">
        <v>2.4896867275238002</v>
      </c>
      <c r="K1013" s="3">
        <v>5.2863026273351998</v>
      </c>
      <c r="L1013" s="3">
        <v>1.259086251</v>
      </c>
      <c r="M1013" s="3">
        <v>0.407034069</v>
      </c>
      <c r="N1013" s="3">
        <v>0.43478181999999999</v>
      </c>
      <c r="O1013" s="3">
        <v>0.12640684799999999</v>
      </c>
      <c r="P1013" s="3">
        <v>5.9502140000000002E-2</v>
      </c>
      <c r="Q1013" s="3"/>
    </row>
    <row r="1014" spans="1:17" x14ac:dyDescent="0.25">
      <c r="A1014" s="3" t="s">
        <v>166</v>
      </c>
      <c r="B1014" s="3" t="s">
        <v>43</v>
      </c>
      <c r="C1014" s="3">
        <v>2021</v>
      </c>
      <c r="D1014" s="3">
        <v>4.9560000000000004</v>
      </c>
      <c r="E1014" s="3">
        <v>0.96699999999999997</v>
      </c>
      <c r="F1014" s="3">
        <v>4.6090590000000002</v>
      </c>
      <c r="G1014" s="3">
        <v>14.31061</v>
      </c>
      <c r="H1014" s="3">
        <v>6.0979999999999999</v>
      </c>
      <c r="I1014" s="3">
        <v>3.12</v>
      </c>
      <c r="J1014" s="3">
        <v>7.1180408439963001</v>
      </c>
      <c r="K1014" s="3">
        <v>6.21901712425921</v>
      </c>
      <c r="L1014" s="3">
        <v>0.89500000000000002</v>
      </c>
      <c r="M1014" s="3">
        <v>0.26500000000000001</v>
      </c>
      <c r="N1014" s="3">
        <v>0.44700000000000001</v>
      </c>
      <c r="O1014" s="3">
        <v>0.14399999999999999</v>
      </c>
      <c r="P1014" s="3">
        <v>5.0999999999999997E-2</v>
      </c>
      <c r="Q1014" s="3"/>
    </row>
    <row r="1015" spans="1:17" x14ac:dyDescent="0.25">
      <c r="A1015" s="3" t="s">
        <v>166</v>
      </c>
      <c r="B1015" s="3" t="s">
        <v>43</v>
      </c>
      <c r="C1015" s="3">
        <v>2022</v>
      </c>
      <c r="D1015" s="3">
        <v>5.194</v>
      </c>
      <c r="E1015" s="3">
        <v>1.425</v>
      </c>
      <c r="F1015" s="3">
        <v>7.0397270000000001</v>
      </c>
      <c r="G1015" s="3">
        <v>23.695293982721399</v>
      </c>
      <c r="H1015" s="3">
        <v>9.2849249999999994</v>
      </c>
      <c r="I1015" s="3">
        <v>4.3184315051128204</v>
      </c>
      <c r="J1015" s="3">
        <v>14.381773593861199</v>
      </c>
      <c r="K1015" s="3">
        <v>4.8111236086999298</v>
      </c>
      <c r="L1015" s="3">
        <v>1.0880000000000001</v>
      </c>
      <c r="M1015" s="3">
        <v>0.36099999999999999</v>
      </c>
      <c r="N1015" s="3">
        <v>0.442</v>
      </c>
      <c r="O1015" s="3">
        <v>8.8999999999999996E-2</v>
      </c>
      <c r="P1015" s="3">
        <v>4.5999999999999999E-2</v>
      </c>
      <c r="Q1015" s="3"/>
    </row>
    <row r="1016" spans="1:17" x14ac:dyDescent="0.25">
      <c r="A1016" s="3" t="s">
        <v>166</v>
      </c>
      <c r="B1016" s="3" t="s">
        <v>43</v>
      </c>
      <c r="C1016" s="3">
        <v>2023</v>
      </c>
      <c r="D1016" s="3">
        <v>5.2750000000000004</v>
      </c>
      <c r="E1016" s="3">
        <v>1.417</v>
      </c>
      <c r="F1016" s="3">
        <v>6.0739085322052997</v>
      </c>
      <c r="G1016" s="3">
        <v>5.2966319170272103</v>
      </c>
      <c r="H1016" s="3">
        <v>10.822376098965499</v>
      </c>
      <c r="I1016" s="3">
        <v>4.8444588464030804</v>
      </c>
      <c r="J1016" s="5"/>
      <c r="K1016" s="3">
        <v>4.4450833290606901</v>
      </c>
      <c r="L1016" s="3">
        <v>1.4279999999999999</v>
      </c>
      <c r="M1016" s="3">
        <v>0.14899999999999999</v>
      </c>
      <c r="N1016" s="3">
        <v>0.46400000000000002</v>
      </c>
      <c r="O1016" s="3">
        <v>0.09</v>
      </c>
      <c r="P1016" s="3">
        <v>1.9E-2</v>
      </c>
      <c r="Q1016" s="3"/>
    </row>
    <row r="1017" spans="1:17" x14ac:dyDescent="0.25">
      <c r="A1017" s="3" t="s">
        <v>167</v>
      </c>
      <c r="B1017" s="3" t="s">
        <v>43</v>
      </c>
      <c r="C1017" s="3">
        <v>2016</v>
      </c>
      <c r="D1017" s="3">
        <v>3.8319999999999999</v>
      </c>
      <c r="E1017" s="3">
        <v>0.39394000000000001</v>
      </c>
      <c r="F1017" s="3">
        <v>379.84899902343699</v>
      </c>
      <c r="G1017" s="5"/>
      <c r="H1017" s="5"/>
      <c r="I1017" s="5"/>
      <c r="J1017" s="5"/>
      <c r="K1017" s="3">
        <v>259.278873239436</v>
      </c>
      <c r="L1017" s="3">
        <v>0.18518999999999999</v>
      </c>
      <c r="M1017" s="3">
        <v>0.15781000000000001</v>
      </c>
      <c r="N1017" s="3">
        <v>0.19661999999999999</v>
      </c>
      <c r="O1017" s="3">
        <v>0.25899</v>
      </c>
      <c r="P1017" s="3">
        <v>0.13014999999999999</v>
      </c>
      <c r="Q1017" s="3"/>
    </row>
    <row r="1018" spans="1:17" x14ac:dyDescent="0.25">
      <c r="A1018" s="3" t="s">
        <v>167</v>
      </c>
      <c r="B1018" s="3" t="s">
        <v>43</v>
      </c>
      <c r="C1018" s="3">
        <v>2017</v>
      </c>
      <c r="D1018" s="3">
        <v>3.5910000800000001</v>
      </c>
      <c r="E1018" s="3">
        <v>0.39724862599999999</v>
      </c>
      <c r="F1018" s="3">
        <v>187.86699999999999</v>
      </c>
      <c r="G1018" s="5"/>
      <c r="H1018" s="5"/>
      <c r="I1018" s="5"/>
      <c r="J1018" s="5"/>
      <c r="K1018" s="3">
        <v>156.38751846556801</v>
      </c>
      <c r="L1018" s="3">
        <v>0.60132312799999998</v>
      </c>
      <c r="M1018" s="3">
        <v>0.16348600399999999</v>
      </c>
      <c r="N1018" s="3">
        <v>0.14706243599999999</v>
      </c>
      <c r="O1018" s="3">
        <v>0.28567081700000002</v>
      </c>
      <c r="P1018" s="3">
        <v>0.116793513</v>
      </c>
      <c r="Q1018" s="3"/>
    </row>
    <row r="1019" spans="1:17" x14ac:dyDescent="0.25">
      <c r="A1019" s="3" t="s">
        <v>167</v>
      </c>
      <c r="B1019" s="3" t="s">
        <v>43</v>
      </c>
      <c r="C1019" s="3">
        <v>2018</v>
      </c>
      <c r="D1019" s="3">
        <v>3.254</v>
      </c>
      <c r="E1019" s="3">
        <v>0.33700000000000002</v>
      </c>
      <c r="F1019" s="3">
        <v>83.49</v>
      </c>
      <c r="G1019" s="5"/>
      <c r="H1019" s="5"/>
      <c r="I1019" s="5"/>
      <c r="J1019" s="5"/>
      <c r="K1019" s="3">
        <v>69.542770372869896</v>
      </c>
      <c r="L1019" s="3">
        <v>0.60799999999999998</v>
      </c>
      <c r="M1019" s="3">
        <v>0.17699999999999999</v>
      </c>
      <c r="N1019" s="3">
        <v>0.112</v>
      </c>
      <c r="O1019" s="3">
        <v>0.224</v>
      </c>
      <c r="P1019" s="3">
        <v>0.106</v>
      </c>
      <c r="Q1019" s="3"/>
    </row>
    <row r="1020" spans="1:17" x14ac:dyDescent="0.25">
      <c r="A1020" s="3" t="s">
        <v>167</v>
      </c>
      <c r="B1020" s="3" t="s">
        <v>43</v>
      </c>
      <c r="C1020" s="3">
        <v>2019</v>
      </c>
      <c r="D1020" s="3">
        <v>2.8530000000000002</v>
      </c>
      <c r="E1020" s="3">
        <v>0.30599999999999999</v>
      </c>
      <c r="F1020" s="3">
        <v>51.187000274658203</v>
      </c>
      <c r="G1020" s="5"/>
      <c r="H1020" s="5"/>
      <c r="I1020" s="5"/>
      <c r="J1020" s="5"/>
      <c r="K1020" s="3">
        <v>-1.6827879945864099</v>
      </c>
      <c r="L1020" s="3">
        <v>0.57499999999999996</v>
      </c>
      <c r="M1020" s="3">
        <v>0.29499999999999998</v>
      </c>
      <c r="N1020" s="3">
        <v>0.01</v>
      </c>
      <c r="O1020" s="3">
        <v>0.20200000000000001</v>
      </c>
      <c r="P1020" s="3">
        <v>9.0999999999999998E-2</v>
      </c>
      <c r="Q1020" s="3"/>
    </row>
    <row r="1021" spans="1:17" x14ac:dyDescent="0.25">
      <c r="A1021" s="3" t="s">
        <v>167</v>
      </c>
      <c r="B1021" s="3" t="s">
        <v>43</v>
      </c>
      <c r="C1021" s="3">
        <v>2020</v>
      </c>
      <c r="D1021" s="3">
        <v>2.8166000840000001</v>
      </c>
      <c r="E1021" s="3">
        <v>0.28908297399999999</v>
      </c>
      <c r="F1021" s="3">
        <v>29.675843553857</v>
      </c>
      <c r="G1021" s="5"/>
      <c r="H1021" s="5"/>
      <c r="I1021" s="5"/>
      <c r="J1021" s="5"/>
      <c r="K1021" s="3">
        <v>16.106511331315701</v>
      </c>
      <c r="L1021" s="3">
        <v>0.55327850599999995</v>
      </c>
      <c r="M1021" s="3">
        <v>0.208809033</v>
      </c>
      <c r="N1021" s="3">
        <v>6.5609254000000006E-2</v>
      </c>
      <c r="O1021" s="3">
        <v>0.209934607</v>
      </c>
      <c r="P1021" s="3">
        <v>0.111156799</v>
      </c>
      <c r="Q1021" s="3"/>
    </row>
    <row r="1022" spans="1:17" x14ac:dyDescent="0.25">
      <c r="A1022" s="3" t="s">
        <v>168</v>
      </c>
      <c r="B1022" s="3" t="s">
        <v>50</v>
      </c>
      <c r="C1022" s="3">
        <v>2015</v>
      </c>
      <c r="D1022" s="3">
        <v>6.3289999999999997</v>
      </c>
      <c r="E1022" s="3">
        <v>1.23011</v>
      </c>
      <c r="F1022" s="3">
        <v>-0.50045830011367798</v>
      </c>
      <c r="G1022" s="3">
        <v>-2.1035079956054599</v>
      </c>
      <c r="H1022" s="3">
        <v>1.1733809709548899</v>
      </c>
      <c r="I1022" s="3">
        <v>0.51604969999999994</v>
      </c>
      <c r="J1022" s="3">
        <v>-1.47783251231528</v>
      </c>
      <c r="K1022" s="3">
        <v>0.54394273017021699</v>
      </c>
      <c r="L1022" s="3">
        <v>1.31379</v>
      </c>
      <c r="M1022" s="3">
        <v>0.95562000000000002</v>
      </c>
      <c r="N1022" s="3">
        <v>0.45950999999999997</v>
      </c>
      <c r="O1022" s="3">
        <v>0.18226999999999999</v>
      </c>
      <c r="P1022" s="3">
        <v>6.3979999999999995E-2</v>
      </c>
      <c r="Q1022" s="3"/>
    </row>
    <row r="1023" spans="1:17" x14ac:dyDescent="0.25">
      <c r="A1023" s="3" t="s">
        <v>168</v>
      </c>
      <c r="B1023" s="3" t="s">
        <v>50</v>
      </c>
      <c r="C1023" s="3">
        <v>2016</v>
      </c>
      <c r="D1023" s="3">
        <v>6.3609999999999998</v>
      </c>
      <c r="E1023" s="3">
        <v>1.34253</v>
      </c>
      <c r="F1023" s="3">
        <v>-0.202674865722656</v>
      </c>
      <c r="G1023" s="3">
        <v>-4.2380332946777299</v>
      </c>
      <c r="H1023" s="3">
        <v>1.4005941152572601</v>
      </c>
      <c r="I1023" s="3">
        <v>0.84288039999999997</v>
      </c>
      <c r="J1023" s="3">
        <v>-2.7249999999997798</v>
      </c>
      <c r="K1023" s="3">
        <v>0.32699999999999801</v>
      </c>
      <c r="L1023" s="3">
        <v>1.1294500000000001</v>
      </c>
      <c r="M1023" s="3">
        <v>0.87895999999999996</v>
      </c>
      <c r="N1023" s="3">
        <v>0.37545000000000001</v>
      </c>
      <c r="O1023" s="3">
        <v>0.17665</v>
      </c>
      <c r="P1023" s="3">
        <v>6.1370000000000001E-2</v>
      </c>
      <c r="Q1023" s="3"/>
    </row>
    <row r="1024" spans="1:17" x14ac:dyDescent="0.25">
      <c r="A1024" s="3" t="s">
        <v>168</v>
      </c>
      <c r="B1024" s="3" t="s">
        <v>50</v>
      </c>
      <c r="C1024" s="3">
        <v>2017</v>
      </c>
      <c r="D1024" s="3">
        <v>6.4029998780000001</v>
      </c>
      <c r="E1024" s="3">
        <v>1.3843978640000001</v>
      </c>
      <c r="F1024" s="3">
        <v>1.956</v>
      </c>
      <c r="G1024" s="3">
        <v>3.9306716918945299</v>
      </c>
      <c r="H1024" s="3">
        <v>1.2295837402343699</v>
      </c>
      <c r="I1024" s="3">
        <v>1.129472</v>
      </c>
      <c r="J1024" s="3">
        <v>4.1548873468691099</v>
      </c>
      <c r="K1024" s="3">
        <v>1.2957628554626299</v>
      </c>
      <c r="L1024" s="3">
        <v>1.532090902</v>
      </c>
      <c r="M1024" s="3">
        <v>0.88896059999999999</v>
      </c>
      <c r="N1024" s="3">
        <v>0.40878123</v>
      </c>
      <c r="O1024" s="3">
        <v>0.190133572</v>
      </c>
      <c r="P1024" s="3">
        <v>7.0914096999999995E-2</v>
      </c>
      <c r="Q1024" s="3"/>
    </row>
    <row r="1025" spans="1:17" x14ac:dyDescent="0.25">
      <c r="A1025" s="3" t="s">
        <v>168</v>
      </c>
      <c r="B1025" s="3" t="s">
        <v>50</v>
      </c>
      <c r="C1025" s="3">
        <v>2018</v>
      </c>
      <c r="D1025" s="3">
        <v>6.31</v>
      </c>
      <c r="E1025" s="3">
        <v>1.2509999999999999</v>
      </c>
      <c r="F1025" s="3">
        <v>1.68</v>
      </c>
      <c r="G1025" s="3">
        <v>2.3656039237975999</v>
      </c>
      <c r="H1025" s="3">
        <v>1.6473244428634599</v>
      </c>
      <c r="I1025" s="3">
        <v>0.92603409999999997</v>
      </c>
      <c r="J1025" s="3">
        <v>2.4099358447115402</v>
      </c>
      <c r="K1025" s="3">
        <v>1.18866049376641</v>
      </c>
      <c r="L1025" s="3">
        <v>1.538</v>
      </c>
      <c r="M1025" s="3">
        <v>0.96499999999999997</v>
      </c>
      <c r="N1025" s="3">
        <v>0.44900000000000001</v>
      </c>
      <c r="O1025" s="3">
        <v>0.14199999999999999</v>
      </c>
      <c r="P1025" s="3">
        <v>7.3999999999999996E-2</v>
      </c>
      <c r="Q1025" s="3"/>
    </row>
    <row r="1026" spans="1:17" x14ac:dyDescent="0.25">
      <c r="A1026" s="3" t="s">
        <v>168</v>
      </c>
      <c r="B1026" s="3" t="s">
        <v>50</v>
      </c>
      <c r="C1026" s="3">
        <v>2019</v>
      </c>
      <c r="D1026" s="3">
        <v>6.3540000000000001</v>
      </c>
      <c r="E1026" s="3">
        <v>1.286</v>
      </c>
      <c r="F1026" s="3">
        <v>0.69999998807907104</v>
      </c>
      <c r="G1026" s="3">
        <v>-1.23779797554016</v>
      </c>
      <c r="H1026" s="3">
        <v>1.03428494930267</v>
      </c>
      <c r="I1026" s="3">
        <v>0.95616869999999998</v>
      </c>
      <c r="J1026" s="3">
        <v>-0.30519636976994602</v>
      </c>
      <c r="K1026" s="3">
        <v>1.38571498030827</v>
      </c>
      <c r="L1026" s="3">
        <v>1.484</v>
      </c>
      <c r="M1026" s="3">
        <v>1.0620000000000001</v>
      </c>
      <c r="N1026" s="3">
        <v>0.36199999999999999</v>
      </c>
      <c r="O1026" s="3">
        <v>0.153</v>
      </c>
      <c r="P1026" s="3">
        <v>7.9000000000000001E-2</v>
      </c>
      <c r="Q1026" s="3"/>
    </row>
    <row r="1027" spans="1:17" x14ac:dyDescent="0.25">
      <c r="A1027" s="3" t="s">
        <v>168</v>
      </c>
      <c r="B1027" s="3" t="s">
        <v>50</v>
      </c>
      <c r="C1027" s="3">
        <v>2020</v>
      </c>
      <c r="D1027" s="3">
        <v>6.4008998869999996</v>
      </c>
      <c r="E1027" s="3">
        <v>1.230535269</v>
      </c>
      <c r="F1027" s="3">
        <v>-0.32267103281119702</v>
      </c>
      <c r="G1027" s="3">
        <v>-3.5427449296793601</v>
      </c>
      <c r="H1027" s="3">
        <v>2.3550400733947701</v>
      </c>
      <c r="I1027" s="3">
        <v>0.56825079999999994</v>
      </c>
      <c r="J1027" s="3">
        <v>-3.55272697977952</v>
      </c>
      <c r="K1027" s="3">
        <v>1.0531363897947399</v>
      </c>
      <c r="L1027" s="3">
        <v>1.421099186</v>
      </c>
      <c r="M1027" s="3">
        <v>1.0513430829999999</v>
      </c>
      <c r="N1027" s="3">
        <v>0.42598381600000002</v>
      </c>
      <c r="O1027" s="3">
        <v>0.16530548</v>
      </c>
      <c r="P1027" s="3">
        <v>0.109579779</v>
      </c>
      <c r="Q1027" s="3"/>
    </row>
    <row r="1028" spans="1:17" x14ac:dyDescent="0.25">
      <c r="A1028" s="3" t="s">
        <v>168</v>
      </c>
      <c r="B1028" s="3" t="s">
        <v>50</v>
      </c>
      <c r="C1028" s="3">
        <v>2021</v>
      </c>
      <c r="D1028" s="3">
        <v>6.4909999999999997</v>
      </c>
      <c r="E1028" s="3">
        <v>1.375</v>
      </c>
      <c r="F1028" s="3">
        <v>3.0931350000000002</v>
      </c>
      <c r="G1028" s="3">
        <v>21.235880000000002</v>
      </c>
      <c r="H1028" s="3">
        <v>1.847</v>
      </c>
      <c r="I1028" s="3">
        <v>0.570739</v>
      </c>
      <c r="J1028" s="3">
        <v>14.8262612763122</v>
      </c>
      <c r="K1028" s="3">
        <v>2.3009742894091199</v>
      </c>
      <c r="L1028" s="3">
        <v>1.0569999999999999</v>
      </c>
      <c r="M1028" s="3">
        <v>0.82599999999999996</v>
      </c>
      <c r="N1028" s="3">
        <v>0.46200000000000002</v>
      </c>
      <c r="O1028" s="3">
        <v>0.13500000000000001</v>
      </c>
      <c r="P1028" s="3">
        <v>0.124</v>
      </c>
      <c r="Q1028" s="3"/>
    </row>
    <row r="1029" spans="1:17" x14ac:dyDescent="0.25">
      <c r="A1029" s="3" t="s">
        <v>168</v>
      </c>
      <c r="B1029" s="3" t="s">
        <v>50</v>
      </c>
      <c r="C1029" s="3">
        <v>2022</v>
      </c>
      <c r="D1029" s="3">
        <v>6.476</v>
      </c>
      <c r="E1029" s="3">
        <v>1.8080000000000001</v>
      </c>
      <c r="F1029" s="3">
        <v>8.3905759999999994</v>
      </c>
      <c r="G1029" s="3">
        <v>29.416465204508299</v>
      </c>
      <c r="H1029" s="3">
        <v>11.63969</v>
      </c>
      <c r="I1029" s="3">
        <v>3.69075</v>
      </c>
      <c r="J1029" s="3">
        <v>34.616934634952102</v>
      </c>
      <c r="K1029" s="3">
        <v>4.2115586231171802</v>
      </c>
      <c r="L1029" s="3">
        <v>1.2110000000000001</v>
      </c>
      <c r="M1029" s="3">
        <v>0.80800000000000005</v>
      </c>
      <c r="N1029" s="3">
        <v>0.505</v>
      </c>
      <c r="O1029" s="3">
        <v>0.10100000000000001</v>
      </c>
      <c r="P1029" s="3">
        <v>0.14899999999999999</v>
      </c>
      <c r="Q1029" s="3"/>
    </row>
    <row r="1030" spans="1:17" x14ac:dyDescent="0.25">
      <c r="A1030" s="3" t="s">
        <v>168</v>
      </c>
      <c r="B1030" s="3" t="s">
        <v>50</v>
      </c>
      <c r="C1030" s="3">
        <v>2023</v>
      </c>
      <c r="D1030" s="3">
        <v>6.4359999999999999</v>
      </c>
      <c r="E1030" s="3">
        <v>1.798</v>
      </c>
      <c r="F1030" s="3">
        <v>3.5323613349243299</v>
      </c>
      <c r="G1030" s="3">
        <v>-15.7845627591142</v>
      </c>
      <c r="H1030" s="3">
        <v>11.661930915084101</v>
      </c>
      <c r="I1030" s="3">
        <v>4.4085419999999997</v>
      </c>
      <c r="J1030" s="3">
        <v>-3.1476182460860702</v>
      </c>
      <c r="K1030" s="3">
        <v>5.9595534959097298</v>
      </c>
      <c r="L1030" s="3">
        <v>1.4910000000000001</v>
      </c>
      <c r="M1030" s="3">
        <v>0.56699999999999995</v>
      </c>
      <c r="N1030" s="3">
        <v>0.53300000000000003</v>
      </c>
      <c r="O1030" s="3">
        <v>0.10100000000000001</v>
      </c>
      <c r="P1030" s="3">
        <v>0.157</v>
      </c>
      <c r="Q1030" s="3"/>
    </row>
    <row r="1031" spans="1:17" x14ac:dyDescent="0.25">
      <c r="A1031" s="3" t="s">
        <v>169</v>
      </c>
      <c r="B1031" s="3" t="s">
        <v>37</v>
      </c>
      <c r="C1031" s="3">
        <v>2015</v>
      </c>
      <c r="D1031" s="3">
        <v>4.2709999999999999</v>
      </c>
      <c r="E1031" s="3">
        <v>0.83523999999999998</v>
      </c>
      <c r="F1031" s="3">
        <v>3.75257015228271</v>
      </c>
      <c r="G1031" s="3">
        <v>4.1799998283386204</v>
      </c>
      <c r="H1031" s="3">
        <v>5.2399997711181596</v>
      </c>
      <c r="I1031" s="3">
        <v>0.76757871</v>
      </c>
      <c r="J1031" s="3">
        <v>3.6007213592529199</v>
      </c>
      <c r="K1031" s="3">
        <v>0.64858678027533301</v>
      </c>
      <c r="L1031" s="3">
        <v>1.01905</v>
      </c>
      <c r="M1031" s="3">
        <v>0.70806000000000002</v>
      </c>
      <c r="N1031" s="3">
        <v>0.53725999999999996</v>
      </c>
      <c r="O1031" s="3">
        <v>0.40827999999999998</v>
      </c>
      <c r="P1031" s="3">
        <v>9.1789999999999997E-2</v>
      </c>
      <c r="Q1031" s="3"/>
    </row>
    <row r="1032" spans="1:17" x14ac:dyDescent="0.25">
      <c r="A1032" s="3" t="s">
        <v>169</v>
      </c>
      <c r="B1032" s="3" t="s">
        <v>37</v>
      </c>
      <c r="C1032" s="3">
        <v>2016</v>
      </c>
      <c r="D1032" s="3">
        <v>4.415</v>
      </c>
      <c r="E1032" s="3">
        <v>0.97318000000000005</v>
      </c>
      <c r="F1032" s="3">
        <v>3.9747188091278001</v>
      </c>
      <c r="G1032" s="3">
        <v>0.11999999731779</v>
      </c>
      <c r="H1032" s="3">
        <v>3.0699999332427899</v>
      </c>
      <c r="I1032" s="3">
        <v>1.8184087099999999</v>
      </c>
      <c r="J1032" s="3">
        <v>1.7100813388824401</v>
      </c>
      <c r="K1032" s="3">
        <v>4.8433205926019403</v>
      </c>
      <c r="L1032" s="3">
        <v>0.84782999999999997</v>
      </c>
      <c r="M1032" s="3">
        <v>0.62007000000000001</v>
      </c>
      <c r="N1032" s="3">
        <v>0.50817000000000001</v>
      </c>
      <c r="O1032" s="3">
        <v>0.46977999999999998</v>
      </c>
      <c r="P1032" s="3">
        <v>7.9640000000000002E-2</v>
      </c>
      <c r="Q1032" s="3"/>
    </row>
    <row r="1033" spans="1:17" x14ac:dyDescent="0.25">
      <c r="A1033" s="3" t="s">
        <v>169</v>
      </c>
      <c r="B1033" s="3" t="s">
        <v>37</v>
      </c>
      <c r="C1033" s="3">
        <v>2017</v>
      </c>
      <c r="D1033" s="3">
        <v>4.4400000569999998</v>
      </c>
      <c r="E1033" s="3">
        <v>1.0098501440000001</v>
      </c>
      <c r="F1033" s="3">
        <v>6.5810000000000004</v>
      </c>
      <c r="G1033" s="3">
        <v>0.86000001430511397</v>
      </c>
      <c r="H1033" s="3">
        <v>11.3400001525878</v>
      </c>
      <c r="I1033" s="3">
        <v>3.10578047</v>
      </c>
      <c r="J1033" s="3">
        <v>17.000074386596602</v>
      </c>
      <c r="K1033" s="3">
        <v>7.2656879655923099</v>
      </c>
      <c r="L1033" s="3">
        <v>1.259976387</v>
      </c>
      <c r="M1033" s="3">
        <v>0.62513083199999997</v>
      </c>
      <c r="N1033" s="3">
        <v>0.56121325499999997</v>
      </c>
      <c r="O1033" s="3">
        <v>0.49086356199999998</v>
      </c>
      <c r="P1033" s="3">
        <v>7.3653966000000001E-2</v>
      </c>
      <c r="Q1033" s="3"/>
    </row>
    <row r="1034" spans="1:17" x14ac:dyDescent="0.25">
      <c r="A1034" s="3" t="s">
        <v>169</v>
      </c>
      <c r="B1034" s="3" t="s">
        <v>37</v>
      </c>
      <c r="C1034" s="3">
        <v>2018</v>
      </c>
      <c r="D1034" s="3">
        <v>4.4710000000000001</v>
      </c>
      <c r="E1034" s="3">
        <v>0.91800000000000004</v>
      </c>
      <c r="F1034" s="3">
        <v>2.14</v>
      </c>
      <c r="G1034" s="3">
        <v>1.28103983402252</v>
      </c>
      <c r="H1034" s="3">
        <v>-0.22302354872226701</v>
      </c>
      <c r="I1034" s="3">
        <v>3.37924259</v>
      </c>
      <c r="J1034" s="3">
        <v>6.3468809127807599</v>
      </c>
      <c r="K1034" s="3">
        <v>3.8270590631078401</v>
      </c>
      <c r="L1034" s="3">
        <v>1.3140000000000001</v>
      </c>
      <c r="M1034" s="3">
        <v>0.67200000000000004</v>
      </c>
      <c r="N1034" s="3">
        <v>0.58499999999999996</v>
      </c>
      <c r="O1034" s="3">
        <v>0.307</v>
      </c>
      <c r="P1034" s="3">
        <v>0.05</v>
      </c>
      <c r="Q1034" s="3"/>
    </row>
    <row r="1035" spans="1:17" x14ac:dyDescent="0.25">
      <c r="A1035" s="3" t="s">
        <v>169</v>
      </c>
      <c r="B1035" s="3" t="s">
        <v>37</v>
      </c>
      <c r="C1035" s="3">
        <v>2019</v>
      </c>
      <c r="D1035" s="3">
        <v>4.3659999999999997</v>
      </c>
      <c r="E1035" s="3">
        <v>0.94899999999999995</v>
      </c>
      <c r="F1035" s="3">
        <v>4.3029999732971103</v>
      </c>
      <c r="G1035" s="3">
        <v>8.0082426071166992</v>
      </c>
      <c r="H1035" s="3">
        <v>0.663993179798126</v>
      </c>
      <c r="I1035" s="3">
        <v>3.6822400800000001</v>
      </c>
      <c r="J1035" s="3">
        <v>2.92775177955627</v>
      </c>
      <c r="K1035" s="3">
        <v>2.7350751063527601</v>
      </c>
      <c r="L1035" s="3">
        <v>1.2649999999999999</v>
      </c>
      <c r="M1035" s="3">
        <v>0.83099999999999996</v>
      </c>
      <c r="N1035" s="3">
        <v>0.47</v>
      </c>
      <c r="O1035" s="3">
        <v>0.24399999999999999</v>
      </c>
      <c r="P1035" s="3">
        <v>4.7E-2</v>
      </c>
      <c r="Q1035" s="3"/>
    </row>
    <row r="1036" spans="1:17" x14ac:dyDescent="0.25">
      <c r="A1036" s="3" t="s">
        <v>169</v>
      </c>
      <c r="B1036" s="3" t="s">
        <v>37</v>
      </c>
      <c r="C1036" s="3">
        <v>2020</v>
      </c>
      <c r="D1036" s="3">
        <v>4.3270001410000001</v>
      </c>
      <c r="E1036" s="3">
        <v>0.89798694800000001</v>
      </c>
      <c r="F1036" s="3">
        <v>6.1539450839174501</v>
      </c>
      <c r="G1036" s="3">
        <v>0.82236842105262398</v>
      </c>
      <c r="H1036" s="3">
        <v>12.179989814758301</v>
      </c>
      <c r="I1036" s="3">
        <v>4.1450363389505798</v>
      </c>
      <c r="J1036" s="3">
        <v>5.7253928184509197</v>
      </c>
      <c r="K1036" s="3">
        <v>3.42525723991284</v>
      </c>
      <c r="L1036" s="3">
        <v>1.19494009</v>
      </c>
      <c r="M1036" s="3">
        <v>0.79203671200000003</v>
      </c>
      <c r="N1036" s="3">
        <v>0.52863246200000003</v>
      </c>
      <c r="O1036" s="3">
        <v>0.25266614599999998</v>
      </c>
      <c r="P1036" s="3">
        <v>4.9444564000000003E-2</v>
      </c>
      <c r="Q1036" s="3"/>
    </row>
    <row r="1037" spans="1:17" x14ac:dyDescent="0.25">
      <c r="A1037" s="3" t="s">
        <v>169</v>
      </c>
      <c r="B1037" s="3" t="s">
        <v>37</v>
      </c>
      <c r="C1037" s="3">
        <v>2021</v>
      </c>
      <c r="D1037" s="3">
        <v>4.3250000000000002</v>
      </c>
      <c r="E1037" s="3">
        <v>0.99</v>
      </c>
      <c r="F1037" s="3">
        <v>7.0147807123818797</v>
      </c>
      <c r="G1037" s="3">
        <v>1.1200000000000001</v>
      </c>
      <c r="H1037" s="3">
        <v>11.2</v>
      </c>
      <c r="I1037" s="3">
        <v>5.4907975460122698</v>
      </c>
      <c r="J1037" s="3">
        <v>10.876223201613501</v>
      </c>
      <c r="K1037" s="3">
        <v>8.0571600825960008</v>
      </c>
      <c r="L1037" s="3">
        <v>0.82</v>
      </c>
      <c r="M1037" s="3">
        <v>0.59299999999999997</v>
      </c>
      <c r="N1037" s="3">
        <v>0.55900000000000005</v>
      </c>
      <c r="O1037" s="3">
        <v>0.23899999999999999</v>
      </c>
      <c r="P1037" s="3">
        <v>4.9000000000000002E-2</v>
      </c>
      <c r="Q1037" s="3"/>
    </row>
    <row r="1038" spans="1:17" x14ac:dyDescent="0.25">
      <c r="A1038" s="3" t="s">
        <v>169</v>
      </c>
      <c r="B1038" s="3" t="s">
        <v>37</v>
      </c>
      <c r="C1038" s="3">
        <v>2022</v>
      </c>
      <c r="D1038" s="3">
        <v>4.3620000000000001</v>
      </c>
      <c r="E1038" s="3">
        <v>1.415</v>
      </c>
      <c r="F1038" s="3">
        <v>44.948850593557701</v>
      </c>
      <c r="G1038" s="3">
        <v>17.4567962422819</v>
      </c>
      <c r="H1038" s="3">
        <v>60.2187302195318</v>
      </c>
      <c r="I1038" s="3">
        <v>42.0471067170689</v>
      </c>
      <c r="J1038" s="3">
        <v>73.299735580514493</v>
      </c>
      <c r="K1038" s="3">
        <v>16.834170854271299</v>
      </c>
      <c r="L1038" s="3">
        <v>0.93400000000000005</v>
      </c>
      <c r="M1038" s="3">
        <v>0.66</v>
      </c>
      <c r="N1038" s="3">
        <v>0.52900000000000003</v>
      </c>
      <c r="O1038" s="3">
        <v>0.15</v>
      </c>
      <c r="P1038" s="3">
        <v>7.9000000000000001E-2</v>
      </c>
      <c r="Q1038" s="3"/>
    </row>
    <row r="1039" spans="1:17" x14ac:dyDescent="0.25">
      <c r="A1039" s="3" t="s">
        <v>169</v>
      </c>
      <c r="B1039" s="3" t="s">
        <v>37</v>
      </c>
      <c r="C1039" s="3">
        <v>2023</v>
      </c>
      <c r="D1039" s="3">
        <v>4.4420000000000002</v>
      </c>
      <c r="E1039" s="3">
        <v>1.4219999999999999</v>
      </c>
      <c r="F1039" s="3">
        <v>16.541174227983198</v>
      </c>
      <c r="G1039" s="3">
        <v>23.306002268285301</v>
      </c>
      <c r="H1039" s="3">
        <v>10.6938643091771</v>
      </c>
      <c r="I1039" s="3">
        <v>15.849539406345899</v>
      </c>
      <c r="J1039" s="3">
        <v>18.064846667662199</v>
      </c>
      <c r="K1039" s="3">
        <v>18.574283950770901</v>
      </c>
      <c r="L1039" s="3">
        <v>1.224</v>
      </c>
      <c r="M1039" s="3">
        <v>0.42599999999999999</v>
      </c>
      <c r="N1039" s="3">
        <v>0.53900000000000003</v>
      </c>
      <c r="O1039" s="3">
        <v>0.12</v>
      </c>
      <c r="P1039" s="3">
        <v>8.5999999999999993E-2</v>
      </c>
      <c r="Q1039" s="3"/>
    </row>
    <row r="1040" spans="1:17" x14ac:dyDescent="0.25">
      <c r="A1040" s="3" t="s">
        <v>170</v>
      </c>
      <c r="B1040" s="3" t="s">
        <v>43</v>
      </c>
      <c r="C1040" s="3">
        <v>2015</v>
      </c>
      <c r="D1040" s="3">
        <v>4.55</v>
      </c>
      <c r="E1040" s="3">
        <v>0.52107000000000003</v>
      </c>
      <c r="F1040" s="3">
        <v>16.909999847412099</v>
      </c>
      <c r="G1040" s="3">
        <v>13.152126312255801</v>
      </c>
      <c r="H1040" s="3">
        <v>11.651298522949199</v>
      </c>
      <c r="I1040" s="3">
        <v>20.519395329999998</v>
      </c>
      <c r="J1040" s="5"/>
      <c r="K1040" s="3">
        <v>12.7506520458815</v>
      </c>
      <c r="L1040" s="3">
        <v>1.0140400000000001</v>
      </c>
      <c r="M1040" s="3">
        <v>0.36878</v>
      </c>
      <c r="N1040" s="3">
        <v>0.10081</v>
      </c>
      <c r="O1040" s="3">
        <v>0.19062000000000001</v>
      </c>
      <c r="P1040" s="3">
        <v>0.14660000000000001</v>
      </c>
      <c r="Q1040" s="3"/>
    </row>
    <row r="1041" spans="1:17" x14ac:dyDescent="0.25">
      <c r="A1041" s="3" t="s">
        <v>170</v>
      </c>
      <c r="B1041" s="3" t="s">
        <v>43</v>
      </c>
      <c r="C1041" s="3">
        <v>2016</v>
      </c>
      <c r="D1041" s="3">
        <v>4.1390000000000002</v>
      </c>
      <c r="E1041" s="3">
        <v>0.63068999999999997</v>
      </c>
      <c r="F1041" s="3">
        <v>17.75</v>
      </c>
      <c r="G1041" s="3">
        <v>16.693830490112301</v>
      </c>
      <c r="H1041" s="3">
        <v>13.6539957357934</v>
      </c>
      <c r="I1041" s="3">
        <v>22.679447159999999</v>
      </c>
      <c r="J1041" s="5"/>
      <c r="K1041" s="3">
        <v>41.989710680247498</v>
      </c>
      <c r="L1041" s="3">
        <v>0.81928000000000001</v>
      </c>
      <c r="M1041" s="3">
        <v>0.29759000000000002</v>
      </c>
      <c r="N1041" s="3">
        <v>0</v>
      </c>
      <c r="O1041" s="3">
        <v>0.18076999999999999</v>
      </c>
      <c r="P1041" s="3">
        <v>0.10038999999999999</v>
      </c>
      <c r="Q1041" s="3"/>
    </row>
    <row r="1042" spans="1:17" x14ac:dyDescent="0.25">
      <c r="A1042" s="3" t="s">
        <v>170</v>
      </c>
      <c r="B1042" s="3" t="s">
        <v>43</v>
      </c>
      <c r="C1042" s="3">
        <v>2017</v>
      </c>
      <c r="D1042" s="3">
        <v>4.1389999389999996</v>
      </c>
      <c r="E1042" s="3">
        <v>0.65951669199999996</v>
      </c>
      <c r="F1042" s="3">
        <v>32.351999999999997</v>
      </c>
      <c r="G1042" s="3">
        <v>15.4791822433471</v>
      </c>
      <c r="H1042" s="3">
        <v>34.9221738073635</v>
      </c>
      <c r="I1042" s="3">
        <v>30.968799149999999</v>
      </c>
      <c r="J1042" s="5"/>
      <c r="K1042" s="3">
        <v>15.7207547830859</v>
      </c>
      <c r="L1042" s="3">
        <v>1.2140085700000001</v>
      </c>
      <c r="M1042" s="3">
        <v>0.29092082400000002</v>
      </c>
      <c r="N1042" s="3">
        <v>1.4995855000000001E-2</v>
      </c>
      <c r="O1042" s="3">
        <v>0.18231745099999999</v>
      </c>
      <c r="P1042" s="3">
        <v>8.984752E-2</v>
      </c>
      <c r="Q1042" s="3"/>
    </row>
    <row r="1043" spans="1:17" x14ac:dyDescent="0.25">
      <c r="A1043" s="3" t="s">
        <v>170</v>
      </c>
      <c r="B1043" s="3" t="s">
        <v>43</v>
      </c>
      <c r="C1043" s="3">
        <v>2018</v>
      </c>
      <c r="D1043" s="3">
        <v>4.1390000000000002</v>
      </c>
      <c r="E1043" s="3">
        <v>0.60499999999999998</v>
      </c>
      <c r="F1043" s="3">
        <v>63.29</v>
      </c>
      <c r="G1043" s="3">
        <v>21.101768493652301</v>
      </c>
      <c r="H1043" s="3">
        <v>2.4581749631718299</v>
      </c>
      <c r="I1043" s="3">
        <v>58.85186307</v>
      </c>
      <c r="J1043" s="5"/>
      <c r="K1043" s="3">
        <v>61.759689570434503</v>
      </c>
      <c r="L1043" s="3">
        <v>1.24</v>
      </c>
      <c r="M1043" s="3">
        <v>0.312</v>
      </c>
      <c r="N1043" s="3">
        <v>1.6E-2</v>
      </c>
      <c r="O1043" s="3">
        <v>0.13400000000000001</v>
      </c>
      <c r="P1043" s="3">
        <v>8.2000000000000003E-2</v>
      </c>
      <c r="Q1043" s="3"/>
    </row>
    <row r="1044" spans="1:17" x14ac:dyDescent="0.25">
      <c r="A1044" s="3" t="s">
        <v>171</v>
      </c>
      <c r="B1044" s="3" t="s">
        <v>45</v>
      </c>
      <c r="C1044" s="3">
        <v>2015</v>
      </c>
      <c r="D1044" s="3">
        <v>6.2690000000000001</v>
      </c>
      <c r="E1044" s="3">
        <v>0.99534</v>
      </c>
      <c r="F1044" s="3">
        <v>6.8959999084472603</v>
      </c>
      <c r="G1044" s="3">
        <v>-1.0141735076904199</v>
      </c>
      <c r="H1044" s="5"/>
      <c r="I1044" s="5"/>
      <c r="J1044" s="5"/>
      <c r="K1044" s="3">
        <v>-2.07641440984409</v>
      </c>
      <c r="L1044" s="3">
        <v>0.97199999999999998</v>
      </c>
      <c r="M1044" s="3">
        <v>0.60819999999999996</v>
      </c>
      <c r="N1044" s="3">
        <v>0.59657000000000004</v>
      </c>
      <c r="O1044" s="3">
        <v>0.16991000000000001</v>
      </c>
      <c r="P1044" s="3">
        <v>0.13633000000000001</v>
      </c>
      <c r="Q1044" s="3"/>
    </row>
    <row r="1045" spans="1:17" x14ac:dyDescent="0.25">
      <c r="A1045" s="3" t="s">
        <v>171</v>
      </c>
      <c r="B1045" s="3" t="s">
        <v>45</v>
      </c>
      <c r="C1045" s="3">
        <v>2016</v>
      </c>
      <c r="D1045" s="3">
        <v>6.2690000000000001</v>
      </c>
      <c r="E1045" s="3">
        <v>1.0968599999999999</v>
      </c>
      <c r="F1045" s="3">
        <v>55.500999450683501</v>
      </c>
      <c r="G1045" s="3">
        <v>-1.4109252691268901</v>
      </c>
      <c r="H1045" s="3">
        <v>55.953941345214801</v>
      </c>
      <c r="I1045" s="5"/>
      <c r="J1045" s="5"/>
      <c r="K1045" s="3">
        <v>26.163382589471201</v>
      </c>
      <c r="L1045" s="3">
        <v>0.77866000000000002</v>
      </c>
      <c r="M1045" s="3">
        <v>0.50932999999999995</v>
      </c>
      <c r="N1045" s="3">
        <v>0.52234000000000003</v>
      </c>
      <c r="O1045" s="3">
        <v>0.16664999999999999</v>
      </c>
      <c r="P1045" s="3">
        <v>0.12692000000000001</v>
      </c>
      <c r="Q1045" s="3"/>
    </row>
    <row r="1046" spans="1:17" x14ac:dyDescent="0.25">
      <c r="A1046" s="3" t="s">
        <v>172</v>
      </c>
      <c r="B1046" s="3" t="s">
        <v>43</v>
      </c>
      <c r="C1046" s="3">
        <v>2015</v>
      </c>
      <c r="D1046" s="3">
        <v>4.867</v>
      </c>
      <c r="E1046" s="3">
        <v>0.71206000000000003</v>
      </c>
      <c r="F1046" s="3">
        <v>4.9520001411437899</v>
      </c>
      <c r="G1046" s="3">
        <v>-1.9299999475479099</v>
      </c>
      <c r="H1046" s="3">
        <v>4.1500000953674299</v>
      </c>
      <c r="I1046" s="5"/>
      <c r="J1046" s="5"/>
      <c r="K1046" s="3">
        <v>5.5707276989631804</v>
      </c>
      <c r="L1046" s="3">
        <v>1.07284</v>
      </c>
      <c r="M1046" s="3">
        <v>7.5660000000000005E-2</v>
      </c>
      <c r="N1046" s="3">
        <v>0.30658000000000002</v>
      </c>
      <c r="O1046" s="3">
        <v>0.18259</v>
      </c>
      <c r="P1046" s="3">
        <v>3.0599999999999999E-2</v>
      </c>
      <c r="Q1046" s="3"/>
    </row>
    <row r="1047" spans="1:17" x14ac:dyDescent="0.25">
      <c r="A1047" s="3" t="s">
        <v>172</v>
      </c>
      <c r="B1047" s="3" t="s">
        <v>43</v>
      </c>
      <c r="C1047" s="3">
        <v>2019</v>
      </c>
      <c r="D1047" s="3">
        <v>4.2119999999999997</v>
      </c>
      <c r="E1047" s="3">
        <v>0.81100000000000005</v>
      </c>
      <c r="F1047" s="3">
        <v>2.5840001106262198</v>
      </c>
      <c r="G1047" s="3">
        <v>6.1132387030436304</v>
      </c>
      <c r="H1047" s="3">
        <v>2.1497055357679602</v>
      </c>
      <c r="I1047" s="5"/>
      <c r="J1047" s="5"/>
      <c r="K1047" s="3">
        <v>2.30823791670888</v>
      </c>
      <c r="L1047" s="3">
        <v>1.149</v>
      </c>
      <c r="M1047" s="3">
        <v>0</v>
      </c>
      <c r="N1047" s="3">
        <v>0.313</v>
      </c>
      <c r="O1047" s="3">
        <v>7.3999999999999996E-2</v>
      </c>
      <c r="P1047" s="3">
        <v>0.13500000000000001</v>
      </c>
      <c r="Q1047" s="3"/>
    </row>
    <row r="1048" spans="1:17" x14ac:dyDescent="0.25">
      <c r="A1048" s="3" t="s">
        <v>172</v>
      </c>
      <c r="B1048" s="3" t="s">
        <v>43</v>
      </c>
      <c r="C1048" s="3">
        <v>2020</v>
      </c>
      <c r="D1048" s="3">
        <v>4.3081002240000004</v>
      </c>
      <c r="E1048" s="3">
        <v>0.82753974200000002</v>
      </c>
      <c r="F1048" s="3">
        <v>4.1149997711181596</v>
      </c>
      <c r="G1048" s="3">
        <v>14.7002331707205</v>
      </c>
      <c r="H1048" s="5"/>
      <c r="I1048" s="5"/>
      <c r="J1048" s="5"/>
      <c r="K1048" s="3">
        <v>4.1069117608219097</v>
      </c>
      <c r="L1048" s="3">
        <v>1.064835191</v>
      </c>
      <c r="M1048" s="3">
        <v>0.21558582800000001</v>
      </c>
      <c r="N1048" s="3">
        <v>0.29993578799999998</v>
      </c>
      <c r="O1048" s="3">
        <v>6.7264832999999996E-2</v>
      </c>
      <c r="P1048" s="3">
        <v>0.14676587299999999</v>
      </c>
      <c r="Q1048" s="3"/>
    </row>
    <row r="1049" spans="1:17" x14ac:dyDescent="0.25">
      <c r="A1049" s="3" t="s">
        <v>172</v>
      </c>
      <c r="B1049" s="3" t="s">
        <v>43</v>
      </c>
      <c r="C1049" s="3">
        <v>2021</v>
      </c>
      <c r="D1049" s="3">
        <v>4.3079999999999998</v>
      </c>
      <c r="E1049" s="3">
        <v>0.84899999999999998</v>
      </c>
      <c r="F1049" s="3">
        <v>3.7189999999999999</v>
      </c>
      <c r="G1049" s="5"/>
      <c r="H1049" s="5"/>
      <c r="I1049" s="5"/>
      <c r="J1049" s="5"/>
      <c r="K1049" s="3">
        <v>-0.89935700107205396</v>
      </c>
      <c r="L1049" s="3">
        <v>0.69299999999999995</v>
      </c>
      <c r="M1049" s="3">
        <v>7.3999999999999996E-2</v>
      </c>
      <c r="N1049" s="3">
        <v>0.32300000000000001</v>
      </c>
      <c r="O1049" s="3">
        <v>6.7000000000000004E-2</v>
      </c>
      <c r="P1049" s="3">
        <v>0.14699999999999999</v>
      </c>
    </row>
    <row r="1050" spans="1:17" x14ac:dyDescent="0.25">
      <c r="A1050" s="3" t="s">
        <v>173</v>
      </c>
      <c r="B1050" s="3" t="s">
        <v>50</v>
      </c>
      <c r="C1050" s="3">
        <v>2015</v>
      </c>
      <c r="D1050" s="3">
        <v>7.3639999999999999</v>
      </c>
      <c r="E1050" s="3">
        <v>1.3317099999999999</v>
      </c>
      <c r="F1050" s="3">
        <v>-4.6784438192844301E-2</v>
      </c>
      <c r="G1050" s="3">
        <v>4.5999999046325604</v>
      </c>
      <c r="H1050" s="3">
        <v>2.3302655220031698</v>
      </c>
      <c r="I1050" s="3">
        <v>2.4021810000000001E-2</v>
      </c>
      <c r="J1050" s="3">
        <v>8.3419205620884895E-3</v>
      </c>
      <c r="K1050" s="3">
        <v>2.12185645741258</v>
      </c>
      <c r="L1050" s="3">
        <v>1.2890699999999999</v>
      </c>
      <c r="M1050" s="3">
        <v>0.91086999999999996</v>
      </c>
      <c r="N1050" s="3">
        <v>0.65980000000000005</v>
      </c>
      <c r="O1050" s="3">
        <v>0.36262</v>
      </c>
      <c r="P1050" s="3">
        <v>0.43844</v>
      </c>
      <c r="Q1050" s="3"/>
    </row>
    <row r="1051" spans="1:17" x14ac:dyDescent="0.25">
      <c r="A1051" s="3" t="s">
        <v>173</v>
      </c>
      <c r="B1051" s="3" t="s">
        <v>50</v>
      </c>
      <c r="C1051" s="3">
        <v>2016</v>
      </c>
      <c r="D1051" s="3">
        <v>7.2910000000000004</v>
      </c>
      <c r="E1051" s="3">
        <v>1.45181</v>
      </c>
      <c r="F1051" s="3">
        <v>0.98426818847656194</v>
      </c>
      <c r="G1051" s="3">
        <v>4.5900001525878897</v>
      </c>
      <c r="H1051" s="3">
        <v>1.05433714389801</v>
      </c>
      <c r="I1051" s="3">
        <v>0.8972504</v>
      </c>
      <c r="J1051" s="3">
        <v>-0.92499166727065996</v>
      </c>
      <c r="K1051" s="3">
        <v>1.52507821612723</v>
      </c>
      <c r="L1051" s="3">
        <v>1.0876399999999999</v>
      </c>
      <c r="M1051" s="3">
        <v>0.83121</v>
      </c>
      <c r="N1051" s="3">
        <v>0.58218000000000003</v>
      </c>
      <c r="O1051" s="3">
        <v>0.38253999999999999</v>
      </c>
      <c r="P1051" s="3">
        <v>0.40866999999999998</v>
      </c>
    </row>
    <row r="1052" spans="1:17" x14ac:dyDescent="0.25">
      <c r="A1052" s="3" t="s">
        <v>173</v>
      </c>
      <c r="B1052" s="3" t="s">
        <v>50</v>
      </c>
      <c r="C1052" s="3">
        <v>2017</v>
      </c>
      <c r="D1052" s="3">
        <v>7.2839999200000003</v>
      </c>
      <c r="E1052" s="3">
        <v>1.494387269</v>
      </c>
      <c r="F1052" s="3">
        <v>1.867</v>
      </c>
      <c r="G1052" s="3">
        <v>6.7300000190734801</v>
      </c>
      <c r="H1052" s="3">
        <v>2.1432023048400799</v>
      </c>
      <c r="I1052" s="3">
        <v>1.3727940000000001</v>
      </c>
      <c r="J1052" s="3">
        <v>5.1980867385864196</v>
      </c>
      <c r="K1052" s="3">
        <v>2.1356783919597802</v>
      </c>
      <c r="L1052" s="3">
        <v>1.478162169</v>
      </c>
      <c r="M1052" s="3">
        <v>0.830875158</v>
      </c>
      <c r="N1052" s="3">
        <v>0.612924099</v>
      </c>
      <c r="O1052" s="3">
        <v>0.38539925200000003</v>
      </c>
      <c r="P1052" s="3">
        <v>0.38439872899999999</v>
      </c>
      <c r="Q1052" s="3"/>
    </row>
    <row r="1053" spans="1:17" x14ac:dyDescent="0.25">
      <c r="A1053" s="3" t="s">
        <v>173</v>
      </c>
      <c r="B1053" s="3" t="s">
        <v>50</v>
      </c>
      <c r="C1053" s="3">
        <v>2018</v>
      </c>
      <c r="D1053" s="3">
        <v>7.3140000000000001</v>
      </c>
      <c r="E1053" s="3">
        <v>1.355</v>
      </c>
      <c r="F1053" s="3">
        <v>1.95</v>
      </c>
      <c r="G1053" s="3">
        <v>3.7246904494731501</v>
      </c>
      <c r="H1053" s="3">
        <v>2.3746247291564901</v>
      </c>
      <c r="I1053" s="3">
        <v>1.092646</v>
      </c>
      <c r="J1053" s="3">
        <v>6.5962862968444798</v>
      </c>
      <c r="K1053" s="3">
        <v>2.3969470463935401</v>
      </c>
      <c r="L1053" s="3">
        <v>1.5009999999999999</v>
      </c>
      <c r="M1053" s="3">
        <v>0.91300000000000003</v>
      </c>
      <c r="N1053" s="3">
        <v>0.65900000000000003</v>
      </c>
      <c r="O1053" s="3">
        <v>0.28499999999999998</v>
      </c>
      <c r="P1053" s="3">
        <v>0.38300000000000001</v>
      </c>
      <c r="Q1053" s="3"/>
    </row>
    <row r="1054" spans="1:17" x14ac:dyDescent="0.25">
      <c r="A1054" s="3" t="s">
        <v>173</v>
      </c>
      <c r="B1054" s="3" t="s">
        <v>50</v>
      </c>
      <c r="C1054" s="3">
        <v>2019</v>
      </c>
      <c r="D1054" s="3">
        <v>7.343</v>
      </c>
      <c r="E1054" s="3">
        <v>1.387</v>
      </c>
      <c r="F1054" s="3">
        <v>1.63900005817413</v>
      </c>
      <c r="G1054" s="3">
        <v>2.9178448573656799</v>
      </c>
      <c r="H1054" s="3">
        <v>34.361076354980398</v>
      </c>
      <c r="I1054" s="3">
        <v>1.519436</v>
      </c>
      <c r="J1054" s="3">
        <v>2.9702935218811</v>
      </c>
      <c r="K1054" s="3">
        <v>2.6683504276136798</v>
      </c>
      <c r="L1054" s="3">
        <v>1.4870000000000001</v>
      </c>
      <c r="M1054" s="3">
        <v>1.0089999999999999</v>
      </c>
      <c r="N1054" s="3">
        <v>0.57399999999999995</v>
      </c>
      <c r="O1054" s="3">
        <v>0.26700000000000002</v>
      </c>
      <c r="P1054" s="3">
        <v>0.373</v>
      </c>
      <c r="Q1054" s="3"/>
    </row>
    <row r="1055" spans="1:17" x14ac:dyDescent="0.25">
      <c r="A1055" s="3" t="s">
        <v>173</v>
      </c>
      <c r="B1055" s="3" t="s">
        <v>50</v>
      </c>
      <c r="C1055" s="3">
        <v>2020</v>
      </c>
      <c r="D1055" s="3">
        <v>7.3534998890000001</v>
      </c>
      <c r="E1055" s="3">
        <v>1.322235227</v>
      </c>
      <c r="F1055" s="3">
        <v>0.49736731885429603</v>
      </c>
      <c r="G1055" s="3">
        <v>-0.12742565999056099</v>
      </c>
      <c r="H1055" s="3">
        <v>2.1357201517711299</v>
      </c>
      <c r="I1055" s="3">
        <v>1.190226</v>
      </c>
      <c r="J1055" s="3">
        <v>-0.24951706374789701</v>
      </c>
      <c r="K1055" s="3">
        <v>1.3939999999999999</v>
      </c>
      <c r="L1055" s="3">
        <v>1.4333477020000001</v>
      </c>
      <c r="M1055" s="3">
        <v>0.98647046100000002</v>
      </c>
      <c r="N1055" s="3">
        <v>0.65029770099999995</v>
      </c>
      <c r="O1055" s="3">
        <v>0.27282789299999999</v>
      </c>
      <c r="P1055" s="3">
        <v>0.44206637100000001</v>
      </c>
      <c r="Q1055" s="3"/>
    </row>
    <row r="1056" spans="1:17" x14ac:dyDescent="0.25">
      <c r="A1056" s="3" t="s">
        <v>173</v>
      </c>
      <c r="B1056" s="3" t="s">
        <v>50</v>
      </c>
      <c r="C1056" s="3">
        <v>2021</v>
      </c>
      <c r="D1056" s="3">
        <v>7.3630000000000004</v>
      </c>
      <c r="E1056" s="3">
        <v>1.478</v>
      </c>
      <c r="F1056" s="3">
        <v>2.1631969999999998</v>
      </c>
      <c r="G1056" s="3">
        <v>16.98293</v>
      </c>
      <c r="H1056" s="3">
        <v>0.41</v>
      </c>
      <c r="I1056" s="3">
        <v>1.298</v>
      </c>
      <c r="J1056" s="3">
        <v>10.692557713142699</v>
      </c>
      <c r="K1056" s="3">
        <v>2.9761530895618198</v>
      </c>
      <c r="L1056" s="3">
        <v>1.0620000000000001</v>
      </c>
      <c r="M1056" s="3">
        <v>0.76300000000000001</v>
      </c>
      <c r="N1056" s="3">
        <v>0.68500000000000005</v>
      </c>
      <c r="O1056" s="3">
        <v>0.24399999999999999</v>
      </c>
      <c r="P1056" s="3">
        <v>0.44800000000000001</v>
      </c>
      <c r="Q1056" s="3"/>
    </row>
    <row r="1057" spans="1:17" x14ac:dyDescent="0.25">
      <c r="A1057" s="3" t="s">
        <v>173</v>
      </c>
      <c r="B1057" s="3" t="s">
        <v>50</v>
      </c>
      <c r="C1057" s="3">
        <v>2022</v>
      </c>
      <c r="D1057" s="3">
        <v>7.3840000000000003</v>
      </c>
      <c r="E1057" s="3">
        <v>1.92</v>
      </c>
      <c r="F1057" s="3">
        <v>8.3692910000000005</v>
      </c>
      <c r="G1057" s="3">
        <v>32.928610295997601</v>
      </c>
      <c r="H1057" s="3">
        <v>11.31442</v>
      </c>
      <c r="I1057" s="3">
        <v>5.8243494423791704</v>
      </c>
      <c r="J1057" s="3">
        <v>21.190553219022998</v>
      </c>
      <c r="K1057" s="3">
        <v>5.3992393408674202</v>
      </c>
      <c r="L1057" s="3">
        <v>1.204</v>
      </c>
      <c r="M1057" s="3">
        <v>0.80300000000000005</v>
      </c>
      <c r="N1057" s="3">
        <v>0.72399999999999998</v>
      </c>
      <c r="O1057" s="3">
        <v>0.218</v>
      </c>
      <c r="P1057" s="3">
        <v>0.51200000000000001</v>
      </c>
      <c r="Q1057" s="3"/>
    </row>
    <row r="1058" spans="1:17" x14ac:dyDescent="0.25">
      <c r="A1058" s="3" t="s">
        <v>173</v>
      </c>
      <c r="B1058" s="3" t="s">
        <v>50</v>
      </c>
      <c r="C1058" s="3">
        <v>2023</v>
      </c>
      <c r="D1058" s="3">
        <v>7.3949999999999996</v>
      </c>
      <c r="E1058" s="3">
        <v>1.921</v>
      </c>
      <c r="F1058" s="3">
        <v>8.5486248974890202</v>
      </c>
      <c r="G1058" s="3">
        <v>-9.7812378495672494</v>
      </c>
      <c r="H1058" s="3">
        <v>12.135643625033399</v>
      </c>
      <c r="I1058" s="3">
        <v>10.0244958328978</v>
      </c>
      <c r="J1058" s="5"/>
      <c r="K1058" s="3">
        <v>5.6705538029807601</v>
      </c>
      <c r="L1058" s="3">
        <v>1.51</v>
      </c>
      <c r="M1058" s="3">
        <v>0.56200000000000006</v>
      </c>
      <c r="N1058" s="3">
        <v>0.754</v>
      </c>
      <c r="O1058" s="3">
        <v>0.22500000000000001</v>
      </c>
      <c r="P1058" s="3">
        <v>0.52</v>
      </c>
      <c r="Q1058" s="3"/>
    </row>
    <row r="1059" spans="1:17" x14ac:dyDescent="0.25">
      <c r="A1059" s="3" t="s">
        <v>174</v>
      </c>
      <c r="B1059" s="3" t="s">
        <v>50</v>
      </c>
      <c r="C1059" s="3">
        <v>2015</v>
      </c>
      <c r="D1059" s="3">
        <v>7.5869999999999997</v>
      </c>
      <c r="E1059" s="3">
        <v>1.3965099999999999</v>
      </c>
      <c r="F1059" s="3">
        <v>-1.14389860630035</v>
      </c>
      <c r="G1059" s="3">
        <v>-0.64414691925048795</v>
      </c>
      <c r="H1059" s="3">
        <v>-0.79849672317504805</v>
      </c>
      <c r="I1059" s="3">
        <v>-0.34513258934020902</v>
      </c>
      <c r="J1059" s="3">
        <v>-3.5677101612090998</v>
      </c>
      <c r="K1059" s="3">
        <v>-1.21895805756958</v>
      </c>
      <c r="L1059" s="3">
        <v>1.34951</v>
      </c>
      <c r="M1059" s="3">
        <v>0.94142999999999999</v>
      </c>
      <c r="N1059" s="3">
        <v>0.66556999999999999</v>
      </c>
      <c r="O1059" s="3">
        <v>0.29677999999999999</v>
      </c>
      <c r="P1059" s="3">
        <v>0.41977999999999999</v>
      </c>
      <c r="Q1059" s="3"/>
    </row>
    <row r="1060" spans="1:17" x14ac:dyDescent="0.25">
      <c r="A1060" s="3" t="s">
        <v>174</v>
      </c>
      <c r="B1060" s="3" t="s">
        <v>50</v>
      </c>
      <c r="C1060" s="3">
        <v>2016</v>
      </c>
      <c r="D1060" s="3">
        <v>7.5090000000000003</v>
      </c>
      <c r="E1060" s="3">
        <v>1.5273300000000001</v>
      </c>
      <c r="F1060" s="3">
        <v>-0.43460845947265597</v>
      </c>
      <c r="G1060" s="3">
        <v>-6.4842216670513098E-2</v>
      </c>
      <c r="H1060" s="3">
        <v>0.39047285914420998</v>
      </c>
      <c r="I1060" s="3">
        <v>-0.32586601376533503</v>
      </c>
      <c r="J1060" s="3">
        <v>-1.4915424585342401</v>
      </c>
      <c r="K1060" s="3">
        <v>-0.56799999999999695</v>
      </c>
      <c r="L1060" s="3">
        <v>1.14524</v>
      </c>
      <c r="M1060" s="3">
        <v>0.86302999999999996</v>
      </c>
      <c r="N1060" s="3">
        <v>0.58557000000000003</v>
      </c>
      <c r="O1060" s="3">
        <v>0.28083000000000002</v>
      </c>
      <c r="P1060" s="3">
        <v>0.41203000000000001</v>
      </c>
      <c r="Q1060" s="3"/>
    </row>
    <row r="1061" spans="1:17" x14ac:dyDescent="0.25">
      <c r="A1061" s="3" t="s">
        <v>174</v>
      </c>
      <c r="B1061" s="3" t="s">
        <v>50</v>
      </c>
      <c r="C1061" s="3">
        <v>2017</v>
      </c>
      <c r="D1061" s="3">
        <v>7.4939999579999999</v>
      </c>
      <c r="E1061" s="3">
        <v>1.5649795529999999</v>
      </c>
      <c r="F1061" s="3">
        <v>0.53400000000000003</v>
      </c>
      <c r="G1061" s="3">
        <v>1.21004366874694</v>
      </c>
      <c r="H1061" s="3">
        <v>0.41506099700927701</v>
      </c>
      <c r="I1061" s="3">
        <v>0.29435530304908702</v>
      </c>
      <c r="J1061" s="3">
        <v>-0.47369351983070301</v>
      </c>
      <c r="K1061" s="3">
        <v>-0.37915359240485402</v>
      </c>
      <c r="L1061" s="3">
        <v>1.516911745</v>
      </c>
      <c r="M1061" s="3">
        <v>0.85813128900000002</v>
      </c>
      <c r="N1061" s="3">
        <v>0.62007057700000001</v>
      </c>
      <c r="O1061" s="3">
        <v>0.29054927800000002</v>
      </c>
      <c r="P1061" s="3">
        <v>0.36700728500000002</v>
      </c>
      <c r="Q1061" s="3"/>
    </row>
    <row r="1062" spans="1:17" x14ac:dyDescent="0.25">
      <c r="A1062" s="3" t="s">
        <v>174</v>
      </c>
      <c r="B1062" s="3" t="s">
        <v>50</v>
      </c>
      <c r="C1062" s="3">
        <v>2018</v>
      </c>
      <c r="D1062" s="3">
        <v>7.4870000000000001</v>
      </c>
      <c r="E1062" s="3">
        <v>1.42</v>
      </c>
      <c r="F1062" s="3">
        <v>0.94</v>
      </c>
      <c r="G1062" s="3">
        <v>1.34678506851196</v>
      </c>
      <c r="H1062" s="3">
        <v>1.26202833652496</v>
      </c>
      <c r="I1062" s="3">
        <v>0.36621630191802901</v>
      </c>
      <c r="J1062" s="3">
        <v>1.4108692407607999</v>
      </c>
      <c r="K1062" s="3">
        <v>0.71172580889404702</v>
      </c>
      <c r="L1062" s="3">
        <v>1.5489999999999999</v>
      </c>
      <c r="M1062" s="3">
        <v>0.92700000000000005</v>
      </c>
      <c r="N1062" s="3">
        <v>0.66</v>
      </c>
      <c r="O1062" s="3">
        <v>0.25600000000000001</v>
      </c>
      <c r="P1062" s="3">
        <v>0.35699999999999998</v>
      </c>
      <c r="Q1062" s="3"/>
    </row>
    <row r="1063" spans="1:17" x14ac:dyDescent="0.25">
      <c r="A1063" s="3" t="s">
        <v>174</v>
      </c>
      <c r="B1063" s="3" t="s">
        <v>50</v>
      </c>
      <c r="C1063" s="3">
        <v>2019</v>
      </c>
      <c r="D1063" s="3">
        <v>7.48</v>
      </c>
      <c r="E1063" s="3">
        <v>1.452</v>
      </c>
      <c r="F1063" s="3">
        <v>0.36100000143051098</v>
      </c>
      <c r="G1063" s="3">
        <v>-0.61828511953353804</v>
      </c>
      <c r="H1063" s="3">
        <v>0.11218939721584301</v>
      </c>
      <c r="I1063" s="3">
        <v>0.456072688102722</v>
      </c>
      <c r="J1063" s="3">
        <v>-0.31849059462547302</v>
      </c>
      <c r="K1063" s="3">
        <v>-7.4178027265435098E-2</v>
      </c>
      <c r="L1063" s="3">
        <v>1.526</v>
      </c>
      <c r="M1063" s="3">
        <v>1.052</v>
      </c>
      <c r="N1063" s="3">
        <v>0.57199999999999995</v>
      </c>
      <c r="O1063" s="3">
        <v>0.26300000000000001</v>
      </c>
      <c r="P1063" s="3">
        <v>0.34300000000000003</v>
      </c>
      <c r="Q1063" s="3"/>
    </row>
    <row r="1064" spans="1:17" x14ac:dyDescent="0.25">
      <c r="A1064" s="3" t="s">
        <v>174</v>
      </c>
      <c r="B1064" s="3" t="s">
        <v>50</v>
      </c>
      <c r="C1064" s="3">
        <v>2020</v>
      </c>
      <c r="D1064" s="3">
        <v>7.5598998069999999</v>
      </c>
      <c r="E1064" s="3">
        <v>1.39077425</v>
      </c>
      <c r="F1064" s="3">
        <v>-0.72587493331339004</v>
      </c>
      <c r="G1064" s="3">
        <v>-0.19978772294416</v>
      </c>
      <c r="H1064" s="3">
        <v>9.2487588524818407E-2</v>
      </c>
      <c r="I1064" s="3">
        <v>-0.24756290018558499</v>
      </c>
      <c r="J1064" s="3">
        <v>-0.55197674036026001</v>
      </c>
      <c r="K1064" s="3">
        <v>-0.59085528559678602</v>
      </c>
      <c r="L1064" s="3">
        <v>1.4724034070000001</v>
      </c>
      <c r="M1064" s="3">
        <v>1.0405331849999999</v>
      </c>
      <c r="N1064" s="3">
        <v>0.62895447000000004</v>
      </c>
      <c r="O1064" s="3">
        <v>0.26905575399999998</v>
      </c>
      <c r="P1064" s="3">
        <v>0.407945901</v>
      </c>
      <c r="Q1064" s="3"/>
    </row>
    <row r="1065" spans="1:17" x14ac:dyDescent="0.25">
      <c r="A1065" s="3" t="s">
        <v>174</v>
      </c>
      <c r="B1065" s="3" t="s">
        <v>50</v>
      </c>
      <c r="C1065" s="3">
        <v>2021</v>
      </c>
      <c r="D1065" s="3">
        <v>7.5709999999999997</v>
      </c>
      <c r="E1065" s="3">
        <v>1.5660000000000001</v>
      </c>
      <c r="F1065" s="3">
        <v>0.58181419999999995</v>
      </c>
      <c r="G1065" s="3">
        <v>8.5779309999999995</v>
      </c>
      <c r="H1065" s="3">
        <v>-1.591</v>
      </c>
      <c r="I1065" s="3">
        <v>0.35799999999999998</v>
      </c>
      <c r="J1065" s="3">
        <v>1.2210742037400599</v>
      </c>
      <c r="K1065" s="3">
        <v>1.0598629055922799</v>
      </c>
      <c r="L1065" s="3">
        <v>1.079</v>
      </c>
      <c r="M1065" s="3">
        <v>0.81599999999999995</v>
      </c>
      <c r="N1065" s="3">
        <v>0.65300000000000002</v>
      </c>
      <c r="O1065" s="3">
        <v>0.20399999999999999</v>
      </c>
      <c r="P1065" s="3">
        <v>0.41299999999999998</v>
      </c>
      <c r="Q1065" s="3"/>
    </row>
    <row r="1066" spans="1:17" x14ac:dyDescent="0.25">
      <c r="A1066" s="3" t="s">
        <v>174</v>
      </c>
      <c r="B1066" s="3" t="s">
        <v>50</v>
      </c>
      <c r="C1066" s="3">
        <v>2022</v>
      </c>
      <c r="D1066" s="3">
        <v>7.5119999999999996</v>
      </c>
      <c r="E1066" s="3">
        <v>2.0259999999999998</v>
      </c>
      <c r="F1066" s="3">
        <v>2.8350279999999999</v>
      </c>
      <c r="G1066" s="3">
        <v>22.424172457565501</v>
      </c>
      <c r="H1066" s="3">
        <v>1.658954</v>
      </c>
      <c r="I1066" s="3">
        <v>1.71789786812095</v>
      </c>
      <c r="J1066" s="3">
        <v>3.9058545638603102</v>
      </c>
      <c r="K1066" s="3">
        <v>3.1762093258409299</v>
      </c>
      <c r="L1066" s="3">
        <v>1.226</v>
      </c>
      <c r="M1066" s="3">
        <v>0.82199999999999995</v>
      </c>
      <c r="N1066" s="3">
        <v>0.67700000000000005</v>
      </c>
      <c r="O1066" s="3">
        <v>0.14699999999999999</v>
      </c>
      <c r="P1066" s="3">
        <v>0.46100000000000002</v>
      </c>
      <c r="Q1066" s="3"/>
    </row>
    <row r="1067" spans="1:17" x14ac:dyDescent="0.25">
      <c r="A1067" s="3" t="s">
        <v>174</v>
      </c>
      <c r="B1067" s="3" t="s">
        <v>50</v>
      </c>
      <c r="C1067" s="3">
        <v>2023</v>
      </c>
      <c r="D1067" s="3">
        <v>7.24</v>
      </c>
      <c r="E1067" s="3">
        <v>2.0219999999999998</v>
      </c>
      <c r="F1067" s="3">
        <v>2.1354008801637701</v>
      </c>
      <c r="G1067" s="3">
        <v>6.4020646439267397</v>
      </c>
      <c r="H1067" s="3">
        <v>4.7595594292632999</v>
      </c>
      <c r="I1067" s="3">
        <v>1.51518843602727</v>
      </c>
      <c r="J1067" s="3">
        <v>1.8511001055451299</v>
      </c>
      <c r="K1067" s="3">
        <v>0.976621665605095</v>
      </c>
      <c r="L1067" s="3">
        <v>1.4630000000000001</v>
      </c>
      <c r="M1067" s="3">
        <v>0.58199999999999996</v>
      </c>
      <c r="N1067" s="3">
        <v>0.67800000000000005</v>
      </c>
      <c r="O1067" s="3">
        <v>0.151</v>
      </c>
      <c r="P1067" s="3">
        <v>0.47499999999999998</v>
      </c>
      <c r="Q1067" s="3"/>
    </row>
    <row r="1068" spans="1:17" x14ac:dyDescent="0.25">
      <c r="A1068" s="3" t="s">
        <v>175</v>
      </c>
      <c r="B1068" s="3" t="s">
        <v>74</v>
      </c>
      <c r="C1068" s="3">
        <v>2015</v>
      </c>
      <c r="D1068" s="3">
        <v>6.298</v>
      </c>
      <c r="E1068" s="3">
        <v>1.29098</v>
      </c>
      <c r="F1068" s="5"/>
      <c r="G1068" s="5"/>
      <c r="H1068" s="5"/>
      <c r="I1068" s="5"/>
      <c r="J1068" s="5"/>
      <c r="K1068" s="3">
        <v>3.3863525098173999</v>
      </c>
      <c r="L1068" s="3">
        <v>1.0761700000000001</v>
      </c>
      <c r="M1068" s="3">
        <v>0.87529999999999997</v>
      </c>
      <c r="N1068" s="3">
        <v>0.39739999999999998</v>
      </c>
      <c r="O1068" s="3">
        <v>0.25375999999999999</v>
      </c>
      <c r="P1068" s="3">
        <v>8.1290000000000001E-2</v>
      </c>
      <c r="Q1068" s="3"/>
    </row>
    <row r="1069" spans="1:17" x14ac:dyDescent="0.25">
      <c r="A1069" s="3" t="s">
        <v>175</v>
      </c>
      <c r="B1069" s="3" t="s">
        <v>74</v>
      </c>
      <c r="C1069" s="3">
        <v>2016</v>
      </c>
      <c r="D1069" s="3">
        <v>6.3789999999999996</v>
      </c>
      <c r="E1069" s="3">
        <v>1.3972899999999999</v>
      </c>
      <c r="F1069" s="5"/>
      <c r="G1069" s="5"/>
      <c r="H1069" s="5"/>
      <c r="I1069" s="5"/>
      <c r="J1069" s="5"/>
      <c r="K1069" s="3">
        <v>0.75160698813145499</v>
      </c>
      <c r="L1069" s="3">
        <v>0.92623999999999995</v>
      </c>
      <c r="M1069" s="3">
        <v>0.79564999999999997</v>
      </c>
      <c r="N1069" s="3">
        <v>0.32377</v>
      </c>
      <c r="O1069" s="3">
        <v>0.25495000000000001</v>
      </c>
      <c r="P1069" s="3">
        <v>6.6299999999999998E-2</v>
      </c>
      <c r="Q1069" s="3"/>
    </row>
    <row r="1070" spans="1:17" x14ac:dyDescent="0.25">
      <c r="A1070" s="3" t="s">
        <v>175</v>
      </c>
      <c r="B1070" s="3" t="s">
        <v>74</v>
      </c>
      <c r="C1070" s="3">
        <v>2017</v>
      </c>
      <c r="D1070" s="3">
        <v>6.4219999310000002</v>
      </c>
      <c r="E1070" s="3">
        <v>1.433626533</v>
      </c>
      <c r="F1070" s="5"/>
      <c r="G1070" s="5"/>
      <c r="H1070" s="5"/>
      <c r="I1070" s="5"/>
      <c r="J1070" s="5"/>
      <c r="K1070" s="3">
        <v>-0.84499999999999797</v>
      </c>
      <c r="L1070" s="3">
        <v>1.3845653529999999</v>
      </c>
      <c r="M1070" s="3">
        <v>0.79398423399999996</v>
      </c>
      <c r="N1070" s="3">
        <v>0.36146658700000001</v>
      </c>
      <c r="O1070" s="3">
        <v>0.25836047499999998</v>
      </c>
      <c r="P1070" s="3">
        <v>6.3829235999999998E-2</v>
      </c>
      <c r="Q1070" s="3"/>
    </row>
    <row r="1071" spans="1:17" x14ac:dyDescent="0.25">
      <c r="A1071" s="3" t="s">
        <v>175</v>
      </c>
      <c r="B1071" s="3" t="s">
        <v>74</v>
      </c>
      <c r="C1071" s="3">
        <v>2018</v>
      </c>
      <c r="D1071" s="3">
        <v>6.4409999999999998</v>
      </c>
      <c r="E1071" s="3">
        <v>1.365</v>
      </c>
      <c r="F1071" s="5"/>
      <c r="G1071" s="5"/>
      <c r="H1071" s="5"/>
      <c r="I1071" s="5"/>
      <c r="J1071" s="5"/>
      <c r="K1071" s="3">
        <v>-0.59200242045282903</v>
      </c>
      <c r="L1071" s="3">
        <v>1.4359999999999999</v>
      </c>
      <c r="M1071" s="3">
        <v>0.85699999999999998</v>
      </c>
      <c r="N1071" s="3">
        <v>0.41799999999999998</v>
      </c>
      <c r="O1071" s="3">
        <v>0.151</v>
      </c>
      <c r="P1071" s="3">
        <v>7.8E-2</v>
      </c>
      <c r="Q1071" s="3"/>
    </row>
    <row r="1072" spans="1:17" x14ac:dyDescent="0.25">
      <c r="A1072" s="3" t="s">
        <v>175</v>
      </c>
      <c r="B1072" s="3" t="s">
        <v>74</v>
      </c>
      <c r="C1072" s="3">
        <v>2019</v>
      </c>
      <c r="D1072" s="3">
        <v>6.4459999999999997</v>
      </c>
      <c r="E1072" s="3">
        <v>1.3680000000000001</v>
      </c>
      <c r="F1072" s="5"/>
      <c r="G1072" s="5"/>
      <c r="H1072" s="5"/>
      <c r="I1072" s="5"/>
      <c r="J1072" s="5"/>
      <c r="K1072" s="3">
        <v>6.6958850742636994E-2</v>
      </c>
      <c r="L1072" s="3">
        <v>1.43</v>
      </c>
      <c r="M1072" s="3">
        <v>0.91400000000000003</v>
      </c>
      <c r="N1072" s="3">
        <v>0.35099999999999998</v>
      </c>
      <c r="O1072" s="3">
        <v>0.24199999999999999</v>
      </c>
      <c r="P1072" s="3">
        <v>9.7000000000000003E-2</v>
      </c>
      <c r="Q1072" s="3"/>
    </row>
    <row r="1073" spans="1:17" x14ac:dyDescent="0.25">
      <c r="A1073" s="3" t="s">
        <v>175</v>
      </c>
      <c r="B1073" s="3" t="s">
        <v>74</v>
      </c>
      <c r="C1073" s="3">
        <v>2020</v>
      </c>
      <c r="D1073" s="3">
        <v>6.4553999900000001</v>
      </c>
      <c r="E1073" s="3">
        <v>1.3274705410000001</v>
      </c>
      <c r="F1073" s="5"/>
      <c r="G1073" s="5"/>
      <c r="H1073" s="5"/>
      <c r="I1073" s="5"/>
      <c r="J1073" s="5"/>
      <c r="K1073" s="3">
        <v>1.2987407993186899</v>
      </c>
      <c r="L1073" s="3">
        <v>1.3577606680000001</v>
      </c>
      <c r="M1073" s="3">
        <v>0.87843799600000005</v>
      </c>
      <c r="N1073" s="3">
        <v>0.44940438900000002</v>
      </c>
      <c r="O1073" s="3">
        <v>0.150598705</v>
      </c>
      <c r="P1073" s="3">
        <v>0.131516352</v>
      </c>
      <c r="Q1073" s="3"/>
    </row>
    <row r="1074" spans="1:17" x14ac:dyDescent="0.25">
      <c r="A1074" s="3" t="s">
        <v>175</v>
      </c>
      <c r="B1074" s="3" t="s">
        <v>74</v>
      </c>
      <c r="C1074" s="3">
        <v>2021</v>
      </c>
      <c r="D1074" s="3">
        <v>6.5839999999999996</v>
      </c>
      <c r="E1074" s="3">
        <v>1.48</v>
      </c>
      <c r="F1074" s="5"/>
      <c r="G1074" s="5"/>
      <c r="H1074" s="5"/>
      <c r="I1074" s="5"/>
      <c r="J1074" s="5"/>
      <c r="K1074" s="3">
        <v>2.8967481795021</v>
      </c>
      <c r="L1074" s="3">
        <v>0.98199999999999998</v>
      </c>
      <c r="M1074" s="3">
        <v>0.66500000000000004</v>
      </c>
      <c r="N1074" s="3">
        <v>0.49</v>
      </c>
      <c r="O1074" s="3">
        <v>0.14199999999999999</v>
      </c>
      <c r="P1074" s="3">
        <v>0.13900000000000001</v>
      </c>
      <c r="Q1074" s="3"/>
    </row>
    <row r="1075" spans="1:17" x14ac:dyDescent="0.25">
      <c r="A1075" s="3" t="s">
        <v>175</v>
      </c>
      <c r="B1075" s="3" t="s">
        <v>74</v>
      </c>
      <c r="C1075" s="3">
        <v>2022</v>
      </c>
      <c r="D1075" s="3">
        <v>6.5119999999999996</v>
      </c>
      <c r="E1075" s="3">
        <v>1.897</v>
      </c>
      <c r="F1075" s="5"/>
      <c r="G1075" s="5"/>
      <c r="H1075" s="5"/>
      <c r="I1075" s="5"/>
      <c r="J1075" s="5"/>
      <c r="K1075" s="3">
        <v>1.9573204856802</v>
      </c>
      <c r="L1075" s="3">
        <v>1.095</v>
      </c>
      <c r="M1075" s="3">
        <v>0.73299999999999998</v>
      </c>
      <c r="N1075" s="3">
        <v>0.54200000000000004</v>
      </c>
      <c r="O1075" s="3">
        <v>7.4999999999999997E-2</v>
      </c>
      <c r="P1075" s="3">
        <v>0.16800000000000001</v>
      </c>
      <c r="Q1075" s="3"/>
    </row>
    <row r="1076" spans="1:17" x14ac:dyDescent="0.25">
      <c r="A1076" s="3" t="s">
        <v>175</v>
      </c>
      <c r="B1076" s="3" t="s">
        <v>74</v>
      </c>
      <c r="C1076" s="3">
        <v>2023</v>
      </c>
      <c r="D1076" s="3">
        <v>6.5350000000000001</v>
      </c>
      <c r="E1076" s="3">
        <v>1.89</v>
      </c>
      <c r="F1076" s="5"/>
      <c r="G1076" s="5"/>
      <c r="H1076" s="5"/>
      <c r="I1076" s="5"/>
      <c r="J1076" s="5"/>
      <c r="K1076" s="3">
        <v>2.4848060462986399</v>
      </c>
      <c r="L1076" s="3">
        <v>1.3720000000000001</v>
      </c>
      <c r="M1076" s="3">
        <v>0.49199999999999999</v>
      </c>
      <c r="N1076" s="3">
        <v>0.56200000000000006</v>
      </c>
      <c r="O1076" s="3">
        <v>6.7000000000000004E-2</v>
      </c>
      <c r="P1076" s="3">
        <v>0.17799999999999999</v>
      </c>
      <c r="Q1076" s="3"/>
    </row>
    <row r="1077" spans="1:17" x14ac:dyDescent="0.25">
      <c r="A1077" s="3" t="s">
        <v>176</v>
      </c>
      <c r="B1077" s="3" t="s">
        <v>111</v>
      </c>
      <c r="C1077" s="3">
        <v>2015</v>
      </c>
      <c r="D1077" s="3">
        <v>4.7859999999999996</v>
      </c>
      <c r="E1077" s="3">
        <v>0.39046999999999998</v>
      </c>
      <c r="F1077" s="3">
        <v>5.4722771644592196</v>
      </c>
      <c r="G1077" s="3">
        <v>-7.0000000298023196E-2</v>
      </c>
      <c r="H1077" s="5"/>
      <c r="I1077" s="3">
        <v>3.85336225</v>
      </c>
      <c r="J1077" s="3">
        <v>4.3174915313720703</v>
      </c>
      <c r="K1077" s="3">
        <v>0.124327529673933</v>
      </c>
      <c r="L1077" s="3">
        <v>0.85563</v>
      </c>
      <c r="M1077" s="3">
        <v>0.57379000000000002</v>
      </c>
      <c r="N1077" s="3">
        <v>0.47216000000000002</v>
      </c>
      <c r="O1077" s="3">
        <v>0.22974</v>
      </c>
      <c r="P1077" s="3">
        <v>0.15071999999999999</v>
      </c>
      <c r="Q1077" s="3"/>
    </row>
    <row r="1078" spans="1:17" x14ac:dyDescent="0.25">
      <c r="A1078" s="3" t="s">
        <v>176</v>
      </c>
      <c r="B1078" s="3" t="s">
        <v>111</v>
      </c>
      <c r="C1078" s="3">
        <v>2016</v>
      </c>
      <c r="D1078" s="3">
        <v>4.9960000000000004</v>
      </c>
      <c r="E1078" s="3">
        <v>0.48835000000000001</v>
      </c>
      <c r="F1078" s="3">
        <v>6.0357117652893004</v>
      </c>
      <c r="G1078" s="3">
        <v>2.1199998855590798</v>
      </c>
      <c r="H1078" s="3">
        <v>5.1042680740356401</v>
      </c>
      <c r="I1078" s="3">
        <v>7.0715961600000004</v>
      </c>
      <c r="J1078" s="3">
        <v>6.7103171348571697</v>
      </c>
      <c r="K1078" s="3">
        <v>5.2758467641007902</v>
      </c>
      <c r="L1078" s="3">
        <v>0.75602000000000003</v>
      </c>
      <c r="M1078" s="3">
        <v>0.53119000000000005</v>
      </c>
      <c r="N1078" s="3">
        <v>0.43408000000000002</v>
      </c>
      <c r="O1078" s="3">
        <v>0.25997999999999999</v>
      </c>
      <c r="P1078" s="3">
        <v>0.13508999999999999</v>
      </c>
      <c r="Q1078" s="3"/>
    </row>
    <row r="1079" spans="1:17" x14ac:dyDescent="0.25">
      <c r="A1079" s="3" t="s">
        <v>176</v>
      </c>
      <c r="B1079" s="3" t="s">
        <v>111</v>
      </c>
      <c r="C1079" s="3">
        <v>2017</v>
      </c>
      <c r="D1079" s="3">
        <v>5.0409998890000001</v>
      </c>
      <c r="E1079" s="3">
        <v>0.52471363500000001</v>
      </c>
      <c r="F1079" s="3">
        <v>7.31</v>
      </c>
      <c r="G1079" s="3">
        <v>10.3197159082937</v>
      </c>
      <c r="H1079" s="3">
        <v>9.2388448715209908</v>
      </c>
      <c r="I1079" s="3">
        <v>3.3385680799999999</v>
      </c>
      <c r="J1079" s="3">
        <v>9.3238754272460902</v>
      </c>
      <c r="K1079" s="3">
        <v>4.7214579343102301</v>
      </c>
      <c r="L1079" s="3">
        <v>1.2714632749999999</v>
      </c>
      <c r="M1079" s="3">
        <v>0.52923512500000003</v>
      </c>
      <c r="N1079" s="3">
        <v>0.47156670699999997</v>
      </c>
      <c r="O1079" s="3">
        <v>0.24899764399999999</v>
      </c>
      <c r="P1079" s="3">
        <v>0.14637714600000001</v>
      </c>
      <c r="Q1079" s="3"/>
    </row>
    <row r="1080" spans="1:17" x14ac:dyDescent="0.25">
      <c r="A1080" s="3" t="s">
        <v>176</v>
      </c>
      <c r="B1080" s="3" t="s">
        <v>111</v>
      </c>
      <c r="C1080" s="3">
        <v>2018</v>
      </c>
      <c r="D1080" s="3">
        <v>5.1989999999999998</v>
      </c>
      <c r="E1080" s="3">
        <v>0.47399999999999998</v>
      </c>
      <c r="F1080" s="3">
        <v>3.83</v>
      </c>
      <c r="G1080" s="3">
        <v>5.0115722070849804</v>
      </c>
      <c r="H1080" s="3">
        <v>2.6839714050292902</v>
      </c>
      <c r="I1080" s="3">
        <v>4.21693198</v>
      </c>
      <c r="J1080" s="3">
        <v>2.1801500320434499</v>
      </c>
      <c r="K1080" s="3">
        <v>5.0207287471261504</v>
      </c>
      <c r="L1080" s="3">
        <v>1.1659999999999999</v>
      </c>
      <c r="M1080" s="3">
        <v>0.59799999999999998</v>
      </c>
      <c r="N1080" s="3">
        <v>0.29199999999999998</v>
      </c>
      <c r="O1080" s="3">
        <v>0.187</v>
      </c>
      <c r="P1080" s="3">
        <v>3.4000000000000002E-2</v>
      </c>
      <c r="Q1080" s="3"/>
    </row>
    <row r="1081" spans="1:17" x14ac:dyDescent="0.25">
      <c r="A1081" s="3" t="s">
        <v>176</v>
      </c>
      <c r="B1081" s="3" t="s">
        <v>111</v>
      </c>
      <c r="C1081" s="3">
        <v>2019</v>
      </c>
      <c r="D1081" s="3">
        <v>5.4669999999999996</v>
      </c>
      <c r="E1081" s="3">
        <v>0.49299999999999999</v>
      </c>
      <c r="F1081" s="3">
        <v>7.7930002212524396</v>
      </c>
      <c r="G1081" s="3">
        <v>0.42602957146436898</v>
      </c>
      <c r="H1081" s="5"/>
      <c r="I1081" s="3">
        <v>3.8999716000000002</v>
      </c>
      <c r="J1081" s="3">
        <v>1.7871999740600499</v>
      </c>
      <c r="K1081" s="3">
        <v>4.52305083519847</v>
      </c>
      <c r="L1081" s="3">
        <v>1.0980000000000001</v>
      </c>
      <c r="M1081" s="3">
        <v>0.71799999999999997</v>
      </c>
      <c r="N1081" s="3">
        <v>0.38900000000000001</v>
      </c>
      <c r="O1081" s="3">
        <v>0.23</v>
      </c>
      <c r="P1081" s="3">
        <v>0.14399999999999999</v>
      </c>
      <c r="Q1081" s="3"/>
    </row>
    <row r="1082" spans="1:17" x14ac:dyDescent="0.25">
      <c r="A1082" s="3" t="s">
        <v>176</v>
      </c>
      <c r="B1082" s="3" t="s">
        <v>111</v>
      </c>
      <c r="C1082" s="3">
        <v>2020</v>
      </c>
      <c r="D1082" s="3">
        <v>5.5556998249999996</v>
      </c>
      <c r="E1082" s="3">
        <v>0.47487461600000003</v>
      </c>
      <c r="F1082" s="3">
        <v>8.5890000000000004</v>
      </c>
      <c r="G1082" s="3">
        <v>-5.1488936948926796</v>
      </c>
      <c r="H1082" s="5"/>
      <c r="I1082" s="3">
        <v>4.1382703100000002</v>
      </c>
      <c r="J1082" s="3">
        <v>5.4455537420431099</v>
      </c>
      <c r="K1082" s="3">
        <v>2.1121086025176199</v>
      </c>
      <c r="L1082" s="3">
        <v>1.2183777090000001</v>
      </c>
      <c r="M1082" s="3">
        <v>0.680594802</v>
      </c>
      <c r="N1082" s="3">
        <v>0.52114117100000001</v>
      </c>
      <c r="O1082" s="3">
        <v>0.18241712500000001</v>
      </c>
      <c r="P1082" s="3">
        <v>0.221779913</v>
      </c>
      <c r="Q1082" s="3"/>
    </row>
    <row r="1083" spans="1:17" x14ac:dyDescent="0.25">
      <c r="A1083" s="3" t="s">
        <v>176</v>
      </c>
      <c r="B1083" s="3" t="s">
        <v>111</v>
      </c>
      <c r="C1083" s="3">
        <v>2021</v>
      </c>
      <c r="D1083" s="3">
        <v>5.4660000000000002</v>
      </c>
      <c r="E1083" s="3">
        <v>0.50800000000000001</v>
      </c>
      <c r="F1083" s="3">
        <v>8.92204694179512</v>
      </c>
      <c r="G1083" s="5"/>
      <c r="H1083" s="5"/>
      <c r="I1083" s="3">
        <v>4.8590468600000003</v>
      </c>
      <c r="J1083" s="3">
        <v>3.8278668741217898</v>
      </c>
      <c r="K1083" s="3">
        <v>7.8838020149752497</v>
      </c>
      <c r="L1083" s="3">
        <v>0.89500000000000002</v>
      </c>
      <c r="M1083" s="3">
        <v>0.498</v>
      </c>
      <c r="N1083" s="3">
        <v>0.54800000000000004</v>
      </c>
      <c r="O1083" s="3">
        <v>0.152</v>
      </c>
      <c r="P1083" s="3">
        <v>0.247</v>
      </c>
      <c r="Q1083" s="3"/>
    </row>
    <row r="1084" spans="1:17" x14ac:dyDescent="0.25">
      <c r="A1084" s="3" t="s">
        <v>176</v>
      </c>
      <c r="B1084" s="3" t="s">
        <v>111</v>
      </c>
      <c r="C1084" s="3">
        <v>2022</v>
      </c>
      <c r="D1084" s="3">
        <v>5.3769999999999998</v>
      </c>
      <c r="E1084" s="3">
        <v>0.96599999999999997</v>
      </c>
      <c r="F1084" s="3">
        <v>6.5912349209115</v>
      </c>
      <c r="G1084" s="5"/>
      <c r="H1084" s="5"/>
      <c r="I1084" s="5"/>
      <c r="J1084" s="3">
        <v>11.829576873194499</v>
      </c>
      <c r="K1084" s="3">
        <v>10.0445105902131</v>
      </c>
      <c r="L1084" s="3">
        <v>1.0049999999999999</v>
      </c>
      <c r="M1084" s="3">
        <v>0.51800000000000002</v>
      </c>
      <c r="N1084" s="3">
        <v>0.57199999999999995</v>
      </c>
      <c r="O1084" s="3">
        <v>0.11799999999999999</v>
      </c>
      <c r="P1084" s="3">
        <v>0.30399999999999999</v>
      </c>
      <c r="Q1084" s="3"/>
    </row>
    <row r="1085" spans="1:17" x14ac:dyDescent="0.25">
      <c r="A1085" s="3" t="s">
        <v>176</v>
      </c>
      <c r="B1085" s="3" t="s">
        <v>111</v>
      </c>
      <c r="C1085" s="3">
        <v>2023</v>
      </c>
      <c r="D1085" s="3">
        <v>5.33</v>
      </c>
      <c r="E1085" s="3">
        <v>0.97199999999999998</v>
      </c>
      <c r="F1085" s="3">
        <v>3.5002296660466499</v>
      </c>
      <c r="G1085" s="5"/>
      <c r="H1085" s="5"/>
      <c r="I1085" s="5"/>
      <c r="J1085" s="3">
        <v>11.784280721643499</v>
      </c>
      <c r="K1085" s="3">
        <v>2.9500003079733199</v>
      </c>
      <c r="L1085" s="3">
        <v>1.248</v>
      </c>
      <c r="M1085" s="3">
        <v>0.29099999999999998</v>
      </c>
      <c r="N1085" s="3">
        <v>0.59899999999999998</v>
      </c>
      <c r="O1085" s="3">
        <v>0.104</v>
      </c>
      <c r="P1085" s="3">
        <v>0.29199999999999998</v>
      </c>
      <c r="Q1085" s="3"/>
    </row>
    <row r="1086" spans="1:17" x14ac:dyDescent="0.25">
      <c r="A1086" s="3" t="s">
        <v>177</v>
      </c>
      <c r="B1086" s="3" t="s">
        <v>43</v>
      </c>
      <c r="C1086" s="3">
        <v>2015</v>
      </c>
      <c r="D1086" s="3">
        <v>3.7810000000000001</v>
      </c>
      <c r="E1086" s="3">
        <v>0.28520000000000001</v>
      </c>
      <c r="F1086" s="3">
        <v>5.6066489219665501</v>
      </c>
      <c r="G1086" s="3">
        <v>5.2923707962036097</v>
      </c>
      <c r="H1086" s="3">
        <v>8.4101152420043892</v>
      </c>
      <c r="I1086" s="5"/>
      <c r="J1086" s="5"/>
      <c r="K1086" s="3">
        <v>7.59166810122223</v>
      </c>
      <c r="L1086" s="3">
        <v>1.00268</v>
      </c>
      <c r="M1086" s="3">
        <v>0.38214999999999999</v>
      </c>
      <c r="N1086" s="3">
        <v>0.32878000000000002</v>
      </c>
      <c r="O1086" s="3">
        <v>0.34377000000000002</v>
      </c>
      <c r="P1086" s="3">
        <v>5.747E-2</v>
      </c>
      <c r="Q1086" s="3"/>
    </row>
    <row r="1087" spans="1:17" x14ac:dyDescent="0.25">
      <c r="A1087" s="3" t="s">
        <v>177</v>
      </c>
      <c r="B1087" s="3" t="s">
        <v>43</v>
      </c>
      <c r="C1087" s="3">
        <v>2016</v>
      </c>
      <c r="D1087" s="3">
        <v>3.6659999999999999</v>
      </c>
      <c r="E1087" s="3">
        <v>0.47155000000000002</v>
      </c>
      <c r="F1087" s="3">
        <v>5.1787419319152797</v>
      </c>
      <c r="G1087" s="3">
        <v>3.8168091773986799</v>
      </c>
      <c r="H1087" s="3">
        <v>7.5022683143615696</v>
      </c>
      <c r="I1087" s="5"/>
      <c r="J1087" s="5"/>
      <c r="K1087" s="3">
        <v>7.4719999999999898</v>
      </c>
      <c r="L1087" s="3">
        <v>0.77622999999999998</v>
      </c>
      <c r="M1087" s="3">
        <v>0.35699999999999998</v>
      </c>
      <c r="N1087" s="3">
        <v>0.31759999999999999</v>
      </c>
      <c r="O1087" s="3">
        <v>0.31472</v>
      </c>
      <c r="P1087" s="3">
        <v>5.0990000000000001E-2</v>
      </c>
      <c r="Q1087" s="3"/>
    </row>
    <row r="1088" spans="1:17" x14ac:dyDescent="0.25">
      <c r="A1088" s="3" t="s">
        <v>177</v>
      </c>
      <c r="B1088" s="3" t="s">
        <v>43</v>
      </c>
      <c r="C1088" s="3">
        <v>2017</v>
      </c>
      <c r="D1088" s="3">
        <v>3.3489999770000001</v>
      </c>
      <c r="E1088" s="3">
        <v>0.51113587599999999</v>
      </c>
      <c r="F1088" s="3">
        <v>5.3209999999999997</v>
      </c>
      <c r="G1088" s="3">
        <v>4.9111270904540998</v>
      </c>
      <c r="H1088" s="3">
        <v>9.1227245330810494</v>
      </c>
      <c r="I1088" s="5"/>
      <c r="J1088" s="5"/>
      <c r="K1088" s="3">
        <v>2.6295221080839699</v>
      </c>
      <c r="L1088" s="3">
        <v>1.0419898030000001</v>
      </c>
      <c r="M1088" s="3">
        <v>0.36450928399999999</v>
      </c>
      <c r="N1088" s="3">
        <v>0.39001777799999998</v>
      </c>
      <c r="O1088" s="3">
        <v>0.35425636199999999</v>
      </c>
      <c r="P1088" s="3">
        <v>6.6035106999999996E-2</v>
      </c>
    </row>
    <row r="1089" spans="1:17" x14ac:dyDescent="0.25">
      <c r="A1089" s="3" t="s">
        <v>177</v>
      </c>
      <c r="B1089" s="3" t="s">
        <v>43</v>
      </c>
      <c r="C1089" s="3">
        <v>2018</v>
      </c>
      <c r="D1089" s="3">
        <v>3.3029999999999999</v>
      </c>
      <c r="E1089" s="3">
        <v>0.45500000000000002</v>
      </c>
      <c r="F1089" s="3">
        <v>3.51</v>
      </c>
      <c r="G1089" s="3">
        <v>5.7872557640075604</v>
      </c>
      <c r="H1089" s="3">
        <v>2.9563646316528298</v>
      </c>
      <c r="I1089" s="5"/>
      <c r="J1089" s="5"/>
      <c r="K1089" s="3">
        <v>1.5802643746939999</v>
      </c>
      <c r="L1089" s="3">
        <v>0.99099999999999999</v>
      </c>
      <c r="M1089" s="3">
        <v>0.38100000000000001</v>
      </c>
      <c r="N1089" s="3">
        <v>0.48099999999999998</v>
      </c>
      <c r="O1089" s="3">
        <v>0.27</v>
      </c>
      <c r="P1089" s="3">
        <v>9.7000000000000003E-2</v>
      </c>
    </row>
    <row r="1090" spans="1:17" x14ac:dyDescent="0.25">
      <c r="A1090" s="3" t="s">
        <v>177</v>
      </c>
      <c r="B1090" s="3" t="s">
        <v>43</v>
      </c>
      <c r="C1090" s="3">
        <v>2019</v>
      </c>
      <c r="D1090" s="3">
        <v>3.2309999999999999</v>
      </c>
      <c r="E1090" s="3">
        <v>0.47599999999999998</v>
      </c>
      <c r="F1090" s="3">
        <v>3.4489998817443799</v>
      </c>
      <c r="G1090" s="3">
        <v>2.92336821556091</v>
      </c>
      <c r="H1090" s="3">
        <v>2.8634560108184801</v>
      </c>
      <c r="I1090" s="5"/>
      <c r="J1090" s="5"/>
      <c r="K1090" s="3">
        <v>1.3664640622629201</v>
      </c>
      <c r="L1090" s="3">
        <v>0.88500000000000001</v>
      </c>
      <c r="M1090" s="3">
        <v>0.499</v>
      </c>
      <c r="N1090" s="3">
        <v>0.41699999999999998</v>
      </c>
      <c r="O1090" s="3">
        <v>0.27600000000000002</v>
      </c>
      <c r="P1090" s="3">
        <v>0.14699999999999999</v>
      </c>
      <c r="Q1090" s="3"/>
    </row>
    <row r="1091" spans="1:17" x14ac:dyDescent="0.25">
      <c r="A1091" s="3" t="s">
        <v>177</v>
      </c>
      <c r="B1091" s="3" t="s">
        <v>43</v>
      </c>
      <c r="C1091" s="3">
        <v>2020</v>
      </c>
      <c r="D1091" s="3">
        <v>3.4762001040000001</v>
      </c>
      <c r="E1091" s="3">
        <v>0.457163125</v>
      </c>
      <c r="F1091" s="3">
        <v>3.2902906279836301</v>
      </c>
      <c r="G1091" s="3">
        <v>4.0388598442077601</v>
      </c>
      <c r="H1091" s="3">
        <v>4.7851066589355398</v>
      </c>
      <c r="I1091" s="5"/>
      <c r="J1091" s="5"/>
      <c r="K1091" s="3">
        <v>3.4999823900256999</v>
      </c>
      <c r="L1091" s="3">
        <v>0.87267464400000005</v>
      </c>
      <c r="M1091" s="3">
        <v>0.44267785500000001</v>
      </c>
      <c r="N1091" s="3">
        <v>0.50934308800000005</v>
      </c>
      <c r="O1091" s="3">
        <v>0.27154091000000002</v>
      </c>
      <c r="P1091" s="3">
        <v>0.203880861</v>
      </c>
      <c r="Q1091" s="3"/>
    </row>
    <row r="1092" spans="1:17" x14ac:dyDescent="0.25">
      <c r="A1092" s="3" t="s">
        <v>177</v>
      </c>
      <c r="B1092" s="3" t="s">
        <v>43</v>
      </c>
      <c r="C1092" s="3">
        <v>2021</v>
      </c>
      <c r="D1092" s="3">
        <v>3.6230000000000002</v>
      </c>
      <c r="E1092" s="3">
        <v>0.433</v>
      </c>
      <c r="F1092" s="3">
        <v>3.68996925025623</v>
      </c>
      <c r="G1092" s="3">
        <v>4.1300973807568004</v>
      </c>
      <c r="H1092" s="3">
        <v>4.2556713846054004</v>
      </c>
      <c r="I1092" s="5"/>
      <c r="J1092" s="5"/>
      <c r="K1092" s="3">
        <v>4.4065043710762204</v>
      </c>
      <c r="L1092" s="3">
        <v>0.54</v>
      </c>
      <c r="M1092" s="3">
        <v>0.3</v>
      </c>
      <c r="N1092" s="3">
        <v>0.54900000000000004</v>
      </c>
      <c r="O1092" s="3">
        <v>0.307</v>
      </c>
      <c r="P1092" s="3">
        <v>0.23100000000000001</v>
      </c>
      <c r="Q1092" s="3"/>
    </row>
    <row r="1093" spans="1:17" x14ac:dyDescent="0.25">
      <c r="A1093" s="3" t="s">
        <v>177</v>
      </c>
      <c r="B1093" s="3" t="s">
        <v>43</v>
      </c>
      <c r="C1093" s="3">
        <v>2022</v>
      </c>
      <c r="D1093" s="3">
        <v>3.702</v>
      </c>
      <c r="E1093" s="3">
        <v>0.84799999999999998</v>
      </c>
      <c r="F1093" s="3">
        <v>4.3502720426910102</v>
      </c>
      <c r="G1093" s="3">
        <v>3.74625782618795</v>
      </c>
      <c r="H1093" s="3">
        <v>6.5725982207231004</v>
      </c>
      <c r="I1093" s="5"/>
      <c r="J1093" s="5"/>
      <c r="K1093" s="3">
        <v>6.6696583833510896</v>
      </c>
      <c r="L1093" s="3">
        <v>0.59699999999999998</v>
      </c>
      <c r="M1093" s="3">
        <v>0.42499999999999999</v>
      </c>
      <c r="N1093" s="3">
        <v>0.57799999999999996</v>
      </c>
      <c r="O1093" s="3">
        <v>0.248</v>
      </c>
      <c r="P1093" s="3">
        <v>0.27</v>
      </c>
      <c r="Q1093" s="3"/>
    </row>
    <row r="1094" spans="1:17" x14ac:dyDescent="0.25">
      <c r="A1094" s="3" t="s">
        <v>177</v>
      </c>
      <c r="B1094" s="3" t="s">
        <v>43</v>
      </c>
      <c r="C1094" s="3">
        <v>2023</v>
      </c>
      <c r="D1094" s="3">
        <v>3.694</v>
      </c>
      <c r="E1094" s="3">
        <v>0.83599999999999997</v>
      </c>
      <c r="F1094" s="3">
        <v>4.0285554275819599</v>
      </c>
      <c r="G1094" s="5"/>
      <c r="H1094" s="3">
        <v>6.7977720523627303</v>
      </c>
      <c r="I1094" s="5"/>
      <c r="J1094" s="5"/>
      <c r="K1094" s="3">
        <v>7.0454397915025702</v>
      </c>
      <c r="L1094" s="3">
        <v>0.78700000000000003</v>
      </c>
      <c r="M1094" s="3">
        <v>0.214</v>
      </c>
      <c r="N1094" s="3">
        <v>0.60699999999999998</v>
      </c>
      <c r="O1094" s="3">
        <v>0.23400000000000001</v>
      </c>
      <c r="P1094" s="3">
        <v>0.26900000000000002</v>
      </c>
      <c r="Q1094" s="3"/>
    </row>
    <row r="1095" spans="1:17" x14ac:dyDescent="0.25">
      <c r="A1095" s="3" t="s">
        <v>178</v>
      </c>
      <c r="B1095" s="3" t="s">
        <v>67</v>
      </c>
      <c r="C1095" s="3">
        <v>2015</v>
      </c>
      <c r="D1095" s="3">
        <v>6.4550000000000001</v>
      </c>
      <c r="E1095" s="3">
        <v>0.96689999999999998</v>
      </c>
      <c r="F1095" s="3">
        <v>-0.89940655231475797</v>
      </c>
      <c r="G1095" s="3">
        <v>0.59355102104908297</v>
      </c>
      <c r="H1095" s="3">
        <v>1.13439953327178</v>
      </c>
      <c r="I1095" s="3">
        <v>0.89291071891784601</v>
      </c>
      <c r="J1095" s="3">
        <v>-4.1111888885498002</v>
      </c>
      <c r="K1095" s="3">
        <v>0.72222067156055203</v>
      </c>
      <c r="L1095" s="3">
        <v>1.2650399999999999</v>
      </c>
      <c r="M1095" s="3">
        <v>0.73850000000000005</v>
      </c>
      <c r="N1095" s="3">
        <v>0.55664000000000002</v>
      </c>
      <c r="O1095" s="3">
        <v>0.57630000000000003</v>
      </c>
      <c r="P1095" s="3">
        <v>3.1870000000000002E-2</v>
      </c>
      <c r="Q1095" s="3"/>
    </row>
    <row r="1096" spans="1:17" x14ac:dyDescent="0.25">
      <c r="A1096" s="3" t="s">
        <v>178</v>
      </c>
      <c r="B1096" s="3" t="s">
        <v>67</v>
      </c>
      <c r="C1096" s="3">
        <v>2016</v>
      </c>
      <c r="D1096" s="3">
        <v>6.4740000000000002</v>
      </c>
      <c r="E1096" s="3">
        <v>1.0892999999999999</v>
      </c>
      <c r="F1096" s="3">
        <v>0.18751406669616699</v>
      </c>
      <c r="G1096" s="3">
        <v>-0.99512195121952796</v>
      </c>
      <c r="H1096" s="3">
        <v>1.60751152038574</v>
      </c>
      <c r="I1096" s="3">
        <v>0.68796235322952204</v>
      </c>
      <c r="J1096" s="3">
        <v>-1.1774270534515301</v>
      </c>
      <c r="K1096" s="3">
        <v>2.63608210997416</v>
      </c>
      <c r="L1096" s="3">
        <v>1.04477</v>
      </c>
      <c r="M1096" s="3">
        <v>0.64915</v>
      </c>
      <c r="N1096" s="3">
        <v>0.49553000000000003</v>
      </c>
      <c r="O1096" s="3">
        <v>0.58696000000000004</v>
      </c>
      <c r="P1096" s="3">
        <v>2.8330000000000001E-2</v>
      </c>
      <c r="Q1096" s="3"/>
    </row>
    <row r="1097" spans="1:17" x14ac:dyDescent="0.25">
      <c r="A1097" s="3" t="s">
        <v>178</v>
      </c>
      <c r="B1097" s="3" t="s">
        <v>67</v>
      </c>
      <c r="C1097" s="3">
        <v>2017</v>
      </c>
      <c r="D1097" s="3">
        <v>6.4239997860000004</v>
      </c>
      <c r="E1097" s="3">
        <v>1.127868772</v>
      </c>
      <c r="F1097" s="3">
        <v>0.66500000000000004</v>
      </c>
      <c r="G1097" s="3">
        <v>0.167004043113919</v>
      </c>
      <c r="H1097" s="3">
        <v>8.1845419481396599E-4</v>
      </c>
      <c r="I1097" s="3">
        <v>0.33150848746299699</v>
      </c>
      <c r="J1097" s="3">
        <v>0.69843995571136397</v>
      </c>
      <c r="K1097" s="3">
        <v>1.9001269001268899</v>
      </c>
      <c r="L1097" s="3">
        <v>1.4257924559999999</v>
      </c>
      <c r="M1097" s="3">
        <v>0.64723902899999997</v>
      </c>
      <c r="N1097" s="3">
        <v>0.580200732</v>
      </c>
      <c r="O1097" s="3">
        <v>0.57212311000000005</v>
      </c>
      <c r="P1097" s="3">
        <v>3.1612735000000003E-2</v>
      </c>
      <c r="Q1097" s="3"/>
    </row>
    <row r="1098" spans="1:17" x14ac:dyDescent="0.25">
      <c r="A1098" s="3" t="s">
        <v>178</v>
      </c>
      <c r="B1098" s="3" t="s">
        <v>67</v>
      </c>
      <c r="C1098" s="3">
        <v>2018</v>
      </c>
      <c r="D1098" s="3">
        <v>6.0720000000000001</v>
      </c>
      <c r="E1098" s="3">
        <v>1.016</v>
      </c>
      <c r="F1098" s="3">
        <v>1.07</v>
      </c>
      <c r="G1098" s="3">
        <v>1.03429632617391</v>
      </c>
      <c r="H1098" s="3">
        <v>0.40515401959419201</v>
      </c>
      <c r="I1098" s="3">
        <v>0.52546620368957497</v>
      </c>
      <c r="J1098" s="3">
        <v>0.37535697221755898</v>
      </c>
      <c r="K1098" s="3">
        <v>1.4321390009472501</v>
      </c>
      <c r="L1098" s="3">
        <v>1.417</v>
      </c>
      <c r="M1098" s="3">
        <v>0.70699999999999996</v>
      </c>
      <c r="N1098" s="3">
        <v>0.63700000000000001</v>
      </c>
      <c r="O1098" s="3">
        <v>0.36399999999999999</v>
      </c>
      <c r="P1098" s="3">
        <v>2.9000000000000001E-2</v>
      </c>
      <c r="Q1098" s="3"/>
    </row>
    <row r="1099" spans="1:17" x14ac:dyDescent="0.25">
      <c r="A1099" s="3" t="s">
        <v>178</v>
      </c>
      <c r="B1099" s="3" t="s">
        <v>67</v>
      </c>
      <c r="C1099" s="3">
        <v>2019</v>
      </c>
      <c r="D1099" s="3">
        <v>6.008</v>
      </c>
      <c r="E1099" s="3">
        <v>1.05</v>
      </c>
      <c r="F1099" s="3">
        <v>0.70599997043609597</v>
      </c>
      <c r="G1099" s="3">
        <v>0.420964456778888</v>
      </c>
      <c r="H1099" s="3">
        <v>2.3148937225341699</v>
      </c>
      <c r="I1099" s="3">
        <v>0.36214005947112998</v>
      </c>
      <c r="J1099" s="3">
        <v>-0.95927232503890902</v>
      </c>
      <c r="K1099" s="3">
        <v>0.93583673469387196</v>
      </c>
      <c r="L1099" s="3">
        <v>1.409</v>
      </c>
      <c r="M1099" s="3">
        <v>0.82799999999999996</v>
      </c>
      <c r="N1099" s="3">
        <v>0.55700000000000005</v>
      </c>
      <c r="O1099" s="3">
        <v>0.35899999999999999</v>
      </c>
      <c r="P1099" s="3">
        <v>2.8000000000000001E-2</v>
      </c>
      <c r="Q1099" s="3"/>
    </row>
    <row r="1100" spans="1:17" x14ac:dyDescent="0.25">
      <c r="A1100" s="3" t="s">
        <v>178</v>
      </c>
      <c r="B1100" s="3" t="s">
        <v>67</v>
      </c>
      <c r="C1100" s="3">
        <v>2020</v>
      </c>
      <c r="D1100" s="3">
        <v>5.9987998009999997</v>
      </c>
      <c r="E1100" s="3">
        <v>1.0070292949999999</v>
      </c>
      <c r="F1100" s="3">
        <v>-0.84593714735659697</v>
      </c>
      <c r="G1100" s="3">
        <v>-1.0211941262702799</v>
      </c>
      <c r="H1100" s="3">
        <v>1.22834360599517</v>
      </c>
      <c r="I1100" s="3">
        <v>7.0000000298023196E-2</v>
      </c>
      <c r="J1100" s="3">
        <v>-1.6027529239654501</v>
      </c>
      <c r="K1100" s="3">
        <v>-1.0390921207572501</v>
      </c>
      <c r="L1100" s="3">
        <v>1.3475195170000001</v>
      </c>
      <c r="M1100" s="3">
        <v>0.79385584600000003</v>
      </c>
      <c r="N1100" s="3">
        <v>0.60944980400000004</v>
      </c>
      <c r="O1100" s="3">
        <v>0.37670901400000001</v>
      </c>
      <c r="P1100" s="3">
        <v>3.1837862000000001E-2</v>
      </c>
      <c r="Q1100" s="3"/>
    </row>
    <row r="1101" spans="1:17" x14ac:dyDescent="0.25">
      <c r="A1101" s="3" t="s">
        <v>178</v>
      </c>
      <c r="B1101" s="3" t="s">
        <v>67</v>
      </c>
      <c r="C1101" s="3">
        <v>2021</v>
      </c>
      <c r="D1101" s="3">
        <v>5.9850000000000003</v>
      </c>
      <c r="E1101" s="3">
        <v>1.107</v>
      </c>
      <c r="F1101" s="3">
        <v>1.23039541318382</v>
      </c>
      <c r="G1101" s="3">
        <v>-1.72</v>
      </c>
      <c r="H1101" s="3">
        <v>-0.13</v>
      </c>
      <c r="I1101" s="3">
        <v>-4.1637520402205098E-3</v>
      </c>
      <c r="J1101" s="3">
        <v>4.7160156916254596</v>
      </c>
      <c r="K1101" s="3">
        <v>1.9020522655973799</v>
      </c>
      <c r="L1101" s="3">
        <v>0.95699999999999996</v>
      </c>
      <c r="M1101" s="3">
        <v>0.59599999999999997</v>
      </c>
      <c r="N1101" s="3">
        <v>0.61099999999999999</v>
      </c>
      <c r="O1101" s="3">
        <v>0.375</v>
      </c>
      <c r="P1101" s="3">
        <v>2.8000000000000001E-2</v>
      </c>
      <c r="Q1101" s="3"/>
    </row>
    <row r="1102" spans="1:17" x14ac:dyDescent="0.25">
      <c r="A1102" s="3" t="s">
        <v>178</v>
      </c>
      <c r="B1102" s="3" t="s">
        <v>67</v>
      </c>
      <c r="C1102" s="3">
        <v>2022</v>
      </c>
      <c r="D1102" s="3">
        <v>5.891</v>
      </c>
      <c r="E1102" s="3">
        <v>1.5349999999999999</v>
      </c>
      <c r="F1102" s="3">
        <v>6.0774122843432101</v>
      </c>
      <c r="G1102" s="3">
        <v>4.7469330409156099</v>
      </c>
      <c r="H1102" s="3">
        <v>6.6437460561197001</v>
      </c>
      <c r="I1102" s="3">
        <v>0.567964156631517</v>
      </c>
      <c r="J1102" s="3">
        <v>10.375437739229501</v>
      </c>
      <c r="K1102" s="3">
        <v>0.79856933385267803</v>
      </c>
      <c r="L1102" s="3">
        <v>1.0960000000000001</v>
      </c>
      <c r="M1102" s="3">
        <v>0.69699999999999995</v>
      </c>
      <c r="N1102" s="3">
        <v>0.61699999999999999</v>
      </c>
      <c r="O1102" s="3">
        <v>0.32100000000000001</v>
      </c>
      <c r="P1102" s="3">
        <v>2.5999999999999999E-2</v>
      </c>
      <c r="Q1102" s="3"/>
    </row>
    <row r="1103" spans="1:17" x14ac:dyDescent="0.25">
      <c r="A1103" s="3" t="s">
        <v>178</v>
      </c>
      <c r="B1103" s="3" t="s">
        <v>67</v>
      </c>
      <c r="C1103" s="3">
        <v>2023</v>
      </c>
      <c r="D1103" s="3">
        <v>5.843</v>
      </c>
      <c r="E1103" s="3">
        <v>1.5149999999999999</v>
      </c>
      <c r="F1103" s="3">
        <v>3.8762423853802201</v>
      </c>
      <c r="G1103" s="3">
        <v>3.1182622723495399</v>
      </c>
      <c r="H1103" s="3">
        <v>2.5688667535291199</v>
      </c>
      <c r="I1103" s="3">
        <v>0.59373473223969497</v>
      </c>
      <c r="J1103" s="5"/>
      <c r="K1103" s="3">
        <v>1.2392612193882599</v>
      </c>
      <c r="L1103" s="3">
        <v>1.3440000000000001</v>
      </c>
      <c r="M1103" s="3">
        <v>0.46100000000000002</v>
      </c>
      <c r="N1103" s="3">
        <v>0.624</v>
      </c>
      <c r="O1103" s="3">
        <v>0.29099999999999998</v>
      </c>
      <c r="P1103" s="3">
        <v>1.2999999999999999E-2</v>
      </c>
      <c r="Q1103" s="3"/>
    </row>
    <row r="1104" spans="1:17" x14ac:dyDescent="0.25">
      <c r="A1104" s="3" t="s">
        <v>179</v>
      </c>
      <c r="B1104" s="3" t="s">
        <v>43</v>
      </c>
      <c r="C1104" s="3">
        <v>2015</v>
      </c>
      <c r="D1104" s="3">
        <v>2.839</v>
      </c>
      <c r="E1104" s="3">
        <v>0.20868</v>
      </c>
      <c r="F1104" s="3">
        <v>1.78499996662139</v>
      </c>
      <c r="G1104" s="3">
        <v>0.58999997377395597</v>
      </c>
      <c r="H1104" s="3">
        <v>5.87967777252197</v>
      </c>
      <c r="I1104" s="5"/>
      <c r="J1104" s="5"/>
      <c r="K1104" s="3">
        <v>3.48061714261708</v>
      </c>
      <c r="L1104" s="3">
        <v>0.13994999999999999</v>
      </c>
      <c r="M1104" s="3">
        <v>0.28443000000000002</v>
      </c>
      <c r="N1104" s="3">
        <v>0.36453000000000002</v>
      </c>
      <c r="O1104" s="3">
        <v>0.16681000000000001</v>
      </c>
      <c r="P1104" s="3">
        <v>0.10731</v>
      </c>
      <c r="Q1104" s="3"/>
    </row>
    <row r="1105" spans="1:17" x14ac:dyDescent="0.25">
      <c r="A1105" s="3" t="s">
        <v>179</v>
      </c>
      <c r="B1105" s="3" t="s">
        <v>43</v>
      </c>
      <c r="C1105" s="3">
        <v>2016</v>
      </c>
      <c r="D1105" s="3">
        <v>3.3029999999999999</v>
      </c>
      <c r="E1105" s="3">
        <v>0.28122999999999998</v>
      </c>
      <c r="F1105" s="3">
        <v>0.85699999332427901</v>
      </c>
      <c r="G1105" s="3">
        <v>-1</v>
      </c>
      <c r="H1105" s="3">
        <v>3.1455998420715301</v>
      </c>
      <c r="I1105" s="5"/>
      <c r="J1105" s="5"/>
      <c r="K1105" s="3">
        <v>1.4960366194038199</v>
      </c>
      <c r="L1105" s="3">
        <v>0</v>
      </c>
      <c r="M1105" s="3">
        <v>0.24811</v>
      </c>
      <c r="N1105" s="3">
        <v>0.34677999999999998</v>
      </c>
      <c r="O1105" s="3">
        <v>0.17516999999999999</v>
      </c>
      <c r="P1105" s="3">
        <v>0.11587</v>
      </c>
      <c r="Q1105" s="3"/>
    </row>
    <row r="1106" spans="1:17" x14ac:dyDescent="0.25">
      <c r="A1106" s="3" t="s">
        <v>179</v>
      </c>
      <c r="B1106" s="3" t="s">
        <v>43</v>
      </c>
      <c r="C1106" s="3">
        <v>2017</v>
      </c>
      <c r="D1106" s="3">
        <v>3.494999886</v>
      </c>
      <c r="E1106" s="3">
        <v>0.30544471699999998</v>
      </c>
      <c r="F1106" s="3">
        <v>-0.215</v>
      </c>
      <c r="G1106" s="3">
        <v>0.17000000178813901</v>
      </c>
      <c r="H1106" s="3">
        <v>-4.1542234420776296</v>
      </c>
      <c r="I1106" s="5"/>
      <c r="J1106" s="5"/>
      <c r="K1106" s="3">
        <v>-0.43499565004350099</v>
      </c>
      <c r="L1106" s="3">
        <v>0.43188252999999999</v>
      </c>
      <c r="M1106" s="3">
        <v>0.247105569</v>
      </c>
      <c r="N1106" s="3">
        <v>0.380426139</v>
      </c>
      <c r="O1106" s="3">
        <v>0.19689615099999999</v>
      </c>
      <c r="P1106" s="3">
        <v>9.5665015000000006E-2</v>
      </c>
      <c r="Q1106" s="3"/>
    </row>
    <row r="1107" spans="1:17" x14ac:dyDescent="0.25">
      <c r="A1107" s="3" t="s">
        <v>179</v>
      </c>
      <c r="B1107" s="3" t="s">
        <v>43</v>
      </c>
      <c r="C1107" s="3">
        <v>2018</v>
      </c>
      <c r="D1107" s="3">
        <v>3.9990000000000001</v>
      </c>
      <c r="E1107" s="3">
        <v>0.25900000000000001</v>
      </c>
      <c r="F1107" s="3">
        <v>0.94</v>
      </c>
      <c r="G1107" s="3">
        <v>1.03441882133483</v>
      </c>
      <c r="H1107" s="3">
        <v>0.30529408847580097</v>
      </c>
      <c r="I1107" s="5"/>
      <c r="J1107" s="5"/>
      <c r="K1107" s="3">
        <v>1.36894120482895</v>
      </c>
      <c r="L1107" s="3">
        <v>0.47399999999999998</v>
      </c>
      <c r="M1107" s="3">
        <v>0.253</v>
      </c>
      <c r="N1107" s="3">
        <v>0.434</v>
      </c>
      <c r="O1107" s="3">
        <v>0.158</v>
      </c>
      <c r="P1107" s="3">
        <v>0.10100000000000001</v>
      </c>
      <c r="Q1107" s="3"/>
    </row>
    <row r="1108" spans="1:17" x14ac:dyDescent="0.25">
      <c r="A1108" s="3" t="s">
        <v>179</v>
      </c>
      <c r="B1108" s="3" t="s">
        <v>43</v>
      </c>
      <c r="C1108" s="3">
        <v>2019</v>
      </c>
      <c r="D1108" s="3">
        <v>4.085</v>
      </c>
      <c r="E1108" s="3">
        <v>0.27500000000000002</v>
      </c>
      <c r="F1108" s="3">
        <v>0.68699997663497903</v>
      </c>
      <c r="G1108" s="3">
        <v>0.42084490000000002</v>
      </c>
      <c r="H1108" s="3">
        <v>-0.52416557073593095</v>
      </c>
      <c r="I1108" s="5"/>
      <c r="J1108" s="5"/>
      <c r="K1108" s="3">
        <v>1.5188895163927101</v>
      </c>
      <c r="L1108" s="3">
        <v>0.57199999999999995</v>
      </c>
      <c r="M1108" s="3">
        <v>0.41</v>
      </c>
      <c r="N1108" s="3">
        <v>0.29299999999999998</v>
      </c>
      <c r="O1108" s="3">
        <v>0.17699999999999999</v>
      </c>
      <c r="P1108" s="3">
        <v>8.5000000000000006E-2</v>
      </c>
      <c r="Q1108" s="3"/>
    </row>
    <row r="1109" spans="1:17" x14ac:dyDescent="0.25">
      <c r="A1109" s="3" t="s">
        <v>179</v>
      </c>
      <c r="B1109" s="3" t="s">
        <v>43</v>
      </c>
      <c r="C1109" s="3">
        <v>2020</v>
      </c>
      <c r="D1109" s="3">
        <v>4.1872000690000002</v>
      </c>
      <c r="E1109" s="3">
        <v>0.26811626599999999</v>
      </c>
      <c r="F1109" s="3">
        <v>1.8275403851999701</v>
      </c>
      <c r="G1109" s="3">
        <v>0.77561906047971896</v>
      </c>
      <c r="H1109" s="3">
        <v>3.3862843513488698</v>
      </c>
      <c r="I1109" s="5"/>
      <c r="J1109" s="5"/>
      <c r="K1109" s="3">
        <v>1.1116316292869499</v>
      </c>
      <c r="L1109" s="3">
        <v>0.54762285899999996</v>
      </c>
      <c r="M1109" s="3">
        <v>0.34273117800000003</v>
      </c>
      <c r="N1109" s="3">
        <v>0.30353903799999998</v>
      </c>
      <c r="O1109" s="3">
        <v>0.20077425199999999</v>
      </c>
      <c r="P1109" s="3">
        <v>0.11482645599999999</v>
      </c>
      <c r="Q1109" s="3"/>
    </row>
    <row r="1110" spans="1:17" x14ac:dyDescent="0.25">
      <c r="A1110" s="3" t="s">
        <v>179</v>
      </c>
      <c r="B1110" s="3" t="s">
        <v>43</v>
      </c>
      <c r="C1110" s="3">
        <v>2021</v>
      </c>
      <c r="D1110" s="3">
        <v>4.1070000000000002</v>
      </c>
      <c r="E1110" s="3">
        <v>0.254</v>
      </c>
      <c r="F1110" s="3">
        <v>4.5515289678483999</v>
      </c>
      <c r="G1110" s="3">
        <v>0.59594177182485697</v>
      </c>
      <c r="H1110" s="3">
        <v>9.8336290873989007</v>
      </c>
      <c r="I1110" s="5"/>
      <c r="J1110" s="5"/>
      <c r="K1110" s="3">
        <v>1.6597344768033699</v>
      </c>
      <c r="L1110" s="3">
        <v>0.23899999999999999</v>
      </c>
      <c r="M1110" s="3">
        <v>0.20300000000000001</v>
      </c>
      <c r="N1110" s="3">
        <v>0.28899999999999998</v>
      </c>
      <c r="O1110" s="3">
        <v>0.20899999999999999</v>
      </c>
      <c r="P1110" s="3">
        <v>0.107</v>
      </c>
      <c r="Q1110" s="3"/>
    </row>
    <row r="1111" spans="1:17" x14ac:dyDescent="0.25">
      <c r="A1111" s="3" t="s">
        <v>179</v>
      </c>
      <c r="B1111" s="3" t="s">
        <v>43</v>
      </c>
      <c r="C1111" s="3">
        <v>2022</v>
      </c>
      <c r="D1111" s="3">
        <v>4.1120000000000001</v>
      </c>
      <c r="E1111" s="3">
        <v>0.77100000000000002</v>
      </c>
      <c r="F1111" s="3">
        <v>7.9675736161794601</v>
      </c>
      <c r="G1111" s="3">
        <v>12.773738770287499</v>
      </c>
      <c r="H1111" s="3">
        <v>13.0523405646958</v>
      </c>
      <c r="I1111" s="5"/>
      <c r="J1111" s="5"/>
      <c r="K1111" s="3">
        <v>1.8155886207694001</v>
      </c>
      <c r="L1111" s="3">
        <v>0.32200000000000001</v>
      </c>
      <c r="M1111" s="3">
        <v>0.36</v>
      </c>
      <c r="N1111" s="3">
        <v>0.29199999999999998</v>
      </c>
      <c r="O1111" s="3">
        <v>0.17399999999999999</v>
      </c>
      <c r="P1111" s="3">
        <v>0.13200000000000001</v>
      </c>
      <c r="Q1111" s="3"/>
    </row>
    <row r="1112" spans="1:17" x14ac:dyDescent="0.25">
      <c r="A1112" s="3" t="s">
        <v>179</v>
      </c>
      <c r="B1112" s="3" t="s">
        <v>43</v>
      </c>
      <c r="C1112" s="3">
        <v>2023</v>
      </c>
      <c r="D1112" s="3">
        <v>4.1369999999999996</v>
      </c>
      <c r="E1112" s="3">
        <v>0.77</v>
      </c>
      <c r="F1112" s="3">
        <v>5.0590000000000002</v>
      </c>
      <c r="G1112" s="3">
        <v>7.2157272577629401</v>
      </c>
      <c r="H1112" s="3">
        <v>3.4918686713715599</v>
      </c>
      <c r="I1112" s="5"/>
      <c r="J1112" s="5"/>
      <c r="K1112" s="3">
        <v>2.7840181207181498</v>
      </c>
      <c r="L1112" s="3">
        <v>0.64200000000000002</v>
      </c>
      <c r="M1112" s="3">
        <v>0.161</v>
      </c>
      <c r="N1112" s="3">
        <v>0.36699999999999999</v>
      </c>
      <c r="O1112" s="3">
        <v>0.14899999999999999</v>
      </c>
      <c r="P1112" s="3">
        <v>0.13600000000000001</v>
      </c>
      <c r="Q1112" s="3"/>
    </row>
    <row r="1113" spans="1:17" x14ac:dyDescent="0.25">
      <c r="A1113" s="3" t="s">
        <v>180</v>
      </c>
      <c r="B1113" s="3" t="s">
        <v>45</v>
      </c>
      <c r="C1113" s="3">
        <v>2015</v>
      </c>
      <c r="D1113" s="3">
        <v>6.1680000000000001</v>
      </c>
      <c r="E1113" s="3">
        <v>1.21183</v>
      </c>
      <c r="F1113" s="3">
        <v>4.6593804359436</v>
      </c>
      <c r="G1113" s="3">
        <v>5.0140023231506303</v>
      </c>
      <c r="H1113" s="3">
        <v>8.5648546218871999</v>
      </c>
      <c r="I1113" s="3">
        <v>1.83879089355468</v>
      </c>
      <c r="J1113" s="3">
        <v>2.3798832893371502</v>
      </c>
      <c r="K1113" s="3">
        <v>-11.379192658462999</v>
      </c>
      <c r="L1113" s="3">
        <v>1.18354</v>
      </c>
      <c r="M1113" s="3">
        <v>0.61482999999999999</v>
      </c>
      <c r="N1113" s="3">
        <v>0.55884</v>
      </c>
      <c r="O1113" s="3">
        <v>0.31844</v>
      </c>
      <c r="P1113" s="3">
        <v>1.14E-2</v>
      </c>
      <c r="Q1113" s="3"/>
    </row>
    <row r="1114" spans="1:17" x14ac:dyDescent="0.25">
      <c r="A1114" s="3" t="s">
        <v>180</v>
      </c>
      <c r="B1114" s="3" t="s">
        <v>45</v>
      </c>
      <c r="C1114" s="3">
        <v>2016</v>
      </c>
      <c r="D1114" s="3">
        <v>6.1680000000000001</v>
      </c>
      <c r="E1114" s="3">
        <v>1.32572</v>
      </c>
      <c r="F1114" s="3">
        <v>3.0941388607025102</v>
      </c>
      <c r="G1114" s="3">
        <v>4.9079236984252903</v>
      </c>
      <c r="H1114" s="3">
        <v>7.4735159873962402</v>
      </c>
      <c r="I1114" s="3">
        <v>2.1436226367950399</v>
      </c>
      <c r="J1114" s="3">
        <v>1.18421053886413</v>
      </c>
      <c r="K1114" s="3">
        <v>-0.64506466693053399</v>
      </c>
      <c r="L1114" s="3">
        <v>0.98568999999999996</v>
      </c>
      <c r="M1114" s="3">
        <v>0.52607999999999999</v>
      </c>
      <c r="N1114" s="3">
        <v>0.48453000000000002</v>
      </c>
      <c r="O1114" s="3">
        <v>0.31935000000000002</v>
      </c>
      <c r="P1114" s="3">
        <v>1.2409999999999999E-2</v>
      </c>
      <c r="Q1114" s="3"/>
    </row>
    <row r="1115" spans="1:17" x14ac:dyDescent="0.25">
      <c r="A1115" s="3" t="s">
        <v>180</v>
      </c>
      <c r="B1115" s="3" t="s">
        <v>45</v>
      </c>
      <c r="C1115" s="3">
        <v>2017</v>
      </c>
      <c r="D1115" s="3">
        <v>6.1680002209999998</v>
      </c>
      <c r="E1115" s="3">
        <v>1.361355901</v>
      </c>
      <c r="F1115" s="3">
        <v>1.8839999999999999</v>
      </c>
      <c r="G1115" s="3">
        <v>5.3296275138854901</v>
      </c>
      <c r="H1115" s="3">
        <v>2.9195373058318999</v>
      </c>
      <c r="I1115" s="3">
        <v>1.66276538372039</v>
      </c>
      <c r="J1115" s="3">
        <v>1.9289120435714699</v>
      </c>
      <c r="K1115" s="3">
        <v>4.7837977518411599</v>
      </c>
      <c r="L1115" s="3">
        <v>1.3802285190000001</v>
      </c>
      <c r="M1115" s="3">
        <v>0.51998329200000004</v>
      </c>
      <c r="N1115" s="3">
        <v>0.51863074300000001</v>
      </c>
      <c r="O1115" s="3">
        <v>0.32529646200000001</v>
      </c>
      <c r="P1115" s="3">
        <v>8.9648160000000005E-3</v>
      </c>
      <c r="Q1115" s="3"/>
    </row>
    <row r="1116" spans="1:17" x14ac:dyDescent="0.25">
      <c r="A1116" s="3" t="s">
        <v>180</v>
      </c>
      <c r="B1116" s="3" t="s">
        <v>45</v>
      </c>
      <c r="C1116" s="3">
        <v>2018</v>
      </c>
      <c r="D1116" s="3">
        <v>6.1920000000000002</v>
      </c>
      <c r="E1116" s="3">
        <v>1.2230000000000001</v>
      </c>
      <c r="F1116" s="3">
        <v>1.03</v>
      </c>
      <c r="G1116" s="3">
        <v>4.8035602569579998</v>
      </c>
      <c r="H1116" s="3">
        <v>1.11995601654052</v>
      </c>
      <c r="I1116" s="3">
        <v>0.97657799720764105</v>
      </c>
      <c r="J1116" s="5"/>
      <c r="K1116" s="3">
        <v>5.5765061293272504</v>
      </c>
      <c r="L1116" s="3">
        <v>1.492</v>
      </c>
      <c r="M1116" s="3">
        <v>0.56399999999999995</v>
      </c>
      <c r="N1116" s="3">
        <v>0.57499999999999996</v>
      </c>
      <c r="O1116" s="3">
        <v>0.17100000000000001</v>
      </c>
      <c r="P1116" s="3">
        <v>1.9E-2</v>
      </c>
      <c r="Q1116" s="3"/>
    </row>
    <row r="1117" spans="1:17" x14ac:dyDescent="0.25">
      <c r="A1117" s="3" t="s">
        <v>180</v>
      </c>
      <c r="B1117" s="3" t="s">
        <v>45</v>
      </c>
      <c r="C1117" s="3">
        <v>2019</v>
      </c>
      <c r="D1117" s="3">
        <v>6.1920000000000002</v>
      </c>
      <c r="E1117" s="3">
        <v>1.2310000000000001</v>
      </c>
      <c r="F1117" s="3">
        <v>1.0010000467300399</v>
      </c>
      <c r="G1117" s="3">
        <v>4.79890632629394</v>
      </c>
      <c r="H1117" s="3">
        <v>0.56834739446640004</v>
      </c>
      <c r="I1117" s="3">
        <v>1.11652779579162</v>
      </c>
      <c r="J1117" s="5"/>
      <c r="K1117" s="3">
        <v>-0.99565919841161299</v>
      </c>
      <c r="L1117" s="3">
        <v>1.4770000000000001</v>
      </c>
      <c r="M1117" s="3">
        <v>0.71299999999999997</v>
      </c>
      <c r="N1117" s="3">
        <v>0.48899999999999999</v>
      </c>
      <c r="O1117" s="3">
        <v>0.185</v>
      </c>
      <c r="P1117" s="3">
        <v>1.6E-2</v>
      </c>
      <c r="Q1117" s="3"/>
    </row>
    <row r="1118" spans="1:17" x14ac:dyDescent="0.25">
      <c r="A1118" s="3" t="s">
        <v>180</v>
      </c>
      <c r="B1118" s="3" t="s">
        <v>45</v>
      </c>
      <c r="C1118" s="3">
        <v>2020</v>
      </c>
      <c r="D1118" s="3">
        <v>6.1918997759999996</v>
      </c>
      <c r="E1118" s="3">
        <v>1.167641521</v>
      </c>
      <c r="F1118" s="3">
        <v>0.59898633082442798</v>
      </c>
      <c r="G1118" s="3">
        <v>4.7370591163635201</v>
      </c>
      <c r="H1118" s="3">
        <v>2.8039414882659899</v>
      </c>
      <c r="I1118" s="3">
        <v>9.3312598764896296E-2</v>
      </c>
      <c r="J1118" s="5"/>
      <c r="K1118" s="3">
        <v>0.60261691062984701</v>
      </c>
      <c r="L1118" s="3">
        <v>1.4073262209999999</v>
      </c>
      <c r="M1118" s="3">
        <v>0.65882855699999998</v>
      </c>
      <c r="N1118" s="3">
        <v>0.55293113000000005</v>
      </c>
      <c r="O1118" s="3">
        <v>0.19935825500000001</v>
      </c>
      <c r="P1118" s="3">
        <v>1.5078396000000001E-2</v>
      </c>
      <c r="Q1118" s="3"/>
    </row>
    <row r="1119" spans="1:17" x14ac:dyDescent="0.25">
      <c r="A1119" s="3" t="s">
        <v>181</v>
      </c>
      <c r="B1119" s="3" t="s">
        <v>41</v>
      </c>
      <c r="C1119" s="3">
        <v>2015</v>
      </c>
      <c r="D1119" s="3">
        <v>4.7389999999999999</v>
      </c>
      <c r="E1119" s="3">
        <v>0.88112999999999997</v>
      </c>
      <c r="F1119" s="3">
        <v>4.4469642639160103</v>
      </c>
      <c r="G1119" s="3">
        <v>7.6223025321960396</v>
      </c>
      <c r="H1119" s="3">
        <v>4.5114078521728498</v>
      </c>
      <c r="I1119" s="3">
        <v>4.6724785999999998</v>
      </c>
      <c r="J1119" s="3">
        <v>5.0483207702636701</v>
      </c>
      <c r="K1119" s="3">
        <v>3.5028924123645302</v>
      </c>
      <c r="L1119" s="3">
        <v>0.60428999999999999</v>
      </c>
      <c r="M1119" s="3">
        <v>0.73792999999999997</v>
      </c>
      <c r="N1119" s="3">
        <v>0.26268000000000002</v>
      </c>
      <c r="O1119" s="3">
        <v>6.4310000000000006E-2</v>
      </c>
      <c r="P1119" s="3">
        <v>6.3579999999999998E-2</v>
      </c>
      <c r="Q1119" s="3"/>
    </row>
    <row r="1120" spans="1:17" x14ac:dyDescent="0.25">
      <c r="A1120" s="3" t="s">
        <v>181</v>
      </c>
      <c r="B1120" s="3" t="s">
        <v>41</v>
      </c>
      <c r="C1120" s="3">
        <v>2016</v>
      </c>
      <c r="D1120" s="3">
        <v>5.0449999999999999</v>
      </c>
      <c r="E1120" s="3">
        <v>0.97724</v>
      </c>
      <c r="F1120" s="3">
        <v>3.6077282428741402</v>
      </c>
      <c r="G1120" s="3">
        <v>6.5635576248168901</v>
      </c>
      <c r="H1120" s="3">
        <v>2.7249984741210902</v>
      </c>
      <c r="I1120" s="3">
        <v>4.3766629500000001</v>
      </c>
      <c r="J1120" s="3">
        <v>1.4073851108551001</v>
      </c>
      <c r="K1120" s="3">
        <v>4.7348253728064797</v>
      </c>
      <c r="L1120" s="3">
        <v>0.43164999999999998</v>
      </c>
      <c r="M1120" s="3">
        <v>0.59577000000000002</v>
      </c>
      <c r="N1120" s="3">
        <v>0.23552999999999999</v>
      </c>
      <c r="O1120" s="3">
        <v>3.9359999999999999E-2</v>
      </c>
      <c r="P1120" s="3">
        <v>8.1699999999999995E-2</v>
      </c>
      <c r="Q1120" s="3"/>
    </row>
    <row r="1121" spans="1:17" x14ac:dyDescent="0.25">
      <c r="A1121" s="3" t="s">
        <v>181</v>
      </c>
      <c r="B1121" s="3" t="s">
        <v>41</v>
      </c>
      <c r="C1121" s="3">
        <v>2017</v>
      </c>
      <c r="D1121" s="3">
        <v>4.8049998279999997</v>
      </c>
      <c r="E1121" s="3">
        <v>1.0072658059999999</v>
      </c>
      <c r="F1121" s="3">
        <v>5.3088389999999999</v>
      </c>
      <c r="G1121" s="3">
        <v>8.0330677032470703</v>
      </c>
      <c r="H1121" s="3">
        <v>5.6299176216125399</v>
      </c>
      <c r="I1121" s="3">
        <v>5.4232103599999997</v>
      </c>
      <c r="J1121" s="3">
        <v>4.6036167144775302</v>
      </c>
      <c r="K1121" s="3">
        <v>4.7569112700890903</v>
      </c>
      <c r="L1121" s="3">
        <v>0.86835145999999996</v>
      </c>
      <c r="M1121" s="3">
        <v>0.61321204900000004</v>
      </c>
      <c r="N1121" s="3">
        <v>0.28968069000000002</v>
      </c>
      <c r="O1121" s="3">
        <v>4.9693357000000001E-2</v>
      </c>
      <c r="P1121" s="3">
        <v>8.6723148999999999E-2</v>
      </c>
      <c r="Q1121" s="3"/>
    </row>
    <row r="1122" spans="1:17" x14ac:dyDescent="0.25">
      <c r="A1122" s="3" t="s">
        <v>181</v>
      </c>
      <c r="B1122" s="3" t="s">
        <v>41</v>
      </c>
      <c r="C1122" s="3">
        <v>2018</v>
      </c>
      <c r="D1122" s="3">
        <v>4.5919999999999996</v>
      </c>
      <c r="E1122" s="3">
        <v>0.9</v>
      </c>
      <c r="F1122" s="3">
        <v>7.27</v>
      </c>
      <c r="G1122" s="3">
        <v>15.7930641174316</v>
      </c>
      <c r="H1122" s="3">
        <v>7.2498292922973597</v>
      </c>
      <c r="I1122" s="3">
        <v>7.4857925400000003</v>
      </c>
      <c r="J1122" s="3">
        <v>7.9412341117858798</v>
      </c>
      <c r="K1122" s="3">
        <v>7.8954197963859496</v>
      </c>
      <c r="L1122" s="3">
        <v>0.90600000000000003</v>
      </c>
      <c r="M1122" s="3">
        <v>0.69</v>
      </c>
      <c r="N1122" s="3">
        <v>0.27100000000000002</v>
      </c>
      <c r="O1122" s="3">
        <v>0.04</v>
      </c>
      <c r="P1122" s="3">
        <v>6.3E-2</v>
      </c>
      <c r="Q1122" s="3"/>
    </row>
    <row r="1123" spans="1:17" x14ac:dyDescent="0.25">
      <c r="A1123" s="3" t="s">
        <v>181</v>
      </c>
      <c r="B1123" s="3" t="s">
        <v>41</v>
      </c>
      <c r="C1123" s="3">
        <v>2019</v>
      </c>
      <c r="D1123" s="3">
        <v>4.4610000000000003</v>
      </c>
      <c r="E1123" s="3">
        <v>0.92100000000000004</v>
      </c>
      <c r="F1123" s="3">
        <v>6.7220001220703098</v>
      </c>
      <c r="G1123" s="3">
        <v>13.6005897521972</v>
      </c>
      <c r="H1123" s="3">
        <v>6.87432861328125</v>
      </c>
      <c r="I1123" s="3">
        <v>6.9087996399999998</v>
      </c>
      <c r="J1123" s="3">
        <v>5.9832124710082999</v>
      </c>
      <c r="K1123" s="3">
        <v>7.1348557840988001</v>
      </c>
      <c r="L1123" s="3">
        <v>1</v>
      </c>
      <c r="M1123" s="3">
        <v>0.81499999999999995</v>
      </c>
      <c r="N1123" s="3">
        <v>0.16700000000000001</v>
      </c>
      <c r="O1123" s="3">
        <v>5.8999999999999997E-2</v>
      </c>
      <c r="P1123" s="3">
        <v>5.5E-2</v>
      </c>
      <c r="Q1123" s="3"/>
    </row>
    <row r="1124" spans="1:17" x14ac:dyDescent="0.25">
      <c r="A1124" s="3" t="s">
        <v>181</v>
      </c>
      <c r="B1124" s="3" t="s">
        <v>41</v>
      </c>
      <c r="C1124" s="3">
        <v>2020</v>
      </c>
      <c r="D1124" s="3">
        <v>4.3921999930000002</v>
      </c>
      <c r="E1124" s="3">
        <v>0.87474268700000002</v>
      </c>
      <c r="F1124" s="3">
        <v>5.6341511589761799</v>
      </c>
      <c r="G1124" s="3">
        <v>4.7409618315757802</v>
      </c>
      <c r="H1124" s="3">
        <v>4.6566162109375</v>
      </c>
      <c r="I1124" s="3">
        <v>6.6592364799999997</v>
      </c>
      <c r="J1124" s="3">
        <v>1.8626827960057499</v>
      </c>
      <c r="K1124" s="3">
        <v>6.1311284021732799</v>
      </c>
      <c r="L1124" s="3">
        <v>0.87216770600000004</v>
      </c>
      <c r="M1124" s="3">
        <v>0.78115671900000005</v>
      </c>
      <c r="N1124" s="3">
        <v>0.235860556</v>
      </c>
      <c r="O1124" s="3">
        <v>5.5881143000000001E-2</v>
      </c>
      <c r="P1124" s="3">
        <v>4.3899572999999997E-2</v>
      </c>
      <c r="Q1124" s="3"/>
    </row>
    <row r="1125" spans="1:17" x14ac:dyDescent="0.25">
      <c r="A1125" s="3" t="s">
        <v>181</v>
      </c>
      <c r="B1125" s="3" t="s">
        <v>41</v>
      </c>
      <c r="C1125" s="3">
        <v>2021</v>
      </c>
      <c r="D1125" s="3">
        <v>4.5960000000000001</v>
      </c>
      <c r="E1125" s="3">
        <v>0.91900000000000004</v>
      </c>
      <c r="F1125" s="3">
        <v>5.7063502083070299</v>
      </c>
      <c r="G1125" s="3">
        <v>4.97</v>
      </c>
      <c r="H1125" s="3">
        <v>6.34</v>
      </c>
      <c r="I1125" s="3">
        <v>5.6823555099999998</v>
      </c>
      <c r="J1125" s="3">
        <v>9.2699115044247993</v>
      </c>
      <c r="K1125" s="3">
        <v>4.5360529762971096</v>
      </c>
      <c r="L1125" s="3">
        <v>0.51500000000000001</v>
      </c>
      <c r="M1125" s="3">
        <v>0.59</v>
      </c>
      <c r="N1125" s="3">
        <v>0.33400000000000002</v>
      </c>
      <c r="O1125" s="3">
        <v>5.7000000000000002E-2</v>
      </c>
      <c r="P1125" s="3">
        <v>4.3999999999999997E-2</v>
      </c>
      <c r="Q1125" s="3"/>
    </row>
    <row r="1126" spans="1:17" x14ac:dyDescent="0.25">
      <c r="A1126" s="3" t="s">
        <v>181</v>
      </c>
      <c r="B1126" s="3" t="s">
        <v>41</v>
      </c>
      <c r="C1126" s="3">
        <v>2022</v>
      </c>
      <c r="D1126" s="3">
        <v>4.516</v>
      </c>
      <c r="E1126" s="3">
        <v>1.35</v>
      </c>
      <c r="F1126" s="3">
        <v>8.3064612444762798</v>
      </c>
      <c r="G1126" s="3">
        <v>6.1093987894437198</v>
      </c>
      <c r="H1126" s="3">
        <v>9.7970529578526193</v>
      </c>
      <c r="I1126" s="3">
        <v>7.1381288999999999</v>
      </c>
      <c r="J1126" s="5"/>
      <c r="K1126" s="3">
        <v>4.4534771350797104</v>
      </c>
      <c r="L1126" s="3">
        <v>0.59599999999999997</v>
      </c>
      <c r="M1126" s="3">
        <v>0.65600000000000003</v>
      </c>
      <c r="N1126" s="3">
        <v>0.316</v>
      </c>
      <c r="O1126" s="3">
        <v>2.9000000000000001E-2</v>
      </c>
      <c r="P1126" s="3">
        <v>2.9000000000000001E-2</v>
      </c>
      <c r="Q1126" s="3"/>
    </row>
    <row r="1127" spans="1:17" x14ac:dyDescent="0.25">
      <c r="A1127" s="3" t="s">
        <v>181</v>
      </c>
      <c r="B1127" s="3" t="s">
        <v>41</v>
      </c>
      <c r="C1127" s="3">
        <v>2023</v>
      </c>
      <c r="D1127" s="3">
        <v>4.4969999999999999</v>
      </c>
      <c r="E1127" s="3">
        <v>1.333</v>
      </c>
      <c r="F1127" s="3">
        <v>9.3289959750786497</v>
      </c>
      <c r="G1127" s="3">
        <v>5.7408980442568298</v>
      </c>
      <c r="H1127" s="3">
        <v>14.3500923010099</v>
      </c>
      <c r="I1127" s="3">
        <v>7.52</v>
      </c>
      <c r="J1127" s="5"/>
      <c r="K1127" s="3">
        <v>10.4631478713977</v>
      </c>
      <c r="L1127" s="3">
        <v>0.98099999999999998</v>
      </c>
      <c r="M1127" s="3">
        <v>0.42199999999999999</v>
      </c>
      <c r="N1127" s="3">
        <v>0.25900000000000001</v>
      </c>
      <c r="O1127" s="3">
        <v>2.1999999999999999E-2</v>
      </c>
      <c r="P1127" s="3">
        <v>1.6E-2</v>
      </c>
      <c r="Q1127" s="3"/>
    </row>
    <row r="1128" spans="1:17" x14ac:dyDescent="0.25">
      <c r="A1128" s="3" t="s">
        <v>182</v>
      </c>
      <c r="B1128" s="3" t="s">
        <v>41</v>
      </c>
      <c r="C1128" s="3">
        <v>2015</v>
      </c>
      <c r="D1128" s="3">
        <v>5.3319999999999999</v>
      </c>
      <c r="E1128" s="3">
        <v>1.06098</v>
      </c>
      <c r="F1128" s="3">
        <v>7.6708498001098597</v>
      </c>
      <c r="G1128" s="3">
        <v>1.3243279457092201</v>
      </c>
      <c r="H1128" s="3">
        <v>11.1461133956909</v>
      </c>
      <c r="I1128" s="3">
        <v>8.0357675552368093</v>
      </c>
      <c r="J1128" s="3">
        <v>5.2828888893127397</v>
      </c>
      <c r="K1128" s="3">
        <v>7.8445184877323699</v>
      </c>
      <c r="L1128" s="3">
        <v>0.94632000000000005</v>
      </c>
      <c r="M1128" s="3">
        <v>0.73172000000000004</v>
      </c>
      <c r="N1128" s="3">
        <v>0.22814999999999999</v>
      </c>
      <c r="O1128" s="3">
        <v>0.12253</v>
      </c>
      <c r="P1128" s="3">
        <v>0.15745999999999999</v>
      </c>
      <c r="Q1128" s="3"/>
    </row>
    <row r="1129" spans="1:17" x14ac:dyDescent="0.25">
      <c r="A1129" s="3" t="s">
        <v>182</v>
      </c>
      <c r="B1129" s="3" t="s">
        <v>41</v>
      </c>
      <c r="C1129" s="3">
        <v>2016</v>
      </c>
      <c r="D1129" s="3">
        <v>5.3890000000000002</v>
      </c>
      <c r="E1129" s="3">
        <v>1.16492</v>
      </c>
      <c r="F1129" s="3">
        <v>7.7751312255859304</v>
      </c>
      <c r="G1129" s="3">
        <v>6.6054873466491699</v>
      </c>
      <c r="H1129" s="3">
        <v>5.7874279022216797</v>
      </c>
      <c r="I1129" s="3">
        <v>8.4736862182617099</v>
      </c>
      <c r="J1129" s="3">
        <v>4.29803037643432</v>
      </c>
      <c r="K1129" s="3">
        <v>8.1308991149286403</v>
      </c>
      <c r="L1129" s="3">
        <v>0.87717000000000001</v>
      </c>
      <c r="M1129" s="3">
        <v>0.64717999999999998</v>
      </c>
      <c r="N1129" s="3">
        <v>0.23888999999999999</v>
      </c>
      <c r="O1129" s="3">
        <v>4.7070000000000001E-2</v>
      </c>
      <c r="P1129" s="3">
        <v>0.12348000000000001</v>
      </c>
      <c r="Q1129" s="3"/>
    </row>
    <row r="1130" spans="1:17" x14ac:dyDescent="0.25">
      <c r="A1130" s="3" t="s">
        <v>182</v>
      </c>
      <c r="B1130" s="3" t="s">
        <v>41</v>
      </c>
      <c r="C1130" s="3">
        <v>2017</v>
      </c>
      <c r="D1130" s="3">
        <v>5.5</v>
      </c>
      <c r="E1130" s="3">
        <v>1.1982743739999999</v>
      </c>
      <c r="F1130" s="3">
        <v>11.144</v>
      </c>
      <c r="G1130" s="3">
        <v>7.57295322418212</v>
      </c>
      <c r="H1130" s="3">
        <v>12.6994199752807</v>
      </c>
      <c r="I1130" s="3">
        <v>10.0858192443847</v>
      </c>
      <c r="J1130" s="3">
        <v>15.822638511657701</v>
      </c>
      <c r="K1130" s="3">
        <v>10.982040919881801</v>
      </c>
      <c r="L1130" s="3">
        <v>1.337753177</v>
      </c>
      <c r="M1130" s="3">
        <v>0.63760560799999999</v>
      </c>
      <c r="N1130" s="3">
        <v>0.30074060000000002</v>
      </c>
      <c r="O1130" s="3">
        <v>4.6693041999999997E-2</v>
      </c>
      <c r="P1130" s="3">
        <v>9.9671579999999996E-2</v>
      </c>
      <c r="Q1130" s="3"/>
    </row>
    <row r="1131" spans="1:17" x14ac:dyDescent="0.25">
      <c r="A1131" s="3" t="s">
        <v>182</v>
      </c>
      <c r="B1131" s="3" t="s">
        <v>41</v>
      </c>
      <c r="C1131" s="3">
        <v>2018</v>
      </c>
      <c r="D1131" s="3">
        <v>5.4829999999999997</v>
      </c>
      <c r="E1131" s="3">
        <v>1.1479999999999999</v>
      </c>
      <c r="F1131" s="3">
        <v>16.329999999999998</v>
      </c>
      <c r="G1131" s="3">
        <v>11.972840309143001</v>
      </c>
      <c r="H1131" s="3">
        <v>17.962415695190401</v>
      </c>
      <c r="I1131" s="3">
        <v>16.4620151519775</v>
      </c>
      <c r="J1131" s="3">
        <v>27.009084701538001</v>
      </c>
      <c r="K1131" s="3">
        <v>16.4851433952199</v>
      </c>
      <c r="L1131" s="3">
        <v>1.38</v>
      </c>
      <c r="M1131" s="3">
        <v>0.68600000000000005</v>
      </c>
      <c r="N1131" s="3">
        <v>0.32400000000000001</v>
      </c>
      <c r="O1131" s="3">
        <v>0.106</v>
      </c>
      <c r="P1131" s="3">
        <v>0.109</v>
      </c>
      <c r="Q1131" s="3"/>
    </row>
    <row r="1132" spans="1:17" x14ac:dyDescent="0.25">
      <c r="A1132" s="3" t="s">
        <v>182</v>
      </c>
      <c r="B1132" s="3" t="s">
        <v>41</v>
      </c>
      <c r="C1132" s="3">
        <v>2019</v>
      </c>
      <c r="D1132" s="3">
        <v>5.3730000000000002</v>
      </c>
      <c r="E1132" s="3">
        <v>1.1830000000000001</v>
      </c>
      <c r="F1132" s="3">
        <v>15.1770000457763</v>
      </c>
      <c r="G1132" s="3">
        <v>7.9164624214172301</v>
      </c>
      <c r="H1132" s="3">
        <v>19.535818099975501</v>
      </c>
      <c r="I1132" s="3">
        <v>13.447893142700099</v>
      </c>
      <c r="J1132" s="3">
        <v>17.5632419586181</v>
      </c>
      <c r="K1132" s="3">
        <v>13.906359515910401</v>
      </c>
      <c r="L1132" s="3">
        <v>1.36</v>
      </c>
      <c r="M1132" s="3">
        <v>0.80800000000000005</v>
      </c>
      <c r="N1132" s="3">
        <v>0.19500000000000001</v>
      </c>
      <c r="O1132" s="3">
        <v>8.3000000000000004E-2</v>
      </c>
      <c r="P1132" s="3">
        <v>0.106</v>
      </c>
      <c r="Q1132" s="3"/>
    </row>
    <row r="1133" spans="1:17" x14ac:dyDescent="0.25">
      <c r="A1133" s="3" t="s">
        <v>182</v>
      </c>
      <c r="B1133" s="3" t="s">
        <v>41</v>
      </c>
      <c r="C1133" s="3">
        <v>2020</v>
      </c>
      <c r="D1133" s="3">
        <v>5.1318001750000004</v>
      </c>
      <c r="E1133" s="3">
        <v>1.127169251</v>
      </c>
      <c r="F1133" s="3">
        <v>12.279</v>
      </c>
      <c r="G1133" s="3">
        <v>12.395369152006401</v>
      </c>
      <c r="H1133" s="3">
        <v>13.848995208740201</v>
      </c>
      <c r="I1133" s="3">
        <v>11.192955017089799</v>
      </c>
      <c r="J1133" s="3">
        <v>12.138399823149699</v>
      </c>
      <c r="K1133" s="3">
        <v>14.701502639772499</v>
      </c>
      <c r="L1133" s="3">
        <v>1.197159171</v>
      </c>
      <c r="M1133" s="3">
        <v>0.78133529400000001</v>
      </c>
      <c r="N1133" s="3">
        <v>0.25440076</v>
      </c>
      <c r="O1133" s="3">
        <v>8.5885568999999995E-2</v>
      </c>
      <c r="P1133" s="3">
        <v>0.120983243</v>
      </c>
      <c r="Q1133" s="3"/>
    </row>
    <row r="1134" spans="1:17" x14ac:dyDescent="0.25">
      <c r="A1134" s="3" t="s">
        <v>182</v>
      </c>
      <c r="B1134" s="3" t="s">
        <v>41</v>
      </c>
      <c r="C1134" s="3">
        <v>2021</v>
      </c>
      <c r="D1134" s="3">
        <v>4.9480000000000004</v>
      </c>
      <c r="E1134" s="3">
        <v>1.26</v>
      </c>
      <c r="F1134" s="3">
        <v>19.596489999999999</v>
      </c>
      <c r="G1134" s="3">
        <v>21.741119999999999</v>
      </c>
      <c r="H1134" s="3">
        <v>24.28</v>
      </c>
      <c r="I1134" s="3">
        <v>18.283493163541401</v>
      </c>
      <c r="J1134" s="3">
        <v>43.857828101492203</v>
      </c>
      <c r="K1134" s="3">
        <v>28.9505861055084</v>
      </c>
      <c r="L1134" s="3">
        <v>0.80900000000000005</v>
      </c>
      <c r="M1134" s="3">
        <v>0.59</v>
      </c>
      <c r="N1134" s="3">
        <v>0.23599999999999999</v>
      </c>
      <c r="O1134" s="3">
        <v>9.7000000000000003E-2</v>
      </c>
      <c r="P1134" s="3">
        <v>0.104</v>
      </c>
      <c r="Q1134" s="3"/>
    </row>
    <row r="1135" spans="1:17" x14ac:dyDescent="0.25">
      <c r="A1135" s="3" t="s">
        <v>182</v>
      </c>
      <c r="B1135" s="3" t="s">
        <v>41</v>
      </c>
      <c r="C1135" s="3">
        <v>2022</v>
      </c>
      <c r="D1135" s="3">
        <v>4.7439999999999998</v>
      </c>
      <c r="E1135" s="3">
        <v>1.7070000000000001</v>
      </c>
      <c r="F1135" s="3">
        <v>72.308840000000004</v>
      </c>
      <c r="G1135" s="3">
        <v>126.90346907284</v>
      </c>
      <c r="H1135" s="3">
        <v>85.64528</v>
      </c>
      <c r="I1135" s="3">
        <v>58.612937812723302</v>
      </c>
      <c r="J1135" s="3">
        <v>128.473696462633</v>
      </c>
      <c r="K1135" s="3">
        <v>95.381408965856394</v>
      </c>
      <c r="L1135" s="3">
        <v>0.86499999999999999</v>
      </c>
      <c r="M1135" s="3">
        <v>0.70199999999999996</v>
      </c>
      <c r="N1135" s="3">
        <v>0.20899999999999999</v>
      </c>
      <c r="O1135" s="3">
        <v>8.6999999999999994E-2</v>
      </c>
      <c r="P1135" s="3">
        <v>0.115</v>
      </c>
      <c r="Q1135" s="3"/>
    </row>
    <row r="1136" spans="1:17" x14ac:dyDescent="0.25">
      <c r="A1136" s="3" t="s">
        <v>183</v>
      </c>
      <c r="B1136" s="3" t="s">
        <v>111</v>
      </c>
      <c r="C1136" s="3">
        <v>2015</v>
      </c>
      <c r="D1136" s="3">
        <v>5.548</v>
      </c>
      <c r="E1136" s="3">
        <v>0.95847000000000004</v>
      </c>
      <c r="F1136" s="3">
        <v>7.4050002098083496</v>
      </c>
      <c r="G1136" s="5"/>
      <c r="H1136" s="5"/>
      <c r="I1136" s="3">
        <v>7.3663349499999997</v>
      </c>
      <c r="J1136" s="5"/>
      <c r="K1136" s="3">
        <v>-5.11108725984759</v>
      </c>
      <c r="L1136" s="3">
        <v>1.22668</v>
      </c>
      <c r="M1136" s="3">
        <v>0.53886000000000001</v>
      </c>
      <c r="N1136" s="3">
        <v>0.47610000000000002</v>
      </c>
      <c r="O1136" s="3">
        <v>0.16979</v>
      </c>
      <c r="P1136" s="3">
        <v>0.30843999999999999</v>
      </c>
      <c r="Q1136" s="3"/>
    </row>
    <row r="1137" spans="1:17" x14ac:dyDescent="0.25">
      <c r="A1137" s="3" t="s">
        <v>183</v>
      </c>
      <c r="B1137" s="3" t="s">
        <v>111</v>
      </c>
      <c r="C1137" s="3">
        <v>2016</v>
      </c>
      <c r="D1137" s="3">
        <v>5.6580000000000004</v>
      </c>
      <c r="E1137" s="3">
        <v>1.0801700000000001</v>
      </c>
      <c r="F1137" s="3">
        <v>3.6459999084472599</v>
      </c>
      <c r="G1137" s="5"/>
      <c r="H1137" s="5"/>
      <c r="I1137" s="5"/>
      <c r="J1137" s="5"/>
      <c r="K1137" s="3">
        <v>-4.8653213887129301</v>
      </c>
      <c r="L1137" s="3">
        <v>1.03817</v>
      </c>
      <c r="M1137" s="3">
        <v>0.44006000000000001</v>
      </c>
      <c r="N1137" s="3">
        <v>0.37408000000000002</v>
      </c>
      <c r="O1137" s="3">
        <v>0.22567000000000001</v>
      </c>
      <c r="P1137" s="3">
        <v>0.28466999999999998</v>
      </c>
      <c r="Q1137" s="3"/>
    </row>
    <row r="1138" spans="1:17" x14ac:dyDescent="0.25">
      <c r="A1138" s="3" t="s">
        <v>183</v>
      </c>
      <c r="B1138" s="3" t="s">
        <v>111</v>
      </c>
      <c r="C1138" s="3">
        <v>2017</v>
      </c>
      <c r="D1138" s="3">
        <v>5.8220000269999996</v>
      </c>
      <c r="E1138" s="3">
        <v>1.1307767630000001</v>
      </c>
      <c r="F1138" s="3">
        <v>8.0410000000000004</v>
      </c>
      <c r="G1138" s="5"/>
      <c r="H1138" s="5"/>
      <c r="I1138" s="5"/>
      <c r="J1138" s="5"/>
      <c r="K1138" s="3">
        <v>-1.4687698161065199</v>
      </c>
      <c r="L1138" s="3">
        <v>1.4931491610000001</v>
      </c>
      <c r="M1138" s="3">
        <v>0.43772608000000002</v>
      </c>
      <c r="N1138" s="3">
        <v>0.41827192899999999</v>
      </c>
      <c r="O1138" s="3">
        <v>0.24992498799999999</v>
      </c>
      <c r="P1138" s="3">
        <v>0.25927033999999999</v>
      </c>
      <c r="Q1138" s="3"/>
    </row>
    <row r="1139" spans="1:17" x14ac:dyDescent="0.25">
      <c r="A1139" s="3" t="s">
        <v>183</v>
      </c>
      <c r="B1139" s="3" t="s">
        <v>111</v>
      </c>
      <c r="C1139" s="3">
        <v>2018</v>
      </c>
      <c r="D1139" s="3">
        <v>5.6360000000000001</v>
      </c>
      <c r="E1139" s="3">
        <v>1.016</v>
      </c>
      <c r="F1139" s="3">
        <v>13.3</v>
      </c>
      <c r="G1139" s="5"/>
      <c r="H1139" s="5"/>
      <c r="I1139" s="5"/>
      <c r="J1139" s="5"/>
      <c r="K1139" s="3">
        <v>1.2099077284465101</v>
      </c>
      <c r="L1139" s="3">
        <v>1.5329999999999999</v>
      </c>
      <c r="M1139" s="3">
        <v>0.51700000000000002</v>
      </c>
      <c r="N1139" s="3">
        <v>0.41699999999999998</v>
      </c>
      <c r="O1139" s="3">
        <v>0.19900000000000001</v>
      </c>
      <c r="P1139" s="3">
        <v>3.6999999999999998E-2</v>
      </c>
      <c r="Q1139" s="3"/>
    </row>
    <row r="1140" spans="1:17" x14ac:dyDescent="0.25">
      <c r="A1140" s="3" t="s">
        <v>183</v>
      </c>
      <c r="B1140" s="3" t="s">
        <v>111</v>
      </c>
      <c r="C1140" s="3">
        <v>2019</v>
      </c>
      <c r="D1140" s="3">
        <v>5.2469999999999999</v>
      </c>
      <c r="E1140" s="3">
        <v>1.052</v>
      </c>
      <c r="F1140" s="3">
        <v>5.0920000076293901</v>
      </c>
      <c r="G1140" s="5"/>
      <c r="H1140" s="5"/>
      <c r="I1140" s="5"/>
      <c r="J1140" s="5"/>
      <c r="K1140" s="3">
        <v>4.3509709007956197</v>
      </c>
      <c r="L1140" s="3">
        <v>1.538</v>
      </c>
      <c r="M1140" s="3">
        <v>0.65700000000000003</v>
      </c>
      <c r="N1140" s="3">
        <v>0.39400000000000002</v>
      </c>
      <c r="O1140" s="3">
        <v>0.24399999999999999</v>
      </c>
      <c r="P1140" s="3">
        <v>2.8000000000000001E-2</v>
      </c>
      <c r="Q1140" s="3"/>
    </row>
    <row r="1141" spans="1:17" x14ac:dyDescent="0.25">
      <c r="A1141" s="3" t="s">
        <v>183</v>
      </c>
      <c r="B1141" s="3" t="s">
        <v>111</v>
      </c>
      <c r="C1141" s="3">
        <v>2020</v>
      </c>
      <c r="D1141" s="3">
        <v>5.1191000940000002</v>
      </c>
      <c r="E1141" s="3">
        <v>1.0089635850000001</v>
      </c>
      <c r="F1141" s="3">
        <v>7.5830000000000002</v>
      </c>
      <c r="G1141" s="5"/>
      <c r="H1141" s="5"/>
      <c r="I1141" s="5"/>
      <c r="J1141" s="5"/>
      <c r="K1141" s="3">
        <v>3.8801081616330801</v>
      </c>
      <c r="L1141" s="3">
        <v>1.5104769469999999</v>
      </c>
      <c r="M1141" s="3">
        <v>0.61244803699999995</v>
      </c>
      <c r="N1141" s="3">
        <v>0.515236676</v>
      </c>
      <c r="O1141" s="3">
        <v>0.32312932599999999</v>
      </c>
      <c r="P1141" s="3">
        <v>3.3503890000000001E-2</v>
      </c>
      <c r="Q1141" s="3"/>
    </row>
    <row r="1142" spans="1:17" x14ac:dyDescent="0.25">
      <c r="A1142" s="3" t="s">
        <v>183</v>
      </c>
      <c r="B1142" s="3" t="s">
        <v>111</v>
      </c>
      <c r="C1142" s="3">
        <v>2021</v>
      </c>
      <c r="D1142" s="3">
        <v>5.0659999999999998</v>
      </c>
      <c r="E1142" s="3">
        <v>1.046</v>
      </c>
      <c r="F1142" s="3">
        <v>14.95</v>
      </c>
      <c r="G1142" s="5"/>
      <c r="H1142" s="5"/>
      <c r="I1142" s="5"/>
      <c r="J1142" s="5"/>
      <c r="K1142" s="3">
        <v>11.785773827660099</v>
      </c>
      <c r="L1142" s="3">
        <v>1.1719999999999999</v>
      </c>
      <c r="M1142" s="3">
        <v>0.439</v>
      </c>
      <c r="N1142" s="3">
        <v>0.60199999999999998</v>
      </c>
      <c r="O1142" s="3">
        <v>0.36599999999999999</v>
      </c>
      <c r="P1142" s="3">
        <v>3.3000000000000002E-2</v>
      </c>
      <c r="Q1142" s="3"/>
    </row>
    <row r="1143" spans="1:17" x14ac:dyDescent="0.25">
      <c r="A1143" s="3" t="s">
        <v>183</v>
      </c>
      <c r="B1143" s="3" t="s">
        <v>111</v>
      </c>
      <c r="C1143" s="3">
        <v>2022</v>
      </c>
      <c r="D1143" s="3">
        <v>5.4740000000000002</v>
      </c>
      <c r="E1143" s="3">
        <v>1.484</v>
      </c>
      <c r="F1143" s="3">
        <v>11.476000000000001</v>
      </c>
      <c r="G1143" s="5"/>
      <c r="H1143" s="5"/>
      <c r="I1143" s="5"/>
      <c r="J1143" s="5"/>
      <c r="K1143" s="3">
        <v>15.660392544641301</v>
      </c>
      <c r="L1143" s="3">
        <v>1.319</v>
      </c>
      <c r="M1143" s="3">
        <v>0.51600000000000001</v>
      </c>
      <c r="N1143" s="3">
        <v>0.64900000000000002</v>
      </c>
      <c r="O1143" s="3">
        <v>0.314</v>
      </c>
      <c r="P1143" s="3">
        <v>3.2000000000000001E-2</v>
      </c>
      <c r="Q1143" s="3"/>
    </row>
    <row r="1144" spans="1:17" x14ac:dyDescent="0.25">
      <c r="A1144" s="3" t="s">
        <v>184</v>
      </c>
      <c r="B1144" s="3" t="s">
        <v>43</v>
      </c>
      <c r="C1144" s="3">
        <v>2015</v>
      </c>
      <c r="D1144" s="3">
        <v>3.931</v>
      </c>
      <c r="E1144" s="3">
        <v>0.21102000000000001</v>
      </c>
      <c r="F1144" s="3">
        <v>3.6902787685394198</v>
      </c>
      <c r="G1144" s="3">
        <v>115.83000183105401</v>
      </c>
      <c r="H1144" s="3">
        <v>7.4310598373412997</v>
      </c>
      <c r="I1144" s="3">
        <v>4.2129554748535103</v>
      </c>
      <c r="J1144" s="5"/>
      <c r="K1144" s="3">
        <v>-1.6285557338733101</v>
      </c>
      <c r="L1144" s="3">
        <v>1.1329899999999999</v>
      </c>
      <c r="M1144" s="3">
        <v>0.33861000000000002</v>
      </c>
      <c r="N1144" s="3">
        <v>0.45727000000000001</v>
      </c>
      <c r="O1144" s="3">
        <v>0.29065999999999997</v>
      </c>
      <c r="P1144" s="3">
        <v>7.2669999999999998E-2</v>
      </c>
    </row>
    <row r="1145" spans="1:17" x14ac:dyDescent="0.25">
      <c r="A1145" s="3" t="s">
        <v>184</v>
      </c>
      <c r="B1145" s="3" t="s">
        <v>43</v>
      </c>
      <c r="C1145" s="3">
        <v>2016</v>
      </c>
      <c r="D1145" s="3">
        <v>3.7389999999999999</v>
      </c>
      <c r="E1145" s="3">
        <v>0.34719</v>
      </c>
      <c r="F1145" s="3">
        <v>5.1688776016235298</v>
      </c>
      <c r="G1145" s="3">
        <v>35.049999237060497</v>
      </c>
      <c r="H1145" s="3">
        <v>5.5312175750732404</v>
      </c>
      <c r="I1145" s="3">
        <v>5.6140589714050204</v>
      </c>
      <c r="J1145" s="5"/>
      <c r="K1145" s="3">
        <v>9.0495012646308393</v>
      </c>
      <c r="L1145" s="3">
        <v>0.90981000000000001</v>
      </c>
      <c r="M1145" s="3">
        <v>0.19625000000000001</v>
      </c>
      <c r="N1145" s="3">
        <v>0.43652999999999997</v>
      </c>
      <c r="O1145" s="3">
        <v>0.27101999999999998</v>
      </c>
      <c r="P1145" s="3">
        <v>6.4420000000000005E-2</v>
      </c>
      <c r="Q1145" s="3"/>
    </row>
    <row r="1146" spans="1:17" x14ac:dyDescent="0.25">
      <c r="A1146" s="3" t="s">
        <v>184</v>
      </c>
      <c r="B1146" s="3" t="s">
        <v>43</v>
      </c>
      <c r="C1146" s="3">
        <v>2017</v>
      </c>
      <c r="D1146" s="3">
        <v>4.0809998509999996</v>
      </c>
      <c r="E1146" s="3">
        <v>0.38143071499999998</v>
      </c>
      <c r="F1146" s="3">
        <v>5.6289999999999996</v>
      </c>
      <c r="G1146" s="3">
        <v>26.731287002563398</v>
      </c>
      <c r="H1146" s="3">
        <v>10.1009464263916</v>
      </c>
      <c r="I1146" s="3">
        <v>4.4455232620239196</v>
      </c>
      <c r="J1146" s="5"/>
      <c r="K1146" s="3">
        <v>1.8293907385838799</v>
      </c>
      <c r="L1146" s="3">
        <v>1.1298277379999999</v>
      </c>
      <c r="M1146" s="3">
        <v>0.21763260700000001</v>
      </c>
      <c r="N1146" s="3">
        <v>0.44318595500000002</v>
      </c>
      <c r="O1146" s="3">
        <v>0.325766057</v>
      </c>
      <c r="P1146" s="3">
        <v>5.7069718999999998E-2</v>
      </c>
      <c r="Q1146" s="3"/>
    </row>
    <row r="1147" spans="1:17" x14ac:dyDescent="0.25">
      <c r="A1147" s="3" t="s">
        <v>184</v>
      </c>
      <c r="B1147" s="3" t="s">
        <v>43</v>
      </c>
      <c r="C1147" s="3">
        <v>2018</v>
      </c>
      <c r="D1147" s="3">
        <v>4.1609999999999996</v>
      </c>
      <c r="E1147" s="3">
        <v>0.32200000000000001</v>
      </c>
      <c r="F1147" s="3">
        <v>2.62</v>
      </c>
      <c r="G1147" s="3">
        <v>6.8294162750244096</v>
      </c>
      <c r="H1147" s="3">
        <v>-1.1867650747299101</v>
      </c>
      <c r="I1147" s="3">
        <v>2.42414951324462</v>
      </c>
      <c r="J1147" s="3">
        <v>-1.7332414388656601</v>
      </c>
      <c r="K1147" s="3">
        <v>4.8028949496144602</v>
      </c>
      <c r="L1147" s="3">
        <v>1.0900000000000001</v>
      </c>
      <c r="M1147" s="3">
        <v>0.23699999999999999</v>
      </c>
      <c r="N1147" s="3">
        <v>0.45</v>
      </c>
      <c r="O1147" s="3">
        <v>0.25900000000000001</v>
      </c>
      <c r="P1147" s="3">
        <v>6.0999999999999999E-2</v>
      </c>
      <c r="Q1147" s="3"/>
    </row>
    <row r="1148" spans="1:17" x14ac:dyDescent="0.25">
      <c r="A1148" s="3" t="s">
        <v>184</v>
      </c>
      <c r="B1148" s="3" t="s">
        <v>43</v>
      </c>
      <c r="C1148" s="3">
        <v>2019</v>
      </c>
      <c r="D1148" s="3">
        <v>4.1890000000000001</v>
      </c>
      <c r="E1148" s="3">
        <v>0.33200000000000002</v>
      </c>
      <c r="F1148" s="3">
        <v>2.8699998855590798</v>
      </c>
      <c r="G1148" s="3">
        <v>7.9570569992065403</v>
      </c>
      <c r="H1148" s="3">
        <v>-0.20182591676712</v>
      </c>
      <c r="I1148" s="3">
        <v>3.5945463180541899</v>
      </c>
      <c r="J1148" s="3">
        <v>-2.5446705818176198</v>
      </c>
      <c r="K1148" s="3">
        <v>1.5420222224312901</v>
      </c>
      <c r="L1148" s="3">
        <v>1.069</v>
      </c>
      <c r="M1148" s="3">
        <v>0.443</v>
      </c>
      <c r="N1148" s="3">
        <v>0.35599999999999998</v>
      </c>
      <c r="O1148" s="3">
        <v>0.252</v>
      </c>
      <c r="P1148" s="3">
        <v>0.06</v>
      </c>
      <c r="Q1148" s="3"/>
    </row>
    <row r="1149" spans="1:17" x14ac:dyDescent="0.25">
      <c r="A1149" s="3" t="s">
        <v>184</v>
      </c>
      <c r="B1149" s="3" t="s">
        <v>43</v>
      </c>
      <c r="C1149" s="3">
        <v>2020</v>
      </c>
      <c r="D1149" s="3">
        <v>4.4320001600000003</v>
      </c>
      <c r="E1149" s="3">
        <v>0.31233742799999997</v>
      </c>
      <c r="F1149" s="3">
        <v>3.7944227490439899</v>
      </c>
      <c r="G1149" s="3">
        <v>4.04497269445962</v>
      </c>
      <c r="H1149" s="3">
        <v>1.76129138469696</v>
      </c>
      <c r="I1149" s="3">
        <v>3.2341947017714898</v>
      </c>
      <c r="J1149" s="3">
        <v>3.1819490397600898</v>
      </c>
      <c r="K1149" s="3">
        <v>4.3427099547846604</v>
      </c>
      <c r="L1149" s="3">
        <v>1.052327394</v>
      </c>
      <c r="M1149" s="3">
        <v>0.37831166399999999</v>
      </c>
      <c r="N1149" s="3">
        <v>0.40168255600000002</v>
      </c>
      <c r="O1149" s="3">
        <v>0.26480737300000001</v>
      </c>
      <c r="P1149" s="3">
        <v>6.3818842000000001E-2</v>
      </c>
      <c r="Q1149" s="3"/>
    </row>
    <row r="1150" spans="1:17" x14ac:dyDescent="0.25">
      <c r="A1150" s="3" t="s">
        <v>184</v>
      </c>
      <c r="B1150" s="3" t="s">
        <v>43</v>
      </c>
      <c r="C1150" s="3">
        <v>2021</v>
      </c>
      <c r="D1150" s="3">
        <v>4.6360000000000001</v>
      </c>
      <c r="E1150" s="3">
        <v>0.36399999999999999</v>
      </c>
      <c r="F1150" s="3">
        <v>2.20730089829381</v>
      </c>
      <c r="G1150" s="3">
        <v>-0.78843128372168703</v>
      </c>
      <c r="H1150" s="3">
        <v>0.66995382431268402</v>
      </c>
      <c r="I1150" s="3">
        <v>2.7655331654072102</v>
      </c>
      <c r="J1150" s="3">
        <v>13.1522385329492</v>
      </c>
      <c r="K1150" s="3">
        <v>2.5451192961930502</v>
      </c>
      <c r="L1150" s="3">
        <v>0.71799999999999997</v>
      </c>
      <c r="M1150" s="3">
        <v>0.24</v>
      </c>
      <c r="N1150" s="3">
        <v>0.39800000000000002</v>
      </c>
      <c r="O1150" s="3">
        <v>0.26700000000000002</v>
      </c>
      <c r="P1150" s="3">
        <v>5.3999999999999999E-2</v>
      </c>
      <c r="Q1150" s="3"/>
    </row>
    <row r="1151" spans="1:17" x14ac:dyDescent="0.25">
      <c r="A1151" s="3" t="s">
        <v>184</v>
      </c>
      <c r="B1151" s="3" t="s">
        <v>43</v>
      </c>
      <c r="C1151" s="3">
        <v>2022</v>
      </c>
      <c r="D1151" s="3">
        <v>4.6029999999999998</v>
      </c>
      <c r="E1151" s="3">
        <v>0.77700000000000002</v>
      </c>
      <c r="F1151" s="3">
        <v>7.1957888597580597</v>
      </c>
      <c r="G1151" s="3">
        <v>3.9426461111106699</v>
      </c>
      <c r="H1151" s="3">
        <v>11.5193539825946</v>
      </c>
      <c r="I1151" s="3">
        <v>5.9851756740982802</v>
      </c>
      <c r="J1151" s="3">
        <v>16.148365713615199</v>
      </c>
      <c r="K1151" s="3">
        <v>9.0115644774165506</v>
      </c>
      <c r="L1151" s="3">
        <v>0.875</v>
      </c>
      <c r="M1151" s="3">
        <v>0.41799999999999998</v>
      </c>
      <c r="N1151" s="3">
        <v>0.40200000000000002</v>
      </c>
      <c r="O1151" s="3">
        <v>0.222</v>
      </c>
      <c r="P1151" s="3">
        <v>6.6000000000000003E-2</v>
      </c>
      <c r="Q1151" s="3"/>
    </row>
    <row r="1152" spans="1:17" x14ac:dyDescent="0.25">
      <c r="A1152" s="3" t="s">
        <v>184</v>
      </c>
      <c r="B1152" s="3" t="s">
        <v>43</v>
      </c>
      <c r="C1152" s="3">
        <v>2023</v>
      </c>
      <c r="D1152" s="3">
        <v>4.4320000000000004</v>
      </c>
      <c r="E1152" s="3">
        <v>0.78500000000000003</v>
      </c>
      <c r="F1152" s="3">
        <v>5.3509480428039504</v>
      </c>
      <c r="G1152" s="5"/>
      <c r="H1152" s="3">
        <v>10.5578736742902</v>
      </c>
      <c r="I1152" s="3">
        <v>4.71814990708239</v>
      </c>
      <c r="J1152" s="3">
        <v>4.7951576146402699</v>
      </c>
      <c r="K1152" s="3">
        <v>13.3681017014652</v>
      </c>
      <c r="L1152" s="3">
        <v>1.1439999999999999</v>
      </c>
      <c r="M1152" s="3">
        <v>0.20100000000000001</v>
      </c>
      <c r="N1152" s="3">
        <v>0.42499999999999999</v>
      </c>
      <c r="O1152" s="3">
        <v>0.19700000000000001</v>
      </c>
      <c r="P1152" s="3">
        <v>5.0999999999999997E-2</v>
      </c>
      <c r="Q1152" s="3"/>
    </row>
    <row r="1153" spans="1:17" x14ac:dyDescent="0.25">
      <c r="A1153" s="3" t="s">
        <v>185</v>
      </c>
      <c r="B1153" s="3" t="s">
        <v>39</v>
      </c>
      <c r="C1153" s="3">
        <v>2015</v>
      </c>
      <c r="D1153" s="3">
        <v>4.681</v>
      </c>
      <c r="E1153" s="3">
        <v>0.79906999999999995</v>
      </c>
      <c r="F1153" s="3">
        <v>48.567359924316399</v>
      </c>
      <c r="G1153" s="3">
        <v>8.1113367080688406</v>
      </c>
      <c r="H1153" s="3">
        <v>45.916831970214801</v>
      </c>
      <c r="I1153" s="3">
        <v>40.392887115478501</v>
      </c>
      <c r="J1153" s="3">
        <v>35.691741943359297</v>
      </c>
      <c r="K1153" s="3">
        <v>38.9044349721797</v>
      </c>
      <c r="L1153" s="3">
        <v>1.20278</v>
      </c>
      <c r="M1153" s="3">
        <v>0.67390000000000005</v>
      </c>
      <c r="N1153" s="3">
        <v>0.25123000000000001</v>
      </c>
      <c r="O1153" s="3">
        <v>0.15275</v>
      </c>
      <c r="P1153" s="3">
        <v>2.9610000000000001E-2</v>
      </c>
      <c r="Q1153" s="3"/>
    </row>
    <row r="1154" spans="1:17" x14ac:dyDescent="0.25">
      <c r="A1154" s="3" t="s">
        <v>185</v>
      </c>
      <c r="B1154" s="3" t="s">
        <v>39</v>
      </c>
      <c r="C1154" s="3">
        <v>2016</v>
      </c>
      <c r="D1154" s="3">
        <v>4.3239999999999998</v>
      </c>
      <c r="E1154" s="3">
        <v>0.87287000000000003</v>
      </c>
      <c r="F1154" s="3">
        <v>13.951966285705501</v>
      </c>
      <c r="G1154" s="3">
        <v>9.1985397338867099</v>
      </c>
      <c r="H1154" s="3">
        <v>8.9590120315551705</v>
      </c>
      <c r="I1154" s="3">
        <v>10.9970197677612</v>
      </c>
      <c r="J1154" s="3">
        <v>20.920976638793899</v>
      </c>
      <c r="K1154" s="3">
        <v>17.124819920589299</v>
      </c>
      <c r="L1154" s="3">
        <v>1.01413</v>
      </c>
      <c r="M1154" s="3">
        <v>0.58628000000000002</v>
      </c>
      <c r="N1154" s="3">
        <v>0.12859000000000001</v>
      </c>
      <c r="O1154" s="3">
        <v>0.20363000000000001</v>
      </c>
      <c r="P1154" s="3">
        <v>1.8290000000000001E-2</v>
      </c>
      <c r="Q1154" s="3"/>
    </row>
    <row r="1155" spans="1:17" x14ac:dyDescent="0.25">
      <c r="A1155" s="3" t="s">
        <v>185</v>
      </c>
      <c r="B1155" s="3" t="s">
        <v>39</v>
      </c>
      <c r="C1155" s="3">
        <v>2017</v>
      </c>
      <c r="D1155" s="3">
        <v>4.0960001950000002</v>
      </c>
      <c r="E1155" s="3">
        <v>0.894651949</v>
      </c>
      <c r="F1155" s="3">
        <v>14.443</v>
      </c>
      <c r="G1155" s="3">
        <v>8.5769176483154297</v>
      </c>
      <c r="H1155" s="3">
        <v>12.880007743835399</v>
      </c>
      <c r="I1155" s="3">
        <v>7.3262858390808097</v>
      </c>
      <c r="J1155" s="3">
        <v>26.4466152191162</v>
      </c>
      <c r="K1155" s="3">
        <v>22.040999999999901</v>
      </c>
      <c r="L1155" s="3">
        <v>1.3945375680000001</v>
      </c>
      <c r="M1155" s="3">
        <v>0.575903952</v>
      </c>
      <c r="N1155" s="3">
        <v>0.12297477599999999</v>
      </c>
      <c r="O1155" s="3">
        <v>0.270061463</v>
      </c>
      <c r="P1155" s="3">
        <v>2.3029470999999999E-2</v>
      </c>
      <c r="Q1155" s="3"/>
    </row>
    <row r="1156" spans="1:17" x14ac:dyDescent="0.25">
      <c r="A1156" s="3" t="s">
        <v>185</v>
      </c>
      <c r="B1156" s="3" t="s">
        <v>39</v>
      </c>
      <c r="C1156" s="3">
        <v>2018</v>
      </c>
      <c r="D1156" s="3">
        <v>4.1029999999999998</v>
      </c>
      <c r="E1156" s="3">
        <v>0.79300000000000004</v>
      </c>
      <c r="F1156" s="3">
        <v>10.94</v>
      </c>
      <c r="G1156" s="3">
        <v>6.0632629394531197</v>
      </c>
      <c r="H1156" s="3">
        <v>11.148074150085399</v>
      </c>
      <c r="I1156" s="3">
        <v>9.091064453125</v>
      </c>
      <c r="J1156" s="3">
        <v>17.575410842895501</v>
      </c>
      <c r="K1156" s="3">
        <v>15.4357961668619</v>
      </c>
      <c r="L1156" s="3">
        <v>1.413</v>
      </c>
      <c r="M1156" s="3">
        <v>0.60899999999999999</v>
      </c>
      <c r="N1156" s="3">
        <v>0.16300000000000001</v>
      </c>
      <c r="O1156" s="3">
        <v>0.187</v>
      </c>
      <c r="P1156" s="3">
        <v>1.0999999999999999E-2</v>
      </c>
      <c r="Q1156" s="3"/>
    </row>
    <row r="1157" spans="1:17" x14ac:dyDescent="0.25">
      <c r="A1157" s="3" t="s">
        <v>185</v>
      </c>
      <c r="B1157" s="3" t="s">
        <v>39</v>
      </c>
      <c r="C1157" s="3">
        <v>2019</v>
      </c>
      <c r="D1157" s="3">
        <v>4.3319999999999999</v>
      </c>
      <c r="E1157" s="3">
        <v>0.82</v>
      </c>
      <c r="F1157" s="3">
        <v>7.8860001564025799</v>
      </c>
      <c r="G1157" s="3">
        <v>5.9095554351806596</v>
      </c>
      <c r="H1157" s="3">
        <v>8.0005264282226491</v>
      </c>
      <c r="I1157" s="3">
        <v>6.7707037925720197</v>
      </c>
      <c r="J1157" s="3">
        <v>4.1381268501281703</v>
      </c>
      <c r="K1157" s="3">
        <v>8.1296715621206808</v>
      </c>
      <c r="L1157" s="3">
        <v>1.39</v>
      </c>
      <c r="M1157" s="3">
        <v>0.73899999999999999</v>
      </c>
      <c r="N1157" s="3">
        <v>0.17799999999999999</v>
      </c>
      <c r="O1157" s="3">
        <v>0.187</v>
      </c>
      <c r="P1157" s="3">
        <v>0.01</v>
      </c>
      <c r="Q1157" s="3"/>
    </row>
    <row r="1158" spans="1:17" x14ac:dyDescent="0.25">
      <c r="A1158" s="3" t="s">
        <v>185</v>
      </c>
      <c r="B1158" s="3" t="s">
        <v>39</v>
      </c>
      <c r="C1158" s="3">
        <v>2020</v>
      </c>
      <c r="D1158" s="3">
        <v>4.5606999400000001</v>
      </c>
      <c r="E1158" s="3">
        <v>0.78043460799999997</v>
      </c>
      <c r="F1158" s="3">
        <v>2.7324920941944</v>
      </c>
      <c r="G1158" s="3">
        <v>-2.9844017671986398</v>
      </c>
      <c r="H1158" s="3">
        <v>2.74322485923767</v>
      </c>
      <c r="I1158" s="3">
        <v>3.3036220073699898</v>
      </c>
      <c r="J1158" s="3">
        <v>-1.8757380325188799</v>
      </c>
      <c r="K1158" s="3">
        <v>7.4475487750439804</v>
      </c>
      <c r="L1158" s="3">
        <v>1.321316481</v>
      </c>
      <c r="M1158" s="3">
        <v>0.69867438100000001</v>
      </c>
      <c r="N1158" s="3">
        <v>0.319423705</v>
      </c>
      <c r="O1158" s="3">
        <v>0.17855131599999999</v>
      </c>
      <c r="P1158" s="3">
        <v>9.6511600000000006E-3</v>
      </c>
      <c r="Q1158" s="3"/>
    </row>
    <row r="1159" spans="1:17" x14ac:dyDescent="0.25">
      <c r="A1159" s="3" t="s">
        <v>185</v>
      </c>
      <c r="B1159" s="3" t="s">
        <v>39</v>
      </c>
      <c r="C1159" s="3">
        <v>2021</v>
      </c>
      <c r="D1159" s="3">
        <v>4.875</v>
      </c>
      <c r="E1159" s="3">
        <v>0.97899999999999998</v>
      </c>
      <c r="F1159" s="3">
        <v>9.3606250357121397</v>
      </c>
      <c r="G1159" s="3">
        <v>23.16</v>
      </c>
      <c r="H1159" s="3">
        <v>10.79</v>
      </c>
      <c r="I1159" s="3">
        <v>6.86626134558378</v>
      </c>
      <c r="J1159" s="3">
        <v>40.823883360332999</v>
      </c>
      <c r="K1159" s="3">
        <v>25.059680456050501</v>
      </c>
      <c r="L1159" s="3">
        <v>0.95799999999999996</v>
      </c>
      <c r="M1159" s="3">
        <v>0.51700000000000002</v>
      </c>
      <c r="N1159" s="3">
        <v>0.41699999999999998</v>
      </c>
      <c r="O1159" s="3">
        <v>0.18099999999999999</v>
      </c>
      <c r="P1159" s="3">
        <v>0.01</v>
      </c>
      <c r="Q1159" s="3"/>
    </row>
    <row r="1160" spans="1:17" x14ac:dyDescent="0.25">
      <c r="A1160" s="3" t="s">
        <v>185</v>
      </c>
      <c r="B1160" s="3" t="s">
        <v>39</v>
      </c>
      <c r="C1160" s="3">
        <v>2022</v>
      </c>
      <c r="D1160" s="3">
        <v>5.0839999999999996</v>
      </c>
      <c r="E1160" s="3">
        <v>1.411</v>
      </c>
      <c r="F1160" s="3">
        <v>20.183636661747901</v>
      </c>
      <c r="G1160" s="3">
        <v>5.0800478493789099</v>
      </c>
      <c r="H1160" s="3">
        <v>24.405750743217499</v>
      </c>
      <c r="I1160" s="3">
        <v>16.0110269485468</v>
      </c>
      <c r="J1160" s="3">
        <v>61.047108865117103</v>
      </c>
      <c r="K1160" s="3">
        <v>34.641148899651299</v>
      </c>
      <c r="L1160" s="3">
        <v>1.081</v>
      </c>
      <c r="M1160" s="3">
        <v>0.58299999999999996</v>
      </c>
      <c r="N1160" s="3">
        <v>0.47299999999999998</v>
      </c>
      <c r="O1160" s="3">
        <v>0.188</v>
      </c>
      <c r="P1160" s="3">
        <v>1.7000000000000001E-2</v>
      </c>
      <c r="Q1160" s="3"/>
    </row>
    <row r="1161" spans="1:17" x14ac:dyDescent="0.25">
      <c r="A1161" s="3" t="s">
        <v>185</v>
      </c>
      <c r="B1161" s="3" t="s">
        <v>39</v>
      </c>
      <c r="C1161" s="3">
        <v>2023</v>
      </c>
      <c r="D1161" s="3">
        <v>5.0709999999999997</v>
      </c>
      <c r="E1161" s="3">
        <v>1.3580000000000001</v>
      </c>
      <c r="F1161" s="3">
        <v>12.8490222828559</v>
      </c>
      <c r="G1161" s="3">
        <v>9.9084222321995892</v>
      </c>
      <c r="H1161" s="3">
        <v>14.720171006607</v>
      </c>
      <c r="I1161" s="3">
        <v>12.933346108413801</v>
      </c>
      <c r="J1161" s="5"/>
      <c r="K1161" s="3">
        <v>20.218954118951601</v>
      </c>
      <c r="L1161" s="3">
        <v>1.3540000000000001</v>
      </c>
      <c r="M1161" s="3">
        <v>0.35499999999999998</v>
      </c>
      <c r="N1161" s="3">
        <v>0.55100000000000005</v>
      </c>
      <c r="O1161" s="3">
        <v>0.26500000000000001</v>
      </c>
      <c r="P1161" s="3">
        <v>1.6E-2</v>
      </c>
      <c r="Q1161" s="3"/>
    </row>
    <row r="1162" spans="1:17" x14ac:dyDescent="0.25">
      <c r="A1162" s="3" t="s">
        <v>186</v>
      </c>
      <c r="B1162" s="3" t="s">
        <v>41</v>
      </c>
      <c r="C1162" s="3">
        <v>2015</v>
      </c>
      <c r="D1162" s="3">
        <v>6.9009999999999998</v>
      </c>
      <c r="E1162" s="3">
        <v>1.42727</v>
      </c>
      <c r="F1162" s="3">
        <v>4.0671319961547798</v>
      </c>
      <c r="G1162" s="3">
        <v>8.8098249435424805</v>
      </c>
      <c r="H1162" s="3">
        <v>1.23751604557037</v>
      </c>
      <c r="I1162" s="5"/>
      <c r="J1162" s="5"/>
      <c r="K1162" s="3">
        <v>-15.4791652002533</v>
      </c>
      <c r="L1162" s="3">
        <v>1.12575</v>
      </c>
      <c r="M1162" s="3">
        <v>0.80925000000000002</v>
      </c>
      <c r="N1162" s="3">
        <v>0.64156999999999997</v>
      </c>
      <c r="O1162" s="3">
        <v>0.26428000000000001</v>
      </c>
      <c r="P1162" s="3">
        <v>0.38583000000000001</v>
      </c>
      <c r="Q1162" s="3"/>
    </row>
    <row r="1163" spans="1:17" x14ac:dyDescent="0.25">
      <c r="A1163" s="3" t="s">
        <v>186</v>
      </c>
      <c r="B1163" s="3" t="s">
        <v>41</v>
      </c>
      <c r="C1163" s="3">
        <v>2016</v>
      </c>
      <c r="D1163" s="3">
        <v>6.5730000000000004</v>
      </c>
      <c r="E1163" s="3">
        <v>1.57352</v>
      </c>
      <c r="F1163" s="3">
        <v>1.6197954416275</v>
      </c>
      <c r="G1163" s="3">
        <v>3.55746102333068</v>
      </c>
      <c r="H1163" s="3">
        <v>1.00837409496307</v>
      </c>
      <c r="I1163" s="5"/>
      <c r="J1163" s="5"/>
      <c r="K1163" s="3">
        <v>-3.2645243225799598</v>
      </c>
      <c r="L1163" s="3">
        <v>0.87114000000000003</v>
      </c>
      <c r="M1163" s="3">
        <v>0.72992999999999997</v>
      </c>
      <c r="N1163" s="3">
        <v>0.56215000000000004</v>
      </c>
      <c r="O1163" s="3">
        <v>0.26590999999999998</v>
      </c>
      <c r="P1163" s="3">
        <v>0.35560999999999998</v>
      </c>
      <c r="Q1163" s="3"/>
    </row>
    <row r="1164" spans="1:17" x14ac:dyDescent="0.25">
      <c r="A1164" s="3" t="s">
        <v>186</v>
      </c>
      <c r="B1164" s="3" t="s">
        <v>41</v>
      </c>
      <c r="C1164" s="3">
        <v>2017</v>
      </c>
      <c r="D1164" s="3">
        <v>6.6479997629999996</v>
      </c>
      <c r="E1164" s="3">
        <v>1.626343369</v>
      </c>
      <c r="F1164" s="3">
        <v>1.9670000000000001</v>
      </c>
      <c r="G1164" s="3">
        <v>0.87470781803131104</v>
      </c>
      <c r="H1164" s="3">
        <v>1.2012248039245601</v>
      </c>
      <c r="I1164" s="5"/>
      <c r="J1164" s="5"/>
      <c r="K1164" s="3">
        <v>5.4946355741603501</v>
      </c>
      <c r="L1164" s="3">
        <v>1.2664102319999999</v>
      </c>
      <c r="M1164" s="3">
        <v>0.72679823600000004</v>
      </c>
      <c r="N1164" s="3">
        <v>0.60834527000000005</v>
      </c>
      <c r="O1164" s="3">
        <v>0.36094194699999999</v>
      </c>
      <c r="P1164" s="3">
        <v>0.32448956400000001</v>
      </c>
      <c r="Q1164" s="3"/>
    </row>
    <row r="1165" spans="1:17" x14ac:dyDescent="0.25">
      <c r="A1165" s="3" t="s">
        <v>186</v>
      </c>
      <c r="B1165" s="3" t="s">
        <v>41</v>
      </c>
      <c r="C1165" s="3">
        <v>2018</v>
      </c>
      <c r="D1165" s="3">
        <v>6.774</v>
      </c>
      <c r="E1165" s="3">
        <v>2.0960000000000001</v>
      </c>
      <c r="F1165" s="3">
        <v>3.06</v>
      </c>
      <c r="G1165" s="3">
        <v>-3.0932097434997501</v>
      </c>
      <c r="H1165" s="3">
        <v>3.5359370708465501</v>
      </c>
      <c r="I1165" s="5"/>
      <c r="J1165" s="5"/>
      <c r="K1165" s="3">
        <v>8.2064202870461997</v>
      </c>
      <c r="L1165" s="3">
        <v>0.77600000000000002</v>
      </c>
      <c r="M1165" s="3">
        <v>0.67</v>
      </c>
      <c r="N1165" s="3">
        <v>0.28399999999999997</v>
      </c>
      <c r="O1165" s="3">
        <v>0.186</v>
      </c>
      <c r="P1165" s="5"/>
      <c r="Q1165" s="3"/>
    </row>
    <row r="1166" spans="1:17" x14ac:dyDescent="0.25">
      <c r="A1166" s="3" t="s">
        <v>186</v>
      </c>
      <c r="B1166" s="3" t="s">
        <v>41</v>
      </c>
      <c r="C1166" s="3">
        <v>2019</v>
      </c>
      <c r="D1166" s="3">
        <v>6.8250000000000002</v>
      </c>
      <c r="E1166" s="3">
        <v>1.5029999999999999</v>
      </c>
      <c r="F1166" s="3">
        <v>-1.9309999942779501</v>
      </c>
      <c r="G1166" s="3">
        <v>-5.1975555419921804</v>
      </c>
      <c r="H1166" s="3">
        <v>-1.3906496763229299</v>
      </c>
      <c r="I1166" s="5"/>
      <c r="J1166" s="5"/>
      <c r="K1166" s="3">
        <v>-1.89954561737589</v>
      </c>
      <c r="L1166" s="3">
        <v>1.31</v>
      </c>
      <c r="M1166" s="3">
        <v>0.82499999999999996</v>
      </c>
      <c r="N1166" s="3">
        <v>0.59799999999999998</v>
      </c>
      <c r="O1166" s="3">
        <v>0.26200000000000001</v>
      </c>
      <c r="P1166" s="3">
        <v>0.182</v>
      </c>
      <c r="Q1166" s="3"/>
    </row>
    <row r="1167" spans="1:17" x14ac:dyDescent="0.25">
      <c r="A1167" s="3" t="s">
        <v>186</v>
      </c>
      <c r="B1167" s="3" t="s">
        <v>41</v>
      </c>
      <c r="C1167" s="3">
        <v>2020</v>
      </c>
      <c r="D1167" s="3">
        <v>6.7908000949999998</v>
      </c>
      <c r="E1167" s="3">
        <v>1.4310864210000001</v>
      </c>
      <c r="F1167" s="3">
        <v>-2.0794031794099501</v>
      </c>
      <c r="G1167" s="3">
        <v>-3.66772757920402</v>
      </c>
      <c r="H1167" s="3">
        <v>3.6952321529388401</v>
      </c>
      <c r="I1167" s="5"/>
      <c r="J1167" s="5"/>
      <c r="K1167" s="3">
        <v>-10.580129344723799</v>
      </c>
      <c r="L1167" s="3">
        <v>1.2511709929999999</v>
      </c>
      <c r="M1167" s="3">
        <v>0.78781443799999995</v>
      </c>
      <c r="N1167" s="3">
        <v>0.65293610099999999</v>
      </c>
      <c r="O1167" s="3">
        <v>0.28065598000000003</v>
      </c>
      <c r="P1167" s="3">
        <v>0.220213518</v>
      </c>
      <c r="Q1167" s="3"/>
    </row>
    <row r="1168" spans="1:17" x14ac:dyDescent="0.25">
      <c r="A1168" s="3" t="s">
        <v>186</v>
      </c>
      <c r="B1168" s="3" t="s">
        <v>41</v>
      </c>
      <c r="C1168" s="3">
        <v>2021</v>
      </c>
      <c r="D1168" s="3">
        <v>6.5609999999999999</v>
      </c>
      <c r="E1168" s="3">
        <v>1.5549999999999999</v>
      </c>
      <c r="F1168" s="3">
        <v>0.18</v>
      </c>
      <c r="G1168" s="3">
        <v>-3.6487499999999899</v>
      </c>
      <c r="H1168" s="3">
        <v>1.3637690749853201E-4</v>
      </c>
      <c r="I1168" s="5"/>
      <c r="J1168" s="5"/>
      <c r="K1168" s="3">
        <v>14.280829696159699</v>
      </c>
      <c r="L1168" s="3">
        <v>0.86</v>
      </c>
      <c r="M1168" s="3">
        <v>0.59399999999999997</v>
      </c>
      <c r="N1168" s="3">
        <v>0.67</v>
      </c>
      <c r="O1168" s="3">
        <v>0.23599999999999999</v>
      </c>
      <c r="P1168" s="3">
        <v>0.223</v>
      </c>
      <c r="Q1168" s="3"/>
    </row>
    <row r="1169" spans="1:17" x14ac:dyDescent="0.25">
      <c r="A1169" s="3" t="s">
        <v>186</v>
      </c>
      <c r="B1169" s="3" t="s">
        <v>41</v>
      </c>
      <c r="C1169" s="3">
        <v>2022</v>
      </c>
      <c r="D1169" s="3">
        <v>6.5759999999999996</v>
      </c>
      <c r="E1169" s="3">
        <v>1.998</v>
      </c>
      <c r="F1169" s="3">
        <v>4.8278885959443301</v>
      </c>
      <c r="G1169" s="3">
        <v>-0.28238661562613798</v>
      </c>
      <c r="H1169" s="3">
        <v>6.9059485708668102</v>
      </c>
      <c r="I1169" s="5"/>
      <c r="J1169" s="5"/>
      <c r="K1169" s="3">
        <v>14.280897360967501</v>
      </c>
      <c r="L1169" s="3">
        <v>0.98</v>
      </c>
      <c r="M1169" s="3">
        <v>0.63300000000000001</v>
      </c>
      <c r="N1169" s="3">
        <v>0.70199999999999996</v>
      </c>
      <c r="O1169" s="3">
        <v>0.20399999999999999</v>
      </c>
      <c r="P1169" s="3">
        <v>0.25</v>
      </c>
      <c r="Q1169" s="3"/>
    </row>
    <row r="1170" spans="1:17" x14ac:dyDescent="0.25">
      <c r="A1170" s="3" t="s">
        <v>186</v>
      </c>
      <c r="B1170" s="3" t="s">
        <v>41</v>
      </c>
      <c r="C1170" s="3">
        <v>2023</v>
      </c>
      <c r="D1170" s="3">
        <v>6.5709999999999997</v>
      </c>
      <c r="E1170" s="3">
        <v>2.0150000000000001</v>
      </c>
      <c r="F1170" s="3">
        <v>1.623</v>
      </c>
      <c r="G1170" s="5"/>
      <c r="H1170" s="5"/>
      <c r="I1170" s="5"/>
      <c r="J1170" s="5"/>
      <c r="K1170" s="3">
        <v>-2.6459819076839999</v>
      </c>
      <c r="L1170" s="3">
        <v>1.2230000000000001</v>
      </c>
      <c r="M1170" s="3">
        <v>0.40100000000000002</v>
      </c>
      <c r="N1170" s="3">
        <v>0.745</v>
      </c>
      <c r="O1170" s="3">
        <v>0.188</v>
      </c>
      <c r="P1170" s="3">
        <v>0.247</v>
      </c>
      <c r="Q1170" s="3"/>
    </row>
    <row r="1171" spans="1:17" x14ac:dyDescent="0.25">
      <c r="A1171" s="3" t="s">
        <v>187</v>
      </c>
      <c r="B1171" s="3" t="s">
        <v>50</v>
      </c>
      <c r="C1171" s="3">
        <v>2015</v>
      </c>
      <c r="D1171" s="3">
        <v>6.867</v>
      </c>
      <c r="E1171" s="3">
        <v>1.26637</v>
      </c>
      <c r="F1171" s="3">
        <v>0.40160796046257002</v>
      </c>
      <c r="G1171" s="3">
        <v>1.2490469217300399</v>
      </c>
      <c r="H1171" s="3">
        <v>-2.5815894603729199</v>
      </c>
      <c r="I1171" s="3">
        <v>1.3</v>
      </c>
      <c r="J1171" s="3">
        <v>-6.6438474655151296</v>
      </c>
      <c r="K1171" s="3">
        <v>0.66128634663408903</v>
      </c>
      <c r="L1171" s="3">
        <v>1.28548</v>
      </c>
      <c r="M1171" s="3">
        <v>0.90942999999999996</v>
      </c>
      <c r="N1171" s="3">
        <v>0.59624999999999995</v>
      </c>
      <c r="O1171" s="3">
        <v>0.51912000000000003</v>
      </c>
      <c r="P1171" s="3">
        <v>0.32067000000000001</v>
      </c>
      <c r="Q1171" s="3"/>
    </row>
    <row r="1172" spans="1:17" x14ac:dyDescent="0.25">
      <c r="A1172" s="3" t="s">
        <v>187</v>
      </c>
      <c r="B1172" s="3" t="s">
        <v>50</v>
      </c>
      <c r="C1172" s="3">
        <v>2016</v>
      </c>
      <c r="D1172" s="3">
        <v>6.7249999999999996</v>
      </c>
      <c r="E1172" s="3">
        <v>1.40283</v>
      </c>
      <c r="F1172" s="3">
        <v>1</v>
      </c>
      <c r="G1172" s="3">
        <v>1.6754219532012899</v>
      </c>
      <c r="H1172" s="3">
        <v>-2.375</v>
      </c>
      <c r="I1172" s="3">
        <v>1.6</v>
      </c>
      <c r="J1172" s="3">
        <v>1.9666666984558101</v>
      </c>
      <c r="K1172" s="3">
        <v>2.1518313458262299</v>
      </c>
      <c r="L1172" s="3">
        <v>1.0867199999999999</v>
      </c>
      <c r="M1172" s="3">
        <v>0.80991000000000002</v>
      </c>
      <c r="N1172" s="3">
        <v>0.50036000000000003</v>
      </c>
      <c r="O1172" s="3">
        <v>0.50156000000000001</v>
      </c>
      <c r="P1172" s="3">
        <v>0.27399000000000001</v>
      </c>
      <c r="Q1172" s="3"/>
    </row>
    <row r="1173" spans="1:17" x14ac:dyDescent="0.25">
      <c r="A1173" s="3" t="s">
        <v>187</v>
      </c>
      <c r="B1173" s="3" t="s">
        <v>50</v>
      </c>
      <c r="C1173" s="3">
        <v>2017</v>
      </c>
      <c r="D1173" s="3">
        <v>6.7140002250000004</v>
      </c>
      <c r="E1173" s="3">
        <v>1.44163394</v>
      </c>
      <c r="F1173" s="3">
        <v>2.6829999999999998</v>
      </c>
      <c r="G1173" s="3">
        <v>2.0413153171539302</v>
      </c>
      <c r="H1173" s="3">
        <v>2.25351810455322</v>
      </c>
      <c r="I1173" s="3">
        <v>2.2999999999999998</v>
      </c>
      <c r="J1173" s="3">
        <v>6.1131100654601997</v>
      </c>
      <c r="K1173" s="3">
        <v>1.9376491802253399</v>
      </c>
      <c r="L1173" s="3">
        <v>1.4964600800000001</v>
      </c>
      <c r="M1173" s="3">
        <v>0.805335939</v>
      </c>
      <c r="N1173" s="3">
        <v>0.50819003600000001</v>
      </c>
      <c r="O1173" s="3">
        <v>0.49277415899999999</v>
      </c>
      <c r="P1173" s="3">
        <v>0.26542806600000002</v>
      </c>
    </row>
    <row r="1174" spans="1:17" x14ac:dyDescent="0.25">
      <c r="A1174" s="3" t="s">
        <v>187</v>
      </c>
      <c r="B1174" s="3" t="s">
        <v>50</v>
      </c>
      <c r="C1174" s="3">
        <v>2018</v>
      </c>
      <c r="D1174" s="3">
        <v>7.19</v>
      </c>
      <c r="E1174" s="3">
        <v>1.244</v>
      </c>
      <c r="F1174" s="3">
        <v>2.3199999999999998</v>
      </c>
      <c r="G1174" s="3">
        <v>1.8558717966079701</v>
      </c>
      <c r="H1174" s="3">
        <v>2.0786423683166499</v>
      </c>
      <c r="I1174" s="3">
        <v>1.9</v>
      </c>
      <c r="J1174" s="3">
        <v>3.6968569755554199</v>
      </c>
      <c r="K1174" s="3">
        <v>2.2494887525562399</v>
      </c>
      <c r="L1174" s="3">
        <v>1.4330000000000001</v>
      </c>
      <c r="M1174" s="3">
        <v>0.88800000000000001</v>
      </c>
      <c r="N1174" s="3">
        <v>0.46400000000000002</v>
      </c>
      <c r="O1174" s="3">
        <v>0.26200000000000001</v>
      </c>
      <c r="P1174" s="3">
        <v>8.2000000000000003E-2</v>
      </c>
      <c r="Q1174" s="3"/>
    </row>
    <row r="1175" spans="1:17" x14ac:dyDescent="0.25">
      <c r="A1175" s="3" t="s">
        <v>187</v>
      </c>
      <c r="B1175" s="3" t="s">
        <v>50</v>
      </c>
      <c r="C1175" s="3">
        <v>2019</v>
      </c>
      <c r="D1175" s="3">
        <v>7.0540000000000003</v>
      </c>
      <c r="E1175" s="3">
        <v>1.333</v>
      </c>
      <c r="F1175" s="3">
        <v>1.79100000858306</v>
      </c>
      <c r="G1175" s="3">
        <v>2.08144807815551</v>
      </c>
      <c r="H1175" s="3">
        <v>10.9269952774047</v>
      </c>
      <c r="I1175" s="3">
        <v>1.7</v>
      </c>
      <c r="J1175" s="3">
        <v>0.816994488239288</v>
      </c>
      <c r="K1175" s="3">
        <v>2.1139999999999999</v>
      </c>
      <c r="L1175" s="3">
        <v>1.538</v>
      </c>
      <c r="M1175" s="3">
        <v>0.996</v>
      </c>
      <c r="N1175" s="3">
        <v>0.45</v>
      </c>
      <c r="O1175" s="3">
        <v>0.34799999999999998</v>
      </c>
      <c r="P1175" s="3">
        <v>0.27800000000000002</v>
      </c>
      <c r="Q1175" s="3"/>
    </row>
    <row r="1176" spans="1:17" x14ac:dyDescent="0.25">
      <c r="A1176" s="3" t="s">
        <v>187</v>
      </c>
      <c r="B1176" s="3" t="s">
        <v>50</v>
      </c>
      <c r="C1176" s="3">
        <v>2020</v>
      </c>
      <c r="D1176" s="3">
        <v>7.1645002370000004</v>
      </c>
      <c r="E1176" s="3">
        <v>1.273061037</v>
      </c>
      <c r="F1176" s="3">
        <v>0.98948670377307502</v>
      </c>
      <c r="G1176" s="3">
        <v>0.87664856477889497</v>
      </c>
      <c r="H1176" s="3">
        <v>0.72140768854757298</v>
      </c>
      <c r="I1176" s="3">
        <v>1.5</v>
      </c>
      <c r="J1176" s="3">
        <v>-5.9125528112585299E-2</v>
      </c>
      <c r="K1176" s="3">
        <v>5.73868421568051</v>
      </c>
      <c r="L1176" s="3">
        <v>1.457844973</v>
      </c>
      <c r="M1176" s="3">
        <v>0.97570007999999997</v>
      </c>
      <c r="N1176" s="3">
        <v>0.52516865700000004</v>
      </c>
      <c r="O1176" s="3">
        <v>0.37343344099999998</v>
      </c>
      <c r="P1176" s="3">
        <v>0.32260164600000002</v>
      </c>
      <c r="Q1176" s="3"/>
    </row>
    <row r="1177" spans="1:17" x14ac:dyDescent="0.25">
      <c r="A1177" s="3" t="s">
        <v>187</v>
      </c>
      <c r="B1177" s="3" t="s">
        <v>50</v>
      </c>
      <c r="C1177" s="3">
        <v>2021</v>
      </c>
      <c r="D1177" s="3">
        <v>7.0640000000000001</v>
      </c>
      <c r="E1177" s="3">
        <v>1.423</v>
      </c>
      <c r="F1177" s="3">
        <v>2.5</v>
      </c>
      <c r="G1177" s="3">
        <v>9.1081590000000006</v>
      </c>
      <c r="H1177" s="3">
        <v>0.3</v>
      </c>
      <c r="I1177" s="3">
        <v>2.2999999999999998</v>
      </c>
      <c r="J1177" s="3">
        <v>5.0410229876561399</v>
      </c>
      <c r="K1177" s="3">
        <v>0.36925442089107102</v>
      </c>
      <c r="L1177" s="3">
        <v>1.0620000000000001</v>
      </c>
      <c r="M1177" s="3">
        <v>0.75700000000000001</v>
      </c>
      <c r="N1177" s="3">
        <v>0.57999999999999996</v>
      </c>
      <c r="O1177" s="3">
        <v>0.34</v>
      </c>
      <c r="P1177" s="3">
        <v>0.30599999999999999</v>
      </c>
      <c r="Q1177" s="3"/>
    </row>
    <row r="1178" spans="1:17" x14ac:dyDescent="0.25">
      <c r="A1178" s="3" t="s">
        <v>187</v>
      </c>
      <c r="B1178" s="3" t="s">
        <v>50</v>
      </c>
      <c r="C1178" s="3">
        <v>2022</v>
      </c>
      <c r="D1178" s="3">
        <v>6.9429999999999996</v>
      </c>
      <c r="E1178" s="3">
        <v>1.867</v>
      </c>
      <c r="F1178" s="3">
        <v>7.9</v>
      </c>
      <c r="G1178" s="3">
        <v>46.660912827808303</v>
      </c>
      <c r="H1178" s="3">
        <v>10.9</v>
      </c>
      <c r="I1178" s="3">
        <v>5.3419758605274898</v>
      </c>
      <c r="J1178" s="3">
        <v>18.522167487685099</v>
      </c>
      <c r="K1178" s="3">
        <v>5.1329943026857698</v>
      </c>
      <c r="L1178" s="3">
        <v>1.143</v>
      </c>
      <c r="M1178" s="3">
        <v>0.75</v>
      </c>
      <c r="N1178" s="3">
        <v>0.59699999999999998</v>
      </c>
      <c r="O1178" s="3">
        <v>0.28899999999999998</v>
      </c>
      <c r="P1178" s="3">
        <v>0.32900000000000001</v>
      </c>
      <c r="Q1178" s="3"/>
    </row>
    <row r="1179" spans="1:17" x14ac:dyDescent="0.25">
      <c r="A1179" s="3" t="s">
        <v>187</v>
      </c>
      <c r="B1179" s="3" t="s">
        <v>50</v>
      </c>
      <c r="C1179" s="3">
        <v>2023</v>
      </c>
      <c r="D1179" s="3">
        <v>6.7960000000000003</v>
      </c>
      <c r="E1179" s="3">
        <v>1.857</v>
      </c>
      <c r="F1179" s="3">
        <v>6.7939670679396302</v>
      </c>
      <c r="G1179" s="3">
        <v>8.1065000597484698</v>
      </c>
      <c r="H1179" s="3">
        <v>14.5077720207253</v>
      </c>
      <c r="I1179" s="3">
        <v>5.8573853989813296</v>
      </c>
      <c r="J1179" s="5"/>
      <c r="K1179" s="3">
        <v>8.2997758975591296</v>
      </c>
      <c r="L1179" s="3">
        <v>1.3660000000000001</v>
      </c>
      <c r="M1179" s="3">
        <v>0.51100000000000001</v>
      </c>
      <c r="N1179" s="3">
        <v>0.626</v>
      </c>
      <c r="O1179" s="3">
        <v>0.27200000000000002</v>
      </c>
      <c r="P1179" s="3">
        <v>0.34</v>
      </c>
    </row>
    <row r="1180" spans="1:17" x14ac:dyDescent="0.25">
      <c r="A1180" s="3" t="s">
        <v>188</v>
      </c>
      <c r="B1180" s="3" t="s">
        <v>48</v>
      </c>
      <c r="C1180" s="3">
        <v>2015</v>
      </c>
      <c r="D1180" s="3">
        <v>7.1189999999999998</v>
      </c>
      <c r="E1180" s="3">
        <v>1.3945099999999999</v>
      </c>
      <c r="F1180" s="3">
        <v>0.118625052273273</v>
      </c>
      <c r="G1180" s="3">
        <v>2.33140147523708</v>
      </c>
      <c r="H1180" s="3">
        <v>1.79660212993621</v>
      </c>
      <c r="I1180" s="3">
        <v>1.828419</v>
      </c>
      <c r="J1180" s="3">
        <v>-0.87171971797943104</v>
      </c>
      <c r="K1180" s="3">
        <v>0.95138848684844302</v>
      </c>
      <c r="L1180" s="3">
        <v>1.2471099999999999</v>
      </c>
      <c r="M1180" s="3">
        <v>0.86178999999999994</v>
      </c>
      <c r="N1180" s="3">
        <v>0.54603999999999997</v>
      </c>
      <c r="O1180" s="3">
        <v>0.40105000000000002</v>
      </c>
      <c r="P1180" s="3">
        <v>0.15890000000000001</v>
      </c>
      <c r="Q1180" s="3"/>
    </row>
    <row r="1181" spans="1:17" x14ac:dyDescent="0.25">
      <c r="A1181" s="3" t="s">
        <v>188</v>
      </c>
      <c r="B1181" s="3" t="s">
        <v>48</v>
      </c>
      <c r="C1181" s="3">
        <v>2016</v>
      </c>
      <c r="D1181" s="3">
        <v>7.1040000000000001</v>
      </c>
      <c r="E1181" s="3">
        <v>1.50796</v>
      </c>
      <c r="F1181" s="3">
        <v>1.26158142089843</v>
      </c>
      <c r="G1181" s="3">
        <v>16.900791168212798</v>
      </c>
      <c r="H1181" s="3">
        <v>0.34372475743293701</v>
      </c>
      <c r="I1181" s="3">
        <v>2.2109019999999999</v>
      </c>
      <c r="J1181" s="3">
        <v>0.424537032842636</v>
      </c>
      <c r="K1181" s="3">
        <v>1.0494723963908801</v>
      </c>
      <c r="L1181" s="3">
        <v>1.04782</v>
      </c>
      <c r="M1181" s="3">
        <v>0.77900000000000003</v>
      </c>
      <c r="N1181" s="3">
        <v>0.48163</v>
      </c>
      <c r="O1181" s="3">
        <v>0.41077000000000002</v>
      </c>
      <c r="P1181" s="3">
        <v>0.14868000000000001</v>
      </c>
      <c r="Q1181" s="3"/>
    </row>
    <row r="1182" spans="1:17" x14ac:dyDescent="0.25">
      <c r="A1182" s="3" t="s">
        <v>188</v>
      </c>
      <c r="B1182" s="3" t="s">
        <v>48</v>
      </c>
      <c r="C1182" s="3">
        <v>2017</v>
      </c>
      <c r="D1182" s="3">
        <v>6.9930000310000002</v>
      </c>
      <c r="E1182" s="3">
        <v>1.546259284</v>
      </c>
      <c r="F1182" s="3">
        <v>2.1360000000000001</v>
      </c>
      <c r="G1182" s="3">
        <v>7.0996322631835902</v>
      </c>
      <c r="H1182" s="3">
        <v>0.88208591938018799</v>
      </c>
      <c r="I1182" s="3">
        <v>1.84449</v>
      </c>
      <c r="J1182" s="3">
        <v>2.3250484466552699</v>
      </c>
      <c r="K1182" s="3">
        <v>1.88040332191975</v>
      </c>
      <c r="L1182" s="3">
        <v>1.4199205640000001</v>
      </c>
      <c r="M1182" s="3">
        <v>0.77428662800000003</v>
      </c>
      <c r="N1182" s="3">
        <v>0.50574052300000005</v>
      </c>
      <c r="O1182" s="3">
        <v>0.39257878099999999</v>
      </c>
      <c r="P1182" s="3">
        <v>0.13563878800000001</v>
      </c>
      <c r="Q1182" s="3"/>
    </row>
    <row r="1183" spans="1:17" x14ac:dyDescent="0.25">
      <c r="A1183" s="3" t="s">
        <v>188</v>
      </c>
      <c r="B1183" s="3" t="s">
        <v>48</v>
      </c>
      <c r="C1183" s="3">
        <v>2018</v>
      </c>
      <c r="D1183" s="3">
        <v>6.8860000000000001</v>
      </c>
      <c r="E1183" s="3">
        <v>1.3979999999999999</v>
      </c>
      <c r="F1183" s="3">
        <v>2.44</v>
      </c>
      <c r="G1183" s="3">
        <v>25.599998474121001</v>
      </c>
      <c r="H1183" s="3">
        <v>1.40461361408233</v>
      </c>
      <c r="I1183" s="3">
        <v>2.1397330000000001</v>
      </c>
      <c r="J1183" s="3">
        <v>2.8993012905120801</v>
      </c>
      <c r="K1183" s="3">
        <v>2.4008912821465098</v>
      </c>
      <c r="L1183" s="3">
        <v>1.4710000000000001</v>
      </c>
      <c r="M1183" s="3">
        <v>0.81899999999999995</v>
      </c>
      <c r="N1183" s="3">
        <v>0.54700000000000004</v>
      </c>
      <c r="O1183" s="3">
        <v>0.29099999999999998</v>
      </c>
      <c r="P1183" s="3">
        <v>0.13300000000000001</v>
      </c>
      <c r="Q1183" s="3"/>
    </row>
    <row r="1184" spans="1:17" x14ac:dyDescent="0.25">
      <c r="A1184" s="3" t="s">
        <v>188</v>
      </c>
      <c r="B1184" s="3" t="s">
        <v>48</v>
      </c>
      <c r="C1184" s="3">
        <v>2019</v>
      </c>
      <c r="D1184" s="3">
        <v>6.8920000000000003</v>
      </c>
      <c r="E1184" s="3">
        <v>1.4330000000000001</v>
      </c>
      <c r="F1184" s="3">
        <v>1.81200003623962</v>
      </c>
      <c r="G1184" s="3">
        <v>21.271568298339801</v>
      </c>
      <c r="H1184" s="3">
        <v>0.88550531454801096</v>
      </c>
      <c r="I1184" s="3">
        <v>2.19197</v>
      </c>
      <c r="J1184" s="3">
        <v>1.6919907331466599</v>
      </c>
      <c r="K1184" s="3">
        <v>1.78519619931819</v>
      </c>
      <c r="L1184" s="3">
        <v>1.4570000000000001</v>
      </c>
      <c r="M1184" s="3">
        <v>0.874</v>
      </c>
      <c r="N1184" s="3">
        <v>0.45400000000000001</v>
      </c>
      <c r="O1184" s="3">
        <v>0.28000000000000003</v>
      </c>
      <c r="P1184" s="3">
        <v>0.128</v>
      </c>
      <c r="Q1184" s="3"/>
    </row>
    <row r="1185" spans="1:17" x14ac:dyDescent="0.25">
      <c r="A1185" s="3" t="s">
        <v>188</v>
      </c>
      <c r="B1185" s="3" t="s">
        <v>48</v>
      </c>
      <c r="C1185" s="3">
        <v>2020</v>
      </c>
      <c r="D1185" s="3">
        <v>6.9395999909999997</v>
      </c>
      <c r="E1185" s="3">
        <v>1.3739868399999999</v>
      </c>
      <c r="F1185" s="3">
        <v>1.23358439630664</v>
      </c>
      <c r="G1185" s="3">
        <v>2.58817325832322</v>
      </c>
      <c r="H1185" s="3">
        <v>3.50606884341085</v>
      </c>
      <c r="I1185" s="3">
        <v>1.702817</v>
      </c>
      <c r="J1185" s="3">
        <v>-2.12319376405706</v>
      </c>
      <c r="K1185" s="3">
        <v>1.2123101589987999</v>
      </c>
      <c r="L1185" s="3">
        <v>1.4047867060000001</v>
      </c>
      <c r="M1185" s="3">
        <v>0.83161801099999999</v>
      </c>
      <c r="N1185" s="3">
        <v>0.53460824500000004</v>
      </c>
      <c r="O1185" s="3">
        <v>0.29814305899999999</v>
      </c>
      <c r="P1185" s="3">
        <v>0.152284741</v>
      </c>
      <c r="Q1185" s="3"/>
    </row>
    <row r="1186" spans="1:17" x14ac:dyDescent="0.25">
      <c r="A1186" s="3" t="s">
        <v>188</v>
      </c>
      <c r="B1186" s="3" t="s">
        <v>48</v>
      </c>
      <c r="C1186" s="3">
        <v>2021</v>
      </c>
      <c r="D1186" s="3">
        <v>6.9509999999999996</v>
      </c>
      <c r="E1186" s="3">
        <v>1.5329999999999999</v>
      </c>
      <c r="F1186" s="3">
        <v>4.6978590000000002</v>
      </c>
      <c r="G1186" s="3">
        <v>21.008199999999999</v>
      </c>
      <c r="H1186" s="3">
        <v>3.4689999999999999</v>
      </c>
      <c r="I1186" s="3">
        <v>3.5720000000000001</v>
      </c>
      <c r="J1186" s="3">
        <v>8.9547963389928196</v>
      </c>
      <c r="K1186" s="3">
        <v>4.4927922357685004</v>
      </c>
      <c r="L1186" s="3">
        <v>1.03</v>
      </c>
      <c r="M1186" s="3">
        <v>0.621</v>
      </c>
      <c r="N1186" s="3">
        <v>0.55400000000000005</v>
      </c>
      <c r="O1186" s="3">
        <v>0.252</v>
      </c>
      <c r="P1186" s="3">
        <v>0.154</v>
      </c>
      <c r="Q1186" s="3"/>
    </row>
    <row r="1187" spans="1:17" x14ac:dyDescent="0.25">
      <c r="A1187" s="3" t="s">
        <v>188</v>
      </c>
      <c r="B1187" s="3" t="s">
        <v>48</v>
      </c>
      <c r="C1187" s="3">
        <v>2022</v>
      </c>
      <c r="D1187" s="3">
        <v>6.9770000000000003</v>
      </c>
      <c r="E1187" s="3">
        <v>1.982</v>
      </c>
      <c r="F1187" s="3">
        <v>8.0028000000000006</v>
      </c>
      <c r="G1187" s="3">
        <v>25.504410977449201</v>
      </c>
      <c r="H1187" s="3">
        <v>11.438879999999999</v>
      </c>
      <c r="I1187" s="3">
        <v>6.1520314547837298</v>
      </c>
      <c r="J1187" s="3">
        <v>8.0534053043814708</v>
      </c>
      <c r="K1187" s="3">
        <v>6.5465466308812701</v>
      </c>
      <c r="L1187" s="3">
        <v>1.1819999999999999</v>
      </c>
      <c r="M1187" s="3">
        <v>0.628</v>
      </c>
      <c r="N1187" s="3">
        <v>0.57399999999999995</v>
      </c>
      <c r="O1187" s="3">
        <v>0.22</v>
      </c>
      <c r="P1187" s="3">
        <v>0.17699999999999999</v>
      </c>
      <c r="Q1187" s="3"/>
    </row>
    <row r="1188" spans="1:17" x14ac:dyDescent="0.25">
      <c r="A1188" s="3" t="s">
        <v>188</v>
      </c>
      <c r="B1188" s="3" t="s">
        <v>48</v>
      </c>
      <c r="C1188" s="3">
        <v>2023</v>
      </c>
      <c r="D1188" s="3">
        <v>6.8940000000000001</v>
      </c>
      <c r="E1188" s="3">
        <v>1.98</v>
      </c>
      <c r="F1188" s="3">
        <v>4.1163383837448801</v>
      </c>
      <c r="G1188" s="3">
        <v>-4.54373378212399</v>
      </c>
      <c r="H1188" s="3">
        <v>4.9442979373991003</v>
      </c>
      <c r="I1188" s="3">
        <v>4.7819258742225701</v>
      </c>
      <c r="J1188" s="3">
        <v>2.7442112492278099</v>
      </c>
      <c r="K1188" s="3">
        <v>3.6508920813350501</v>
      </c>
      <c r="L1188" s="3">
        <v>1.46</v>
      </c>
      <c r="M1188" s="3">
        <v>0.39</v>
      </c>
      <c r="N1188" s="3">
        <v>0.55700000000000005</v>
      </c>
      <c r="O1188" s="3">
        <v>0.21</v>
      </c>
      <c r="P1188" s="3">
        <v>0.17199999999999999</v>
      </c>
      <c r="Q1188" s="3"/>
    </row>
    <row r="1189" spans="1:17" x14ac:dyDescent="0.25">
      <c r="A1189" s="3" t="s">
        <v>189</v>
      </c>
      <c r="B1189" s="3" t="s">
        <v>45</v>
      </c>
      <c r="C1189" s="3">
        <v>2015</v>
      </c>
      <c r="D1189" s="3">
        <v>6.4850000000000003</v>
      </c>
      <c r="E1189" s="3">
        <v>1.06166</v>
      </c>
      <c r="F1189" s="3">
        <v>8.6681528091430593</v>
      </c>
      <c r="G1189" s="3">
        <v>2.0779821872711102</v>
      </c>
      <c r="H1189" s="3">
        <v>9.4741430282592702</v>
      </c>
      <c r="I1189" s="3">
        <v>-12.8237600326538</v>
      </c>
      <c r="J1189" s="3">
        <v>6.8334803581237704</v>
      </c>
      <c r="K1189" s="3">
        <v>9.0154821948907493</v>
      </c>
      <c r="L1189" s="3">
        <v>1.2089000000000001</v>
      </c>
      <c r="M1189" s="3">
        <v>0.81159999999999999</v>
      </c>
      <c r="N1189" s="3">
        <v>0.60362000000000005</v>
      </c>
      <c r="O1189" s="3">
        <v>0.2324</v>
      </c>
      <c r="P1189" s="3">
        <v>0.24557999999999999</v>
      </c>
      <c r="Q1189" s="3"/>
    </row>
    <row r="1190" spans="1:17" x14ac:dyDescent="0.25">
      <c r="A1190" s="3" t="s">
        <v>189</v>
      </c>
      <c r="B1190" s="3" t="s">
        <v>45</v>
      </c>
      <c r="C1190" s="3">
        <v>2016</v>
      </c>
      <c r="D1190" s="3">
        <v>6.5449999999999999</v>
      </c>
      <c r="E1190" s="3">
        <v>1.18157</v>
      </c>
      <c r="F1190" s="3">
        <v>9.6337966918945295</v>
      </c>
      <c r="G1190" s="3">
        <v>2.48389267921447</v>
      </c>
      <c r="H1190" s="3">
        <v>9.62208747863769</v>
      </c>
      <c r="I1190" s="3">
        <v>-10.9941759109497</v>
      </c>
      <c r="J1190" s="3">
        <v>3.3519473075866699</v>
      </c>
      <c r="K1190" s="3">
        <v>7.34566377191193</v>
      </c>
      <c r="L1190" s="3">
        <v>1.0314300000000001</v>
      </c>
      <c r="M1190" s="3">
        <v>0.72182999999999997</v>
      </c>
      <c r="N1190" s="3">
        <v>0.54388000000000003</v>
      </c>
      <c r="O1190" s="3">
        <v>0.18056</v>
      </c>
      <c r="P1190" s="3">
        <v>0.21393999999999999</v>
      </c>
      <c r="Q1190" s="3"/>
    </row>
    <row r="1191" spans="1:17" x14ac:dyDescent="0.25">
      <c r="A1191" s="3" t="s">
        <v>189</v>
      </c>
      <c r="B1191" s="3" t="s">
        <v>45</v>
      </c>
      <c r="C1191" s="3">
        <v>2017</v>
      </c>
      <c r="D1191" s="3">
        <v>6.4539999960000003</v>
      </c>
      <c r="E1191" s="3">
        <v>1.2175596950000001</v>
      </c>
      <c r="F1191" s="3">
        <v>6.218</v>
      </c>
      <c r="G1191" s="3">
        <v>2.9742538928985498</v>
      </c>
      <c r="H1191" s="3">
        <v>2.8101325035095202</v>
      </c>
      <c r="I1191" s="5"/>
      <c r="J1191" s="3">
        <v>1.6746398210525499</v>
      </c>
      <c r="K1191" s="3">
        <v>4.9869999999999903</v>
      </c>
      <c r="L1191" s="3">
        <v>1.4122278690000001</v>
      </c>
      <c r="M1191" s="3">
        <v>0.71921682399999998</v>
      </c>
      <c r="N1191" s="3">
        <v>0.57939225400000005</v>
      </c>
      <c r="O1191" s="3">
        <v>0.17509692900000001</v>
      </c>
      <c r="P1191" s="3">
        <v>0.17806187300000001</v>
      </c>
      <c r="Q1191" s="3"/>
    </row>
    <row r="1192" spans="1:17" x14ac:dyDescent="0.25">
      <c r="A1192" s="3" t="s">
        <v>189</v>
      </c>
      <c r="B1192" s="3" t="s">
        <v>45</v>
      </c>
      <c r="C1192" s="3">
        <v>2018</v>
      </c>
      <c r="D1192" s="3">
        <v>6.3789999999999996</v>
      </c>
      <c r="E1192" s="3">
        <v>1.093</v>
      </c>
      <c r="F1192" s="3">
        <v>7.61</v>
      </c>
      <c r="G1192" s="3">
        <v>2.8852980136871298</v>
      </c>
      <c r="H1192" s="3">
        <v>8.3377132415771396</v>
      </c>
      <c r="I1192" s="5"/>
      <c r="J1192" s="3">
        <v>9.6727647781371999</v>
      </c>
      <c r="K1192" s="3">
        <v>7.1018316553477998</v>
      </c>
      <c r="L1192" s="3">
        <v>1.4590000000000001</v>
      </c>
      <c r="M1192" s="3">
        <v>0.77100000000000002</v>
      </c>
      <c r="N1192" s="3">
        <v>0.625</v>
      </c>
      <c r="O1192" s="3">
        <v>0.13</v>
      </c>
      <c r="P1192" s="3">
        <v>0.155</v>
      </c>
      <c r="Q1192" s="3"/>
    </row>
    <row r="1193" spans="1:17" x14ac:dyDescent="0.25">
      <c r="A1193" s="3" t="s">
        <v>189</v>
      </c>
      <c r="B1193" s="3" t="s">
        <v>45</v>
      </c>
      <c r="C1193" s="3">
        <v>2019</v>
      </c>
      <c r="D1193" s="3">
        <v>6.2930000000000001</v>
      </c>
      <c r="E1193" s="3">
        <v>1.1240000000000001</v>
      </c>
      <c r="F1193" s="3">
        <v>7.8819999694824201</v>
      </c>
      <c r="G1193" s="3">
        <v>-2.1129500865936199</v>
      </c>
      <c r="H1193" s="3">
        <v>8.7612361907958896</v>
      </c>
      <c r="I1193" s="5"/>
      <c r="J1193" s="3">
        <v>12.782828330993601</v>
      </c>
      <c r="K1193" s="3">
        <v>9.0374678726110105</v>
      </c>
      <c r="L1193" s="3">
        <v>1.4650000000000001</v>
      </c>
      <c r="M1193" s="3">
        <v>0.89100000000000001</v>
      </c>
      <c r="N1193" s="3">
        <v>0.52300000000000002</v>
      </c>
      <c r="O1193" s="3">
        <v>0.127</v>
      </c>
      <c r="P1193" s="3">
        <v>0.15</v>
      </c>
      <c r="Q1193" s="3"/>
    </row>
    <row r="1194" spans="1:17" x14ac:dyDescent="0.25">
      <c r="A1194" s="3" t="s">
        <v>189</v>
      </c>
      <c r="B1194" s="3" t="s">
        <v>45</v>
      </c>
      <c r="C1194" s="3">
        <v>2020</v>
      </c>
      <c r="D1194" s="3">
        <v>6.4401001930000001</v>
      </c>
      <c r="E1194" s="3">
        <v>1.071000457</v>
      </c>
      <c r="F1194" s="3">
        <v>9.7564063607816305</v>
      </c>
      <c r="G1194" s="3">
        <v>7.1830239598437302</v>
      </c>
      <c r="H1194" s="3">
        <v>13.762615203857401</v>
      </c>
      <c r="I1194" s="5"/>
      <c r="J1194" s="3">
        <v>10.462810516357401</v>
      </c>
      <c r="K1194" s="3">
        <v>8.4931283389747492</v>
      </c>
      <c r="L1194" s="3">
        <v>1.425081134</v>
      </c>
      <c r="M1194" s="3">
        <v>0.85692888499999997</v>
      </c>
      <c r="N1194" s="3">
        <v>0.59426707000000001</v>
      </c>
      <c r="O1194" s="3">
        <v>0.13214369100000001</v>
      </c>
      <c r="P1194" s="3">
        <v>0.193425074</v>
      </c>
      <c r="Q1194" s="3"/>
    </row>
    <row r="1195" spans="1:17" x14ac:dyDescent="0.25">
      <c r="A1195" s="3" t="s">
        <v>189</v>
      </c>
      <c r="B1195" s="3" t="s">
        <v>45</v>
      </c>
      <c r="C1195" s="3">
        <v>2021</v>
      </c>
      <c r="D1195" s="3">
        <v>6.431</v>
      </c>
      <c r="E1195" s="3">
        <v>1.1639999999999999</v>
      </c>
      <c r="F1195" s="3">
        <v>7.7479140231476302</v>
      </c>
      <c r="G1195" s="3">
        <v>7.95</v>
      </c>
      <c r="H1195" s="3">
        <v>6.8</v>
      </c>
      <c r="I1195" s="5"/>
      <c r="J1195" s="3">
        <v>14.421692413443701</v>
      </c>
      <c r="K1195" s="3">
        <v>10.007099697474599</v>
      </c>
      <c r="L1195" s="3">
        <v>1.042</v>
      </c>
      <c r="M1195" s="3">
        <v>0.64900000000000002</v>
      </c>
      <c r="N1195" s="3">
        <v>0.625</v>
      </c>
      <c r="O1195" s="3">
        <v>0.128</v>
      </c>
      <c r="P1195" s="3">
        <v>0.223</v>
      </c>
      <c r="Q1195" s="3"/>
    </row>
    <row r="1196" spans="1:17" x14ac:dyDescent="0.25">
      <c r="A1196" s="3" t="s">
        <v>189</v>
      </c>
      <c r="B1196" s="3" t="s">
        <v>45</v>
      </c>
      <c r="C1196" s="3">
        <v>2022</v>
      </c>
      <c r="D1196" s="3">
        <v>6.4740000000000002</v>
      </c>
      <c r="E1196" s="3">
        <v>1.615</v>
      </c>
      <c r="F1196" s="3">
        <v>9.1043798307544197</v>
      </c>
      <c r="G1196" s="3">
        <v>7.0584458577500202</v>
      </c>
      <c r="H1196" s="3">
        <v>10.5933818733157</v>
      </c>
      <c r="I1196" s="5"/>
      <c r="J1196" s="3">
        <v>12.829501884676899</v>
      </c>
      <c r="K1196" s="3">
        <v>4.5028759244042602</v>
      </c>
      <c r="L1196" s="3">
        <v>1.18</v>
      </c>
      <c r="M1196" s="3">
        <v>0.67200000000000004</v>
      </c>
      <c r="N1196" s="3">
        <v>0.66500000000000004</v>
      </c>
      <c r="O1196" s="3">
        <v>0.10299999999999999</v>
      </c>
      <c r="P1196" s="3">
        <v>0.26500000000000001</v>
      </c>
      <c r="Q1196" s="3"/>
    </row>
    <row r="1197" spans="1:17" x14ac:dyDescent="0.25">
      <c r="A1197" s="3" t="s">
        <v>189</v>
      </c>
      <c r="B1197" s="3" t="s">
        <v>45</v>
      </c>
      <c r="C1197" s="3">
        <v>2023</v>
      </c>
      <c r="D1197" s="3">
        <v>6.4939999999999998</v>
      </c>
      <c r="E1197" s="3">
        <v>1.617</v>
      </c>
      <c r="F1197" s="3">
        <v>5.8691035989611899</v>
      </c>
      <c r="G1197" s="5"/>
      <c r="H1197" s="3">
        <v>8.7377053412386108</v>
      </c>
      <c r="I1197" s="5"/>
      <c r="J1197" s="5"/>
      <c r="K1197" s="3">
        <v>4.1651368736491401</v>
      </c>
      <c r="L1197" s="3">
        <v>1.4450000000000001</v>
      </c>
      <c r="M1197" s="3">
        <v>0.435</v>
      </c>
      <c r="N1197" s="3">
        <v>0.68300000000000005</v>
      </c>
      <c r="O1197" s="3">
        <v>0.10199999999999999</v>
      </c>
      <c r="P1197" s="3">
        <v>0.254</v>
      </c>
      <c r="Q1197" s="3"/>
    </row>
    <row r="1198" spans="1:17" x14ac:dyDescent="0.25">
      <c r="A1198" s="3" t="s">
        <v>190</v>
      </c>
      <c r="B1198" s="3" t="s">
        <v>111</v>
      </c>
      <c r="C1198" s="3">
        <v>2015</v>
      </c>
      <c r="D1198" s="3">
        <v>6.0030000000000001</v>
      </c>
      <c r="E1198" s="3">
        <v>0.63244</v>
      </c>
      <c r="F1198" s="3">
        <v>8.4639997482299805</v>
      </c>
      <c r="G1198" s="5"/>
      <c r="H1198" s="5"/>
      <c r="I1198" s="5"/>
      <c r="J1198" s="5"/>
      <c r="K1198" s="3">
        <v>10.4203703499221</v>
      </c>
      <c r="L1198" s="3">
        <v>1.34043</v>
      </c>
      <c r="M1198" s="3">
        <v>0.59772000000000003</v>
      </c>
      <c r="N1198" s="3">
        <v>0.65820999999999996</v>
      </c>
      <c r="O1198" s="3">
        <v>0.22836999999999999</v>
      </c>
      <c r="P1198" s="3">
        <v>0.30825999999999998</v>
      </c>
      <c r="Q1198" s="3"/>
    </row>
    <row r="1199" spans="1:17" x14ac:dyDescent="0.25">
      <c r="A1199" s="3" t="s">
        <v>190</v>
      </c>
      <c r="B1199" s="3" t="s">
        <v>111</v>
      </c>
      <c r="C1199" s="3">
        <v>2016</v>
      </c>
      <c r="D1199" s="3">
        <v>5.9870000000000001</v>
      </c>
      <c r="E1199" s="3">
        <v>0.73590999999999995</v>
      </c>
      <c r="F1199" s="3">
        <v>7.9819998741149902</v>
      </c>
      <c r="G1199" s="5"/>
      <c r="H1199" s="3">
        <v>0.29991465806960999</v>
      </c>
      <c r="I1199" s="5"/>
      <c r="J1199" s="3">
        <v>16.287378996185399</v>
      </c>
      <c r="K1199" s="3">
        <v>8.7459999999999898</v>
      </c>
      <c r="L1199" s="3">
        <v>1.1680999999999999</v>
      </c>
      <c r="M1199" s="3">
        <v>0.50163000000000002</v>
      </c>
      <c r="N1199" s="3">
        <v>0.60848000000000002</v>
      </c>
      <c r="O1199" s="3">
        <v>0.34326000000000001</v>
      </c>
      <c r="P1199" s="3">
        <v>0.28333000000000003</v>
      </c>
      <c r="Q1199" s="3"/>
    </row>
    <row r="1200" spans="1:17" x14ac:dyDescent="0.25">
      <c r="A1200" s="3" t="s">
        <v>190</v>
      </c>
      <c r="B1200" s="3" t="s">
        <v>111</v>
      </c>
      <c r="C1200" s="3">
        <v>2017</v>
      </c>
      <c r="D1200" s="3">
        <v>5.9710001950000002</v>
      </c>
      <c r="E1200" s="3">
        <v>0.78644108800000001</v>
      </c>
      <c r="F1200" s="3">
        <v>13.875999999999999</v>
      </c>
      <c r="G1200" s="5"/>
      <c r="H1200" s="3">
        <v>15.9003744125366</v>
      </c>
      <c r="I1200" s="5"/>
      <c r="J1200" s="3">
        <v>17.4182109832763</v>
      </c>
      <c r="K1200" s="3">
        <v>19.4315193202508</v>
      </c>
      <c r="L1200" s="3">
        <v>1.54896915</v>
      </c>
      <c r="M1200" s="3">
        <v>0.498272628</v>
      </c>
      <c r="N1200" s="3">
        <v>0.65824866299999996</v>
      </c>
      <c r="O1200" s="3">
        <v>0.41598364700000001</v>
      </c>
      <c r="P1200" s="3">
        <v>0.24652822299999999</v>
      </c>
      <c r="Q1200" s="3"/>
    </row>
    <row r="1201" spans="1:17" x14ac:dyDescent="0.25">
      <c r="A1201" s="3" t="s">
        <v>190</v>
      </c>
      <c r="B1201" s="3" t="s">
        <v>111</v>
      </c>
      <c r="C1201" s="3">
        <v>2018</v>
      </c>
      <c r="D1201" s="3">
        <v>6.0960000000000001</v>
      </c>
      <c r="E1201" s="3">
        <v>0.71899999999999997</v>
      </c>
      <c r="F1201" s="3">
        <v>17.68</v>
      </c>
      <c r="G1201" s="5"/>
      <c r="H1201" s="3">
        <v>14.900001525878899</v>
      </c>
      <c r="I1201" s="5"/>
      <c r="J1201" s="3">
        <v>31.6961669921875</v>
      </c>
      <c r="K1201" s="3">
        <v>27.470606804900001</v>
      </c>
      <c r="L1201" s="3">
        <v>1.5840000000000001</v>
      </c>
      <c r="M1201" s="3">
        <v>0.60499999999999998</v>
      </c>
      <c r="N1201" s="3">
        <v>0.72399999999999998</v>
      </c>
      <c r="O1201" s="3">
        <v>0.32800000000000001</v>
      </c>
      <c r="P1201" s="3">
        <v>0.25900000000000001</v>
      </c>
      <c r="Q1201" s="3"/>
    </row>
    <row r="1202" spans="1:17" x14ac:dyDescent="0.25">
      <c r="A1202" s="3" t="s">
        <v>190</v>
      </c>
      <c r="B1202" s="3" t="s">
        <v>111</v>
      </c>
      <c r="C1202" s="3">
        <v>2019</v>
      </c>
      <c r="D1202" s="3">
        <v>6.1740000000000004</v>
      </c>
      <c r="E1202" s="3">
        <v>0.745</v>
      </c>
      <c r="F1202" s="3">
        <v>14.5260000228881</v>
      </c>
      <c r="G1202" s="5"/>
      <c r="H1202" s="5"/>
      <c r="I1202" s="5"/>
      <c r="J1202" s="3">
        <v>43.352500915527301</v>
      </c>
      <c r="K1202" s="3">
        <v>18.569055600857698</v>
      </c>
      <c r="L1202" s="3">
        <v>1.5289999999999999</v>
      </c>
      <c r="M1202" s="3">
        <v>0.75600000000000001</v>
      </c>
      <c r="N1202" s="3">
        <v>0.63100000000000001</v>
      </c>
      <c r="O1202" s="3">
        <v>0.32200000000000001</v>
      </c>
      <c r="P1202" s="3">
        <v>0.24</v>
      </c>
      <c r="Q1202" s="3"/>
    </row>
    <row r="1203" spans="1:17" x14ac:dyDescent="0.25">
      <c r="A1203" s="3" t="s">
        <v>190</v>
      </c>
      <c r="B1203" s="3" t="s">
        <v>111</v>
      </c>
      <c r="C1203" s="3">
        <v>2020</v>
      </c>
      <c r="D1203" s="3">
        <v>6.2575998310000003</v>
      </c>
      <c r="E1203" s="3">
        <v>0.69665294899999997</v>
      </c>
      <c r="F1203" s="3">
        <v>12.855</v>
      </c>
      <c r="G1203" s="5"/>
      <c r="H1203" s="5"/>
      <c r="I1203" s="5"/>
      <c r="J1203" s="3">
        <v>14.8006324768066</v>
      </c>
      <c r="K1203" s="3">
        <v>11.8952403755533</v>
      </c>
      <c r="L1203" s="3">
        <v>1.434020042</v>
      </c>
      <c r="M1203" s="3">
        <v>0.71670371300000002</v>
      </c>
      <c r="N1203" s="3">
        <v>0.69327032600000005</v>
      </c>
      <c r="O1203" s="3">
        <v>0.36331102300000001</v>
      </c>
      <c r="P1203" s="3">
        <v>0.28026026500000001</v>
      </c>
      <c r="Q1203" s="3"/>
    </row>
    <row r="1204" spans="1:17" x14ac:dyDescent="0.25">
      <c r="A1204" s="3" t="s">
        <v>190</v>
      </c>
      <c r="B1204" s="3" t="s">
        <v>111</v>
      </c>
      <c r="C1204" s="3">
        <v>2021</v>
      </c>
      <c r="D1204" s="3">
        <v>6.1790000000000003</v>
      </c>
      <c r="E1204" s="3">
        <v>0.76900000000000002</v>
      </c>
      <c r="F1204" s="3">
        <v>10.6908666068798</v>
      </c>
      <c r="G1204" s="5"/>
      <c r="H1204" s="3">
        <v>14.42</v>
      </c>
      <c r="I1204" s="5"/>
      <c r="J1204" s="3">
        <v>9.3203448106945608</v>
      </c>
      <c r="K1204" s="3">
        <v>13.5592053799169</v>
      </c>
      <c r="L1204" s="3">
        <v>1.0269999999999999</v>
      </c>
      <c r="M1204" s="3">
        <v>0.52800000000000002</v>
      </c>
      <c r="N1204" s="3">
        <v>0.71599999999999997</v>
      </c>
      <c r="O1204" s="3">
        <v>0.39100000000000001</v>
      </c>
      <c r="P1204" s="3">
        <v>0.27100000000000002</v>
      </c>
      <c r="Q1204" s="3"/>
    </row>
    <row r="1205" spans="1:17" x14ac:dyDescent="0.25">
      <c r="A1205" s="3" t="s">
        <v>190</v>
      </c>
      <c r="B1205" s="3" t="s">
        <v>111</v>
      </c>
      <c r="C1205" s="3">
        <v>2022</v>
      </c>
      <c r="D1205" s="3">
        <v>6.0629999999999997</v>
      </c>
      <c r="E1205" s="3">
        <v>1.2190000000000001</v>
      </c>
      <c r="F1205" s="3">
        <v>11.4466436998836</v>
      </c>
      <c r="G1205" s="5"/>
      <c r="H1205" s="3">
        <v>15.046251741532201</v>
      </c>
      <c r="I1205" s="5"/>
      <c r="J1205" s="3">
        <v>16.655195855787198</v>
      </c>
      <c r="K1205" s="3">
        <v>13.543999999999899</v>
      </c>
      <c r="L1205" s="3">
        <v>1.0920000000000001</v>
      </c>
      <c r="M1205" s="3">
        <v>0.6</v>
      </c>
      <c r="N1205" s="3">
        <v>0.71599999999999997</v>
      </c>
      <c r="O1205" s="3">
        <v>0.28299999999999997</v>
      </c>
      <c r="P1205" s="3">
        <v>0.24</v>
      </c>
      <c r="Q1205" s="3"/>
    </row>
    <row r="1206" spans="1:17" x14ac:dyDescent="0.25">
      <c r="A1206" s="3" t="s">
        <v>190</v>
      </c>
      <c r="B1206" s="3" t="s">
        <v>111</v>
      </c>
      <c r="C1206" s="3">
        <v>2023</v>
      </c>
      <c r="D1206" s="3">
        <v>6.0140000000000002</v>
      </c>
      <c r="E1206" s="3">
        <v>1.2270000000000001</v>
      </c>
      <c r="F1206" s="3">
        <v>9.9510000000000005</v>
      </c>
      <c r="G1206" s="5"/>
      <c r="H1206" s="3">
        <v>12.054103521740799</v>
      </c>
      <c r="I1206" s="5"/>
      <c r="J1206" s="3">
        <v>16.6629574979493</v>
      </c>
      <c r="K1206" s="3">
        <v>12.2338387012708</v>
      </c>
      <c r="L1206" s="3">
        <v>1.347</v>
      </c>
      <c r="M1206" s="3">
        <v>0.375</v>
      </c>
      <c r="N1206" s="3">
        <v>0.74</v>
      </c>
      <c r="O1206" s="3">
        <v>0.26</v>
      </c>
      <c r="P1206" s="3">
        <v>0.20799999999999999</v>
      </c>
      <c r="Q1206" s="3"/>
    </row>
    <row r="1207" spans="1:17" x14ac:dyDescent="0.25">
      <c r="A1207" s="3" t="s">
        <v>191</v>
      </c>
      <c r="B1207" s="3" t="s">
        <v>67</v>
      </c>
      <c r="C1207" s="3">
        <v>2015</v>
      </c>
      <c r="D1207" s="3">
        <v>5.36</v>
      </c>
      <c r="E1207" s="3">
        <v>0.63216000000000006</v>
      </c>
      <c r="F1207" s="3">
        <v>0.644181668758392</v>
      </c>
      <c r="G1207" s="3">
        <v>-1.61869609355926</v>
      </c>
      <c r="H1207" s="3">
        <v>1.47833251953125</v>
      </c>
      <c r="I1207" s="3">
        <v>2.0499999999999998</v>
      </c>
      <c r="J1207" s="3">
        <v>-0.58589351177215498</v>
      </c>
      <c r="K1207" s="3">
        <v>-1.7161374309730599</v>
      </c>
      <c r="L1207" s="3">
        <v>0.91225999999999996</v>
      </c>
      <c r="M1207" s="3">
        <v>0.74675999999999998</v>
      </c>
      <c r="N1207" s="3">
        <v>0.59443999999999997</v>
      </c>
      <c r="O1207" s="3">
        <v>0.1686</v>
      </c>
      <c r="P1207" s="3">
        <v>0.10441</v>
      </c>
      <c r="Q1207" s="3"/>
    </row>
    <row r="1208" spans="1:17" x14ac:dyDescent="0.25">
      <c r="A1208" s="3" t="s">
        <v>191</v>
      </c>
      <c r="B1208" s="3" t="s">
        <v>67</v>
      </c>
      <c r="C1208" s="3">
        <v>2016</v>
      </c>
      <c r="D1208" s="3">
        <v>5.0609999999999999</v>
      </c>
      <c r="E1208" s="3">
        <v>0.74036999999999997</v>
      </c>
      <c r="F1208" s="3">
        <v>2.6803965568542401</v>
      </c>
      <c r="G1208" s="3">
        <v>2.40275979042053</v>
      </c>
      <c r="H1208" s="3">
        <v>2.6089303493499698</v>
      </c>
      <c r="I1208" s="3">
        <v>1.83</v>
      </c>
      <c r="J1208" s="3">
        <v>-0.61201357841491699</v>
      </c>
      <c r="K1208" s="3">
        <v>1.81945067543991</v>
      </c>
      <c r="L1208" s="3">
        <v>0.79117000000000004</v>
      </c>
      <c r="M1208" s="3">
        <v>0.66156999999999999</v>
      </c>
      <c r="N1208" s="3">
        <v>0.55954000000000004</v>
      </c>
      <c r="O1208" s="3">
        <v>0.25074999999999997</v>
      </c>
      <c r="P1208" s="3">
        <v>0.11556</v>
      </c>
      <c r="Q1208" s="3"/>
    </row>
    <row r="1209" spans="1:17" x14ac:dyDescent="0.25">
      <c r="A1209" s="3" t="s">
        <v>191</v>
      </c>
      <c r="B1209" s="3" t="s">
        <v>67</v>
      </c>
      <c r="C1209" s="3">
        <v>2017</v>
      </c>
      <c r="D1209" s="3">
        <v>5.0739998819999999</v>
      </c>
      <c r="E1209" s="3">
        <v>0.78854757499999995</v>
      </c>
      <c r="F1209" s="3">
        <v>3.5209999999999999</v>
      </c>
      <c r="G1209" s="3">
        <v>4.29314708709716</v>
      </c>
      <c r="H1209" s="3">
        <v>-1.0796248912811199</v>
      </c>
      <c r="I1209" s="3">
        <v>1.40758824348449</v>
      </c>
      <c r="J1209" s="5"/>
      <c r="K1209" s="3">
        <v>4.36278692422822</v>
      </c>
      <c r="L1209" s="3">
        <v>1.277491331</v>
      </c>
      <c r="M1209" s="3">
        <v>0.65216898899999998</v>
      </c>
      <c r="N1209" s="3">
        <v>0.57105559100000003</v>
      </c>
      <c r="O1209" s="3">
        <v>0.23496805100000001</v>
      </c>
      <c r="P1209" s="3">
        <v>8.7633237000000003E-2</v>
      </c>
      <c r="Q1209" s="3"/>
    </row>
    <row r="1210" spans="1:17" x14ac:dyDescent="0.25">
      <c r="A1210" s="3" t="s">
        <v>191</v>
      </c>
      <c r="B1210" s="3" t="s">
        <v>67</v>
      </c>
      <c r="C1210" s="3">
        <v>2018</v>
      </c>
      <c r="D1210" s="3">
        <v>5.1029999999999998</v>
      </c>
      <c r="E1210" s="3">
        <v>0.71499999999999997</v>
      </c>
      <c r="F1210" s="3">
        <v>3.54</v>
      </c>
      <c r="G1210" s="3">
        <v>3.3136007785797101</v>
      </c>
      <c r="H1210" s="3">
        <v>3.2394330501556299</v>
      </c>
      <c r="I1210" s="3">
        <v>1.4794940948486299</v>
      </c>
      <c r="J1210" s="5"/>
      <c r="K1210" s="3">
        <v>3.84398874145556</v>
      </c>
      <c r="L1210" s="3">
        <v>1.365</v>
      </c>
      <c r="M1210" s="3">
        <v>0.70199999999999996</v>
      </c>
      <c r="N1210" s="3">
        <v>0.61799999999999999</v>
      </c>
      <c r="O1210" s="3">
        <v>0.17699999999999999</v>
      </c>
      <c r="P1210" s="3">
        <v>7.9000000000000001E-2</v>
      </c>
      <c r="Q1210" s="3"/>
    </row>
    <row r="1211" spans="1:17" x14ac:dyDescent="0.25">
      <c r="A1211" s="3" t="s">
        <v>191</v>
      </c>
      <c r="B1211" s="3" t="s">
        <v>67</v>
      </c>
      <c r="C1211" s="3">
        <v>2019</v>
      </c>
      <c r="D1211" s="3">
        <v>5.1749999999999998</v>
      </c>
      <c r="E1211" s="3">
        <v>0.74099999999999999</v>
      </c>
      <c r="F1211" s="3">
        <v>2.7969999313354399</v>
      </c>
      <c r="G1211" s="3">
        <v>3.04232454299926</v>
      </c>
      <c r="H1211" s="3">
        <v>4.0727829933166504</v>
      </c>
      <c r="I1211" s="3">
        <v>2.0121903419494598</v>
      </c>
      <c r="J1211" s="5"/>
      <c r="K1211" s="3">
        <v>2.2012700379462502</v>
      </c>
      <c r="L1211" s="3">
        <v>1.3460000000000001</v>
      </c>
      <c r="M1211" s="3">
        <v>0.85099999999999998</v>
      </c>
      <c r="N1211" s="3">
        <v>0.54300000000000004</v>
      </c>
      <c r="O1211" s="3">
        <v>0.14699999999999999</v>
      </c>
      <c r="P1211" s="3">
        <v>7.2999999999999995E-2</v>
      </c>
      <c r="Q1211" s="3"/>
    </row>
    <row r="1212" spans="1:17" x14ac:dyDescent="0.25">
      <c r="A1212" s="3" t="s">
        <v>191</v>
      </c>
      <c r="B1212" s="3" t="s">
        <v>67</v>
      </c>
      <c r="C1212" s="3">
        <v>2020</v>
      </c>
      <c r="D1212" s="3">
        <v>5.3534998890000001</v>
      </c>
      <c r="E1212" s="3">
        <v>0.71809238200000003</v>
      </c>
      <c r="F1212" s="3">
        <v>3.2209343665250301</v>
      </c>
      <c r="G1212" s="3">
        <v>0.63482645049855002</v>
      </c>
      <c r="H1212" s="3">
        <v>9.4384908676147408</v>
      </c>
      <c r="I1212" s="3">
        <v>2.3091666698455802</v>
      </c>
      <c r="J1212" s="5"/>
      <c r="K1212" s="3">
        <v>0.44958861378949999</v>
      </c>
      <c r="L1212" s="3">
        <v>1.253074765</v>
      </c>
      <c r="M1212" s="3">
        <v>0.819133997</v>
      </c>
      <c r="N1212" s="3">
        <v>0.65083557400000003</v>
      </c>
      <c r="O1212" s="3">
        <v>0.13648872100000001</v>
      </c>
      <c r="P1212" s="3">
        <v>8.9848459000000006E-2</v>
      </c>
      <c r="Q1212" s="3"/>
    </row>
    <row r="1213" spans="1:17" x14ac:dyDescent="0.25">
      <c r="A1213" s="3" t="s">
        <v>191</v>
      </c>
      <c r="B1213" s="3" t="s">
        <v>67</v>
      </c>
      <c r="C1213" s="3">
        <v>2021</v>
      </c>
      <c r="D1213" s="3">
        <v>5.4109999999999996</v>
      </c>
      <c r="E1213" s="3">
        <v>0.81699999999999995</v>
      </c>
      <c r="F1213" s="3">
        <v>1.83471554810462</v>
      </c>
      <c r="G1213" s="3">
        <v>1.76</v>
      </c>
      <c r="H1213" s="3">
        <v>0.73</v>
      </c>
      <c r="I1213" s="3">
        <v>0.80800840589390099</v>
      </c>
      <c r="J1213" s="5"/>
      <c r="K1213" s="3">
        <v>2.7782729446780299</v>
      </c>
      <c r="L1213" s="3">
        <v>0.873</v>
      </c>
      <c r="M1213" s="3">
        <v>0.61599999999999999</v>
      </c>
      <c r="N1213" s="3">
        <v>0.67900000000000005</v>
      </c>
      <c r="O1213" s="3">
        <v>0.124</v>
      </c>
      <c r="P1213" s="3">
        <v>9.0999999999999998E-2</v>
      </c>
      <c r="Q1213" s="3"/>
    </row>
    <row r="1214" spans="1:17" x14ac:dyDescent="0.25">
      <c r="A1214" s="3" t="s">
        <v>191</v>
      </c>
      <c r="B1214" s="3" t="s">
        <v>67</v>
      </c>
      <c r="C1214" s="3">
        <v>2022</v>
      </c>
      <c r="D1214" s="3">
        <v>5.4850000000000003</v>
      </c>
      <c r="E1214" s="3">
        <v>1.252</v>
      </c>
      <c r="F1214" s="3">
        <v>3.1565074996311102</v>
      </c>
      <c r="G1214" s="3">
        <v>3.12082696652161</v>
      </c>
      <c r="H1214" s="3">
        <v>2.4133870781807301</v>
      </c>
      <c r="I1214" s="3">
        <v>2.6065948627618698</v>
      </c>
      <c r="J1214" s="5"/>
      <c r="K1214" s="3">
        <v>3.7169844056716399</v>
      </c>
      <c r="L1214" s="3">
        <v>0.93200000000000005</v>
      </c>
      <c r="M1214" s="3">
        <v>0.61099999999999999</v>
      </c>
      <c r="N1214" s="3">
        <v>0.70699999999999996</v>
      </c>
      <c r="O1214" s="3">
        <v>0.14299999999999999</v>
      </c>
      <c r="P1214" s="3">
        <v>0.105</v>
      </c>
      <c r="Q1214" s="3"/>
    </row>
    <row r="1215" spans="1:17" x14ac:dyDescent="0.25">
      <c r="A1215" s="3" t="s">
        <v>191</v>
      </c>
      <c r="B1215" s="3" t="s">
        <v>67</v>
      </c>
      <c r="C1215" s="3">
        <v>2023</v>
      </c>
      <c r="D1215" s="3">
        <v>5.7629999999999999</v>
      </c>
      <c r="E1215" s="3">
        <v>1.349</v>
      </c>
      <c r="F1215" s="3">
        <v>3.2528928266766202</v>
      </c>
      <c r="G1215" s="3">
        <v>6.5278970125787703</v>
      </c>
      <c r="H1215" s="3">
        <v>3.4328994334513601</v>
      </c>
      <c r="I1215" s="3">
        <v>4.1546905637496501</v>
      </c>
      <c r="J1215" s="5"/>
      <c r="K1215" s="3">
        <v>1.92031136913051</v>
      </c>
      <c r="L1215" s="3">
        <v>1.212</v>
      </c>
      <c r="M1215" s="3">
        <v>0.38100000000000001</v>
      </c>
      <c r="N1215" s="3">
        <v>0.74099999999999999</v>
      </c>
      <c r="O1215" s="3">
        <v>0.13400000000000001</v>
      </c>
      <c r="P1215" s="3">
        <v>0.122</v>
      </c>
      <c r="Q1215" s="3"/>
    </row>
    <row r="1216" spans="1:17" x14ac:dyDescent="0.25">
      <c r="A1216" s="3" t="s">
        <v>192</v>
      </c>
      <c r="B1216" s="3" t="s">
        <v>43</v>
      </c>
      <c r="C1216" s="3">
        <v>2015</v>
      </c>
      <c r="D1216" s="3">
        <v>5.1289999999999996</v>
      </c>
      <c r="E1216" s="3">
        <v>0.47038000000000002</v>
      </c>
      <c r="F1216" s="3">
        <v>10.112442970275801</v>
      </c>
      <c r="G1216" s="3">
        <v>7.5850572586059499</v>
      </c>
      <c r="H1216" s="3">
        <v>11.0804290771484</v>
      </c>
      <c r="I1216" s="5"/>
      <c r="J1216" s="5"/>
      <c r="K1216" s="3">
        <v>6.6606078231787098</v>
      </c>
      <c r="L1216" s="3">
        <v>0.91612000000000005</v>
      </c>
      <c r="M1216" s="3">
        <v>0.29924000000000001</v>
      </c>
      <c r="N1216" s="3">
        <v>0.48826999999999998</v>
      </c>
      <c r="O1216" s="3">
        <v>0.19591</v>
      </c>
      <c r="P1216" s="3">
        <v>0.12468</v>
      </c>
      <c r="Q1216" s="3"/>
    </row>
    <row r="1217" spans="1:17" x14ac:dyDescent="0.25">
      <c r="A1217" s="3" t="s">
        <v>192</v>
      </c>
      <c r="B1217" s="3" t="s">
        <v>43</v>
      </c>
      <c r="C1217" s="3">
        <v>2016</v>
      </c>
      <c r="D1217" s="3">
        <v>4.7949999999999999</v>
      </c>
      <c r="E1217" s="3">
        <v>0.61202000000000001</v>
      </c>
      <c r="F1217" s="3">
        <v>17.8611755371093</v>
      </c>
      <c r="G1217" s="3">
        <v>5.40138435363769</v>
      </c>
      <c r="H1217" s="3">
        <v>21.264833450317301</v>
      </c>
      <c r="I1217" s="5"/>
      <c r="J1217" s="5"/>
      <c r="K1217" s="3">
        <v>13.552054859885001</v>
      </c>
      <c r="L1217" s="3">
        <v>0.63759999999999994</v>
      </c>
      <c r="M1217" s="3">
        <v>0.23573</v>
      </c>
      <c r="N1217" s="3">
        <v>0.42662</v>
      </c>
      <c r="O1217" s="3">
        <v>0.17866000000000001</v>
      </c>
      <c r="P1217" s="3">
        <v>0.11479</v>
      </c>
      <c r="Q1217" s="3"/>
    </row>
    <row r="1218" spans="1:17" x14ac:dyDescent="0.25">
      <c r="A1218" s="3" t="s">
        <v>192</v>
      </c>
      <c r="B1218" s="3" t="s">
        <v>43</v>
      </c>
      <c r="C1218" s="3">
        <v>2017</v>
      </c>
      <c r="D1218" s="3">
        <v>4.5139999389999996</v>
      </c>
      <c r="E1218" s="3">
        <v>0.63640677899999998</v>
      </c>
      <c r="F1218" s="3">
        <v>6.577</v>
      </c>
      <c r="G1218" s="3">
        <v>10.9013710021972</v>
      </c>
      <c r="H1218" s="3">
        <v>5.7610492706298801</v>
      </c>
      <c r="I1218" s="5"/>
      <c r="J1218" s="5"/>
      <c r="K1218" s="3">
        <v>10.0959287317957</v>
      </c>
      <c r="L1218" s="3">
        <v>1.0031872989999999</v>
      </c>
      <c r="M1218" s="3">
        <v>0.25783589499999998</v>
      </c>
      <c r="N1218" s="3">
        <v>0.461603492</v>
      </c>
      <c r="O1218" s="3">
        <v>0.249580145</v>
      </c>
      <c r="P1218" s="3">
        <v>7.8213550000000007E-2</v>
      </c>
      <c r="Q1218" s="3"/>
    </row>
    <row r="1219" spans="1:17" x14ac:dyDescent="0.25">
      <c r="A1219" s="3" t="s">
        <v>192</v>
      </c>
      <c r="B1219" s="3" t="s">
        <v>43</v>
      </c>
      <c r="C1219" s="3">
        <v>2018</v>
      </c>
      <c r="D1219" s="3">
        <v>4.3769999999999998</v>
      </c>
      <c r="E1219" s="3">
        <v>0.56200000000000006</v>
      </c>
      <c r="F1219" s="3">
        <v>7.49</v>
      </c>
      <c r="G1219" s="3">
        <v>11.310671806335399</v>
      </c>
      <c r="H1219" s="3">
        <v>7.1422123908996502</v>
      </c>
      <c r="I1219" s="5"/>
      <c r="J1219" s="5"/>
      <c r="K1219" s="3">
        <v>7.41112322791711</v>
      </c>
      <c r="L1219" s="3">
        <v>1.0469999999999999</v>
      </c>
      <c r="M1219" s="3">
        <v>0.29499999999999998</v>
      </c>
      <c r="N1219" s="3">
        <v>0.503</v>
      </c>
      <c r="O1219" s="3">
        <v>0.221</v>
      </c>
      <c r="P1219" s="3">
        <v>8.2000000000000003E-2</v>
      </c>
      <c r="Q1219" s="3"/>
    </row>
    <row r="1220" spans="1:17" x14ac:dyDescent="0.25">
      <c r="A1220" s="3" t="s">
        <v>192</v>
      </c>
      <c r="B1220" s="3" t="s">
        <v>43</v>
      </c>
      <c r="C1220" s="3">
        <v>2019</v>
      </c>
      <c r="D1220" s="3">
        <v>4.1070000000000002</v>
      </c>
      <c r="E1220" s="3">
        <v>0.57799999999999996</v>
      </c>
      <c r="F1220" s="3">
        <v>9.8000001907348597</v>
      </c>
      <c r="G1220" s="3">
        <v>5.6907606124877903</v>
      </c>
      <c r="H1220" s="3">
        <v>10.440583229064901</v>
      </c>
      <c r="I1220" s="5"/>
      <c r="J1220" s="5"/>
      <c r="K1220" s="3">
        <v>7.63330490578298</v>
      </c>
      <c r="L1220" s="3">
        <v>1.0580000000000001</v>
      </c>
      <c r="M1220" s="3">
        <v>0.42599999999999999</v>
      </c>
      <c r="N1220" s="3">
        <v>0.43099999999999999</v>
      </c>
      <c r="O1220" s="3">
        <v>0.247</v>
      </c>
      <c r="P1220" s="3">
        <v>8.6999999999999994E-2</v>
      </c>
      <c r="Q1220" s="3"/>
    </row>
    <row r="1221" spans="1:17" x14ac:dyDescent="0.25">
      <c r="A1221" s="3" t="s">
        <v>192</v>
      </c>
      <c r="B1221" s="3" t="s">
        <v>43</v>
      </c>
      <c r="C1221" s="3">
        <v>2020</v>
      </c>
      <c r="D1221" s="3">
        <v>3.7593998910000002</v>
      </c>
      <c r="E1221" s="3">
        <v>0.53683376299999996</v>
      </c>
      <c r="F1221" s="3">
        <v>15.732585142127499</v>
      </c>
      <c r="G1221" s="3">
        <v>18.820837868917899</v>
      </c>
      <c r="H1221" s="3">
        <v>16.236221313476499</v>
      </c>
      <c r="I1221" s="5"/>
      <c r="J1221" s="5"/>
      <c r="K1221" s="3">
        <v>17.148597597498402</v>
      </c>
      <c r="L1221" s="3">
        <v>0.89603728100000002</v>
      </c>
      <c r="M1221" s="3">
        <v>0.36359333999999999</v>
      </c>
      <c r="N1221" s="3">
        <v>0.49131754</v>
      </c>
      <c r="O1221" s="3">
        <v>0.25062090199999998</v>
      </c>
      <c r="P1221" s="3">
        <v>8.6705238000000004E-2</v>
      </c>
      <c r="Q1221" s="3"/>
    </row>
    <row r="1222" spans="1:17" x14ac:dyDescent="0.25">
      <c r="A1222" s="3" t="s">
        <v>192</v>
      </c>
      <c r="B1222" s="3" t="s">
        <v>43</v>
      </c>
      <c r="C1222" s="3">
        <v>2021</v>
      </c>
      <c r="D1222" s="3">
        <v>4.0730000000000004</v>
      </c>
      <c r="E1222" s="3">
        <v>0.52800000000000002</v>
      </c>
      <c r="F1222" s="3">
        <v>22.020767624577498</v>
      </c>
      <c r="G1222" s="3">
        <v>18.48</v>
      </c>
      <c r="H1222" s="3">
        <v>27.71</v>
      </c>
      <c r="I1222" s="5"/>
      <c r="J1222" s="5"/>
      <c r="K1222" s="3">
        <v>27.585833900501498</v>
      </c>
      <c r="L1222" s="3">
        <v>0.55200000000000005</v>
      </c>
      <c r="M1222" s="3">
        <v>0.23100000000000001</v>
      </c>
      <c r="N1222" s="3">
        <v>0.48699999999999999</v>
      </c>
      <c r="O1222" s="3">
        <v>0.22700000000000001</v>
      </c>
      <c r="P1222" s="3">
        <v>7.3999999999999996E-2</v>
      </c>
      <c r="Q1222" s="3"/>
    </row>
    <row r="1223" spans="1:17" x14ac:dyDescent="0.25">
      <c r="A1223" s="3" t="s">
        <v>192</v>
      </c>
      <c r="B1223" s="3" t="s">
        <v>43</v>
      </c>
      <c r="C1223" s="3">
        <v>2022</v>
      </c>
      <c r="D1223" s="3">
        <v>3.76</v>
      </c>
      <c r="E1223" s="3">
        <v>0.93</v>
      </c>
      <c r="F1223" s="3">
        <v>10.993203920913601</v>
      </c>
      <c r="G1223" s="3">
        <v>8.2137900731630804</v>
      </c>
      <c r="H1223" s="3">
        <v>12.847918716734499</v>
      </c>
      <c r="I1223" s="5"/>
      <c r="J1223" s="5"/>
      <c r="K1223" s="3">
        <v>8.7393000289782208</v>
      </c>
      <c r="L1223" s="3">
        <v>0.57699999999999996</v>
      </c>
      <c r="M1223" s="3">
        <v>0.30599999999999999</v>
      </c>
      <c r="N1223" s="3">
        <v>0.52500000000000002</v>
      </c>
      <c r="O1223" s="3">
        <v>0.20300000000000001</v>
      </c>
      <c r="P1223" s="3">
        <v>8.3000000000000004E-2</v>
      </c>
      <c r="Q1223" s="3"/>
    </row>
    <row r="1224" spans="1:17" x14ac:dyDescent="0.25">
      <c r="A1224" s="3" t="s">
        <v>192</v>
      </c>
      <c r="B1224" s="3" t="s">
        <v>43</v>
      </c>
      <c r="C1224" s="3">
        <v>2023</v>
      </c>
      <c r="D1224" s="3">
        <v>3.9820000000000002</v>
      </c>
      <c r="E1224" s="3">
        <v>0.91400000000000003</v>
      </c>
      <c r="F1224" s="3">
        <v>10.952999999999999</v>
      </c>
      <c r="G1224" s="3">
        <v>7.8934959402623903</v>
      </c>
      <c r="H1224" s="3">
        <v>12.439129870691501</v>
      </c>
      <c r="I1224" s="5"/>
      <c r="J1224" s="5"/>
      <c r="K1224" s="3">
        <v>6.6717774446953797</v>
      </c>
      <c r="L1224" s="3">
        <v>0.89</v>
      </c>
      <c r="M1224" s="3">
        <v>9.5000000000000001E-2</v>
      </c>
      <c r="N1224" s="3">
        <v>0.54500000000000004</v>
      </c>
      <c r="O1224" s="3">
        <v>0.189</v>
      </c>
      <c r="P1224" s="3">
        <v>0.08</v>
      </c>
      <c r="Q1224" s="3"/>
    </row>
    <row r="1225" spans="1:17" x14ac:dyDescent="0.25">
      <c r="A1225" s="3" t="s">
        <v>193</v>
      </c>
      <c r="B1225" s="3" t="s">
        <v>43</v>
      </c>
      <c r="C1225" s="3">
        <v>2015</v>
      </c>
      <c r="D1225" s="3">
        <v>4.6100000000000003</v>
      </c>
      <c r="E1225" s="3">
        <v>0.27100000000000002</v>
      </c>
      <c r="F1225" s="3">
        <v>-2.41000008583068</v>
      </c>
      <c r="G1225" s="3">
        <v>-2.5599999427795401</v>
      </c>
      <c r="H1225" s="3">
        <v>-3.3399999141693102</v>
      </c>
      <c r="I1225" s="5"/>
      <c r="J1225" s="5"/>
      <c r="K1225" s="3">
        <v>0.60781391905240401</v>
      </c>
      <c r="L1225" s="3">
        <v>1.0327599999999999</v>
      </c>
      <c r="M1225" s="3">
        <v>0.33474999999999999</v>
      </c>
      <c r="N1225" s="3">
        <v>0.25861000000000001</v>
      </c>
      <c r="O1225" s="3">
        <v>0.18987000000000001</v>
      </c>
      <c r="P1225" s="3">
        <v>8.0790000000000001E-2</v>
      </c>
      <c r="Q1225" s="3"/>
    </row>
    <row r="1226" spans="1:17" x14ac:dyDescent="0.25">
      <c r="A1226" s="3" t="s">
        <v>193</v>
      </c>
      <c r="B1226" s="3" t="s">
        <v>43</v>
      </c>
      <c r="C1226" s="3">
        <v>2016</v>
      </c>
      <c r="D1226" s="3">
        <v>4.1929999999999996</v>
      </c>
      <c r="E1226" s="3">
        <v>0.35041</v>
      </c>
      <c r="F1226" s="3">
        <v>-1.56599998474121</v>
      </c>
      <c r="G1226" s="3">
        <v>-2.4300000667571999</v>
      </c>
      <c r="H1226" s="3">
        <v>-3.2599999904632502</v>
      </c>
      <c r="I1226" s="5"/>
      <c r="J1226" s="5"/>
      <c r="K1226" s="3">
        <v>2.1609926956129799</v>
      </c>
      <c r="L1226" s="3">
        <v>0.71477999999999997</v>
      </c>
      <c r="M1226" s="3">
        <v>0.1595</v>
      </c>
      <c r="N1226" s="3">
        <v>0.25429000000000002</v>
      </c>
      <c r="O1226" s="3">
        <v>0.18503</v>
      </c>
      <c r="P1226" s="3">
        <v>8.5819999999999994E-2</v>
      </c>
      <c r="Q1226" s="3"/>
    </row>
    <row r="1227" spans="1:17" x14ac:dyDescent="0.25">
      <c r="A1227" s="3" t="s">
        <v>193</v>
      </c>
      <c r="B1227" s="3" t="s">
        <v>43</v>
      </c>
      <c r="C1227" s="3">
        <v>2017</v>
      </c>
      <c r="D1227" s="3">
        <v>3.875</v>
      </c>
      <c r="E1227" s="3">
        <v>0.37584653499999998</v>
      </c>
      <c r="F1227" s="3">
        <v>0.90700000000000003</v>
      </c>
      <c r="G1227" s="3">
        <v>-1.40999996662139</v>
      </c>
      <c r="H1227" s="3">
        <v>2.5</v>
      </c>
      <c r="I1227" s="5"/>
      <c r="J1227" s="5"/>
      <c r="K1227" s="3">
        <v>2.44294630978573</v>
      </c>
      <c r="L1227" s="3">
        <v>1.083095908</v>
      </c>
      <c r="M1227" s="3">
        <v>0.19676375400000001</v>
      </c>
      <c r="N1227" s="3">
        <v>0.33638420699999999</v>
      </c>
      <c r="O1227" s="3">
        <v>0.189143494</v>
      </c>
      <c r="P1227" s="3">
        <v>9.5375380999999995E-2</v>
      </c>
      <c r="Q1227" s="3"/>
    </row>
    <row r="1228" spans="1:17" x14ac:dyDescent="0.25">
      <c r="A1228" s="3" t="s">
        <v>193</v>
      </c>
      <c r="B1228" s="3" t="s">
        <v>43</v>
      </c>
      <c r="C1228" s="3">
        <v>2018</v>
      </c>
      <c r="D1228" s="3">
        <v>3.6920000000000002</v>
      </c>
      <c r="E1228" s="3">
        <v>0.35699999999999998</v>
      </c>
      <c r="F1228" s="3">
        <v>10.61</v>
      </c>
      <c r="G1228" s="3">
        <v>0.99429021460917699</v>
      </c>
      <c r="H1228" s="3">
        <v>14.589943132189999</v>
      </c>
      <c r="I1228" s="5"/>
      <c r="J1228" s="5"/>
      <c r="K1228" s="3">
        <v>5.2202266674508104</v>
      </c>
      <c r="L1228" s="3">
        <v>1.0940000000000001</v>
      </c>
      <c r="M1228" s="3">
        <v>0.248</v>
      </c>
      <c r="N1228" s="3">
        <v>0.40600000000000003</v>
      </c>
      <c r="O1228" s="3">
        <v>0.13200000000000001</v>
      </c>
      <c r="P1228" s="3">
        <v>9.9000000000000005E-2</v>
      </c>
      <c r="Q1228" s="3"/>
    </row>
    <row r="1229" spans="1:17" x14ac:dyDescent="0.25">
      <c r="A1229" s="3" t="s">
        <v>193</v>
      </c>
      <c r="B1229" s="3" t="s">
        <v>43</v>
      </c>
      <c r="C1229" s="3">
        <v>2019</v>
      </c>
      <c r="D1229" s="3">
        <v>3.6629999999999998</v>
      </c>
      <c r="E1229" s="3">
        <v>0.36599999999999999</v>
      </c>
      <c r="F1229" s="3">
        <v>255.29200744628901</v>
      </c>
      <c r="G1229" s="3">
        <v>90.808070962082098</v>
      </c>
      <c r="H1229" s="3">
        <v>86.124370521711597</v>
      </c>
      <c r="I1229" s="5"/>
      <c r="J1229" s="5"/>
      <c r="K1229" s="3">
        <v>-4.0352348712230102</v>
      </c>
      <c r="L1229" s="3">
        <v>1.1140000000000001</v>
      </c>
      <c r="M1229" s="3">
        <v>0.433</v>
      </c>
      <c r="N1229" s="3">
        <v>0.36099999999999999</v>
      </c>
      <c r="O1229" s="3">
        <v>0.151</v>
      </c>
      <c r="P1229" s="3">
        <v>8.8999999999999996E-2</v>
      </c>
      <c r="Q1229" s="3"/>
    </row>
    <row r="1230" spans="1:17" x14ac:dyDescent="0.25">
      <c r="A1230" s="3" t="s">
        <v>193</v>
      </c>
      <c r="B1230" s="3" t="s">
        <v>43</v>
      </c>
      <c r="C1230" s="3">
        <v>2020</v>
      </c>
      <c r="D1230" s="3">
        <v>3.2992000579999998</v>
      </c>
      <c r="E1230" s="3">
        <v>0.42556402100000001</v>
      </c>
      <c r="F1230" s="3">
        <v>557.21</v>
      </c>
      <c r="G1230" s="3">
        <v>306.43167305236301</v>
      </c>
      <c r="H1230" s="3">
        <v>601.02023561242299</v>
      </c>
      <c r="I1230" s="5"/>
      <c r="J1230" s="5"/>
      <c r="K1230" s="3">
        <v>568.97186159168098</v>
      </c>
      <c r="L1230" s="3">
        <v>1.0478352310000001</v>
      </c>
      <c r="M1230" s="3">
        <v>0.37503761099999999</v>
      </c>
      <c r="N1230" s="3">
        <v>0.37740472000000003</v>
      </c>
      <c r="O1230" s="3">
        <v>0.151349187</v>
      </c>
      <c r="P1230" s="3">
        <v>8.0928579E-2</v>
      </c>
      <c r="Q1230" s="3"/>
    </row>
    <row r="1231" spans="1:17" x14ac:dyDescent="0.25">
      <c r="A1231" s="3" t="s">
        <v>193</v>
      </c>
      <c r="B1231" s="3" t="s">
        <v>43</v>
      </c>
      <c r="C1231" s="3">
        <v>2021</v>
      </c>
      <c r="D1231" s="3">
        <v>3.145</v>
      </c>
      <c r="E1231" s="3">
        <v>0.45700000000000002</v>
      </c>
      <c r="F1231" s="3">
        <v>98.546000000000006</v>
      </c>
      <c r="G1231" s="3">
        <v>69.819999999999993</v>
      </c>
      <c r="H1231" s="3">
        <v>105.8</v>
      </c>
      <c r="I1231" s="5"/>
      <c r="J1231" s="5"/>
      <c r="K1231" s="3">
        <v>113.294980646572</v>
      </c>
      <c r="L1231" s="3">
        <v>0.64900000000000002</v>
      </c>
      <c r="M1231" s="3">
        <v>0.24299999999999999</v>
      </c>
      <c r="N1231" s="3">
        <v>0.35899999999999999</v>
      </c>
      <c r="O1231" s="3">
        <v>0.157</v>
      </c>
      <c r="P1231" s="3">
        <v>7.4999999999999997E-2</v>
      </c>
      <c r="Q1231" s="3"/>
    </row>
    <row r="1232" spans="1:17" x14ac:dyDescent="0.25">
      <c r="A1232" s="3" t="s">
        <v>193</v>
      </c>
      <c r="B1232" s="3" t="s">
        <v>43</v>
      </c>
      <c r="C1232" s="3">
        <v>2022</v>
      </c>
      <c r="D1232" s="3">
        <v>2.9950000000000001</v>
      </c>
      <c r="E1232" s="3">
        <v>0.94699999999999995</v>
      </c>
      <c r="F1232" s="3">
        <v>104.70517062866701</v>
      </c>
      <c r="G1232" s="3">
        <v>97.246549968511601</v>
      </c>
      <c r="H1232" s="3">
        <v>149.96703449574801</v>
      </c>
      <c r="I1232" s="5"/>
      <c r="J1232" s="5"/>
      <c r="K1232" s="3">
        <v>113.018433586615</v>
      </c>
      <c r="L1232" s="3">
        <v>0.69</v>
      </c>
      <c r="M1232" s="3">
        <v>0.27</v>
      </c>
      <c r="N1232" s="3">
        <v>0.32900000000000001</v>
      </c>
      <c r="O1232" s="3">
        <v>0.106</v>
      </c>
      <c r="P1232" s="3">
        <v>0.105</v>
      </c>
      <c r="Q1232" s="3"/>
    </row>
    <row r="1233" spans="1:17" x14ac:dyDescent="0.25">
      <c r="A1233" s="3" t="s">
        <v>193</v>
      </c>
      <c r="B1233" s="3" t="s">
        <v>43</v>
      </c>
      <c r="C1233" s="3">
        <v>2023</v>
      </c>
      <c r="D1233" s="3">
        <v>3.2040000000000002</v>
      </c>
      <c r="E1233" s="3">
        <v>0.75800000000000001</v>
      </c>
      <c r="F1233" s="3">
        <v>105.401982264308</v>
      </c>
      <c r="G1233" s="3">
        <v>115.380648422666</v>
      </c>
      <c r="H1233" s="5"/>
      <c r="I1233" s="5"/>
      <c r="J1233" s="5"/>
      <c r="K1233" s="3">
        <v>812.24746280161298</v>
      </c>
      <c r="L1233" s="3">
        <v>0.88100000000000001</v>
      </c>
      <c r="M1233" s="3">
        <v>6.9000000000000006E-2</v>
      </c>
      <c r="N1233" s="3">
        <v>0.36299999999999999</v>
      </c>
      <c r="O1233" s="3">
        <v>0.112</v>
      </c>
      <c r="P1233" s="3">
        <v>0.11700000000000001</v>
      </c>
      <c r="Q123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07"/>
  <sheetViews>
    <sheetView workbookViewId="0"/>
  </sheetViews>
  <sheetFormatPr defaultColWidth="11.25" defaultRowHeight="15" customHeight="1" x14ac:dyDescent="0.25"/>
  <sheetData>
    <row r="1" spans="1:12" x14ac:dyDescent="0.25">
      <c r="A1" s="6" t="s">
        <v>194</v>
      </c>
      <c r="B1" s="7"/>
      <c r="C1" s="7"/>
    </row>
    <row r="2" spans="1:12" x14ac:dyDescent="0.25">
      <c r="A2" s="7"/>
      <c r="B2" s="8"/>
      <c r="C2" s="7"/>
    </row>
    <row r="3" spans="1:12" x14ac:dyDescent="0.25">
      <c r="A3" s="7"/>
      <c r="B3" s="9" t="s">
        <v>195</v>
      </c>
      <c r="C3" s="10" t="s">
        <v>11</v>
      </c>
    </row>
    <row r="4" spans="1:12" x14ac:dyDescent="0.25">
      <c r="A4" s="7" t="s">
        <v>196</v>
      </c>
      <c r="B4" s="11">
        <f>AVERAGE('Сирі дані'!D2:D1233)</f>
        <v>5.4990006492710961</v>
      </c>
      <c r="C4" s="11">
        <f>AVERAGE('Сирі дані'!E2:E1233)</f>
        <v>1.0307665294569806</v>
      </c>
    </row>
    <row r="5" spans="1:12" x14ac:dyDescent="0.25">
      <c r="A5" s="7" t="s">
        <v>197</v>
      </c>
      <c r="B5" s="11">
        <f>MEDIAN('Сирі дані'!D2:D1233)</f>
        <v>5.5389499129999997</v>
      </c>
      <c r="C5" s="11">
        <f>MEDIAN('Сирі дані'!E2:E1233)</f>
        <v>1.0514999999999999</v>
      </c>
    </row>
    <row r="6" spans="1:12" x14ac:dyDescent="0.25">
      <c r="A6" s="7" t="s">
        <v>198</v>
      </c>
      <c r="B6" s="11">
        <f>MODE('Сирі дані'!D2:D1233)</f>
        <v>6.125</v>
      </c>
      <c r="C6" s="11">
        <f>MODE('Сирі дані'!E2:E1233)</f>
        <v>0</v>
      </c>
    </row>
    <row r="7" spans="1:12" x14ac:dyDescent="0.25">
      <c r="A7" s="7" t="s">
        <v>199</v>
      </c>
      <c r="B7" s="11">
        <f>MIN('Сирі дані'!D2:D1233)</f>
        <v>1.859</v>
      </c>
      <c r="C7" s="11">
        <f>MIN('Сирі дані'!E2:E1233)</f>
        <v>0</v>
      </c>
    </row>
    <row r="8" spans="1:12" x14ac:dyDescent="0.25">
      <c r="A8" s="7" t="s">
        <v>200</v>
      </c>
      <c r="B8" s="11">
        <f>MAX('Сирі дані'!D2:D1233)</f>
        <v>7.8419999999999996</v>
      </c>
      <c r="C8" s="11">
        <f>MAX('Сирі дані'!E2:E1233)</f>
        <v>2.2090000000000001</v>
      </c>
    </row>
    <row r="9" spans="1:12" x14ac:dyDescent="0.25">
      <c r="A9" s="7" t="s">
        <v>201</v>
      </c>
      <c r="B9" s="11">
        <f t="shared" ref="B9:C9" si="0">MAX(B8)-MIN(B7)</f>
        <v>5.9829999999999997</v>
      </c>
      <c r="C9" s="11">
        <f t="shared" si="0"/>
        <v>2.2090000000000001</v>
      </c>
    </row>
    <row r="10" spans="1:12" x14ac:dyDescent="0.25">
      <c r="A10" s="7" t="s">
        <v>202</v>
      </c>
      <c r="B10" s="11">
        <f>VAR('Сирі дані'!D2:D1233)</f>
        <v>1.2888212608806091</v>
      </c>
      <c r="C10" s="11">
        <f>VAR('Сирі дані'!E2:E1233)</f>
        <v>0.20451223408712971</v>
      </c>
    </row>
    <row r="11" spans="1:12" x14ac:dyDescent="0.25">
      <c r="A11" s="7" t="s">
        <v>203</v>
      </c>
      <c r="B11" s="11">
        <f>STDEV('Сирі дані'!D2:D1233)</f>
        <v>1.1352626396039858</v>
      </c>
      <c r="C11" s="11">
        <f>STDEV('Сирі дані'!E2:E1233)</f>
        <v>0.45223028877677984</v>
      </c>
    </row>
    <row r="12" spans="1:12" x14ac:dyDescent="0.25">
      <c r="A12" s="7"/>
      <c r="B12" s="7"/>
      <c r="C12" s="7"/>
    </row>
    <row r="13" spans="1:12" x14ac:dyDescent="0.25">
      <c r="A13" s="12" t="s">
        <v>204</v>
      </c>
      <c r="B13" s="21" t="s">
        <v>205</v>
      </c>
      <c r="C13" s="20"/>
      <c r="D13" s="20"/>
      <c r="E13" s="20"/>
      <c r="F13" s="20"/>
      <c r="G13" s="20"/>
      <c r="H13" s="20"/>
      <c r="I13" s="20"/>
      <c r="J13" s="20"/>
      <c r="K13" s="20"/>
      <c r="L13" s="20"/>
    </row>
    <row r="14" spans="1:12" ht="15" customHeight="1" x14ac:dyDescent="0.25">
      <c r="B14" s="20"/>
      <c r="C14" s="20"/>
      <c r="D14" s="20"/>
      <c r="E14" s="20"/>
      <c r="F14" s="20"/>
      <c r="G14" s="20"/>
      <c r="H14" s="20"/>
      <c r="I14" s="20"/>
      <c r="J14" s="20"/>
      <c r="K14" s="20"/>
      <c r="L14" s="20"/>
    </row>
    <row r="15" spans="1:12" ht="15" customHeight="1" x14ac:dyDescent="0.25">
      <c r="B15" s="20"/>
      <c r="C15" s="20"/>
      <c r="D15" s="20"/>
      <c r="E15" s="20"/>
      <c r="F15" s="20"/>
      <c r="G15" s="20"/>
      <c r="H15" s="20"/>
      <c r="I15" s="20"/>
      <c r="J15" s="20"/>
      <c r="K15" s="20"/>
      <c r="L15" s="20"/>
    </row>
    <row r="16" spans="1:12" ht="15" customHeight="1" x14ac:dyDescent="0.25">
      <c r="B16" s="20"/>
      <c r="C16" s="20"/>
      <c r="D16" s="20"/>
      <c r="E16" s="20"/>
      <c r="F16" s="20"/>
      <c r="G16" s="20"/>
      <c r="H16" s="20"/>
      <c r="I16" s="20"/>
      <c r="J16" s="20"/>
      <c r="K16" s="20"/>
      <c r="L16" s="20"/>
    </row>
    <row r="17" spans="2:12" ht="15" customHeight="1" x14ac:dyDescent="0.25">
      <c r="B17" s="20"/>
      <c r="C17" s="20"/>
      <c r="D17" s="20"/>
      <c r="E17" s="20"/>
      <c r="F17" s="20"/>
      <c r="G17" s="20"/>
      <c r="H17" s="20"/>
      <c r="I17" s="20"/>
      <c r="J17" s="20"/>
      <c r="K17" s="20"/>
      <c r="L17" s="20"/>
    </row>
    <row r="37" spans="1:11" x14ac:dyDescent="0.25">
      <c r="A37" s="14"/>
    </row>
    <row r="38" spans="1:11" x14ac:dyDescent="0.25">
      <c r="A38" s="14"/>
    </row>
    <row r="39" spans="1:11" x14ac:dyDescent="0.25">
      <c r="A39" s="12" t="s">
        <v>204</v>
      </c>
      <c r="B39" s="21" t="s">
        <v>206</v>
      </c>
      <c r="C39" s="20"/>
      <c r="D39" s="20"/>
      <c r="E39" s="20"/>
      <c r="F39" s="20"/>
      <c r="G39" s="20"/>
      <c r="H39" s="20"/>
      <c r="I39" s="20"/>
      <c r="J39" s="20"/>
      <c r="K39" s="20"/>
    </row>
    <row r="40" spans="1:11" ht="15" customHeight="1" x14ac:dyDescent="0.25">
      <c r="B40" s="20"/>
      <c r="C40" s="20"/>
      <c r="D40" s="20"/>
      <c r="E40" s="20"/>
      <c r="F40" s="20"/>
      <c r="G40" s="20"/>
      <c r="H40" s="20"/>
      <c r="I40" s="20"/>
      <c r="J40" s="20"/>
      <c r="K40" s="20"/>
    </row>
    <row r="41" spans="1:11" ht="15" customHeight="1" x14ac:dyDescent="0.25">
      <c r="B41" s="20"/>
      <c r="C41" s="20"/>
      <c r="D41" s="20"/>
      <c r="E41" s="20"/>
      <c r="F41" s="20"/>
      <c r="G41" s="20"/>
      <c r="H41" s="20"/>
      <c r="I41" s="20"/>
      <c r="J41" s="20"/>
      <c r="K41" s="20"/>
    </row>
    <row r="42" spans="1:11" ht="15" customHeight="1" x14ac:dyDescent="0.25">
      <c r="B42" s="20"/>
      <c r="C42" s="20"/>
      <c r="D42" s="20"/>
      <c r="E42" s="20"/>
      <c r="F42" s="20"/>
      <c r="G42" s="20"/>
      <c r="H42" s="20"/>
      <c r="I42" s="20"/>
      <c r="J42" s="20"/>
      <c r="K42" s="20"/>
    </row>
    <row r="64" spans="1:11" x14ac:dyDescent="0.25">
      <c r="A64" s="12" t="s">
        <v>204</v>
      </c>
      <c r="B64" s="21" t="s">
        <v>207</v>
      </c>
      <c r="C64" s="20"/>
      <c r="D64" s="20"/>
      <c r="E64" s="20"/>
      <c r="F64" s="20"/>
      <c r="G64" s="20"/>
      <c r="H64" s="20"/>
      <c r="I64" s="20"/>
      <c r="J64" s="20"/>
      <c r="K64" s="20"/>
    </row>
    <row r="65" spans="1:11" ht="15" customHeight="1" x14ac:dyDescent="0.25">
      <c r="B65" s="20"/>
      <c r="C65" s="20"/>
      <c r="D65" s="20"/>
      <c r="E65" s="20"/>
      <c r="F65" s="20"/>
      <c r="G65" s="20"/>
      <c r="H65" s="20"/>
      <c r="I65" s="20"/>
      <c r="J65" s="20"/>
      <c r="K65" s="20"/>
    </row>
    <row r="66" spans="1:11" ht="15" customHeight="1" x14ac:dyDescent="0.25">
      <c r="B66" s="20"/>
      <c r="C66" s="20"/>
      <c r="D66" s="20"/>
      <c r="E66" s="20"/>
      <c r="F66" s="20"/>
      <c r="G66" s="20"/>
      <c r="H66" s="20"/>
      <c r="I66" s="20"/>
      <c r="J66" s="20"/>
      <c r="K66" s="20"/>
    </row>
    <row r="69" spans="1:11" x14ac:dyDescent="0.25">
      <c r="A69" s="10" t="s">
        <v>208</v>
      </c>
    </row>
    <row r="70" spans="1:11" x14ac:dyDescent="0.25">
      <c r="A70" s="15" t="s">
        <v>209</v>
      </c>
      <c r="B70" s="16">
        <f>PEARSON('Сирі дані'!$D$2:$D$1233, 'Сирі дані'!$E$2:$E$1233)</f>
        <v>0.73968268163996875</v>
      </c>
    </row>
    <row r="72" spans="1:11" x14ac:dyDescent="0.25">
      <c r="A72" s="12" t="s">
        <v>204</v>
      </c>
      <c r="B72" s="21" t="s">
        <v>210</v>
      </c>
      <c r="C72" s="20"/>
      <c r="D72" s="20"/>
      <c r="E72" s="20"/>
      <c r="F72" s="20"/>
      <c r="G72" s="20"/>
      <c r="H72" s="20"/>
      <c r="I72" s="20"/>
      <c r="J72" s="20"/>
      <c r="K72" s="20"/>
    </row>
    <row r="73" spans="1:11" ht="15" customHeight="1" x14ac:dyDescent="0.25">
      <c r="B73" s="20"/>
      <c r="C73" s="20"/>
      <c r="D73" s="20"/>
      <c r="E73" s="20"/>
      <c r="F73" s="20"/>
      <c r="G73" s="20"/>
      <c r="H73" s="20"/>
      <c r="I73" s="20"/>
      <c r="J73" s="20"/>
      <c r="K73" s="20"/>
    </row>
    <row r="74" spans="1:11" ht="15" customHeight="1" x14ac:dyDescent="0.25">
      <c r="B74" s="20"/>
      <c r="C74" s="20"/>
      <c r="D74" s="20"/>
      <c r="E74" s="20"/>
      <c r="F74" s="20"/>
      <c r="G74" s="20"/>
      <c r="H74" s="20"/>
      <c r="I74" s="20"/>
      <c r="J74" s="20"/>
      <c r="K74" s="20"/>
    </row>
    <row r="76" spans="1:11" x14ac:dyDescent="0.25">
      <c r="A76" s="10" t="s">
        <v>211</v>
      </c>
    </row>
    <row r="77" spans="1:11" x14ac:dyDescent="0.25">
      <c r="A77" s="3" t="s">
        <v>13</v>
      </c>
      <c r="B77" s="17">
        <f>PEARSON('Сирі дані'!$D$2:$D$1233, 'Сирі дані'!$F$2:$F$1233)</f>
        <v>-0.19993888400565696</v>
      </c>
    </row>
    <row r="78" spans="1:11" x14ac:dyDescent="0.25">
      <c r="A78" s="3" t="s">
        <v>15</v>
      </c>
      <c r="B78" s="17">
        <f>PEARSON('Сирі дані'!$D$2:$D$1233, 'Сирі дані'!$G$2:$G$1233)</f>
        <v>-0.1350519275211792</v>
      </c>
    </row>
    <row r="79" spans="1:11" x14ac:dyDescent="0.25">
      <c r="A79" s="3" t="s">
        <v>17</v>
      </c>
      <c r="B79" s="17">
        <f>PEARSON('Сирі дані'!$D$2:$D$1233, 'Сирі дані'!$H$2:$H$1233)</f>
        <v>-0.171712067205741</v>
      </c>
    </row>
    <row r="80" spans="1:11" x14ac:dyDescent="0.25">
      <c r="A80" s="3" t="s">
        <v>19</v>
      </c>
      <c r="B80" s="17">
        <f>PEARSON('Сирі дані'!$D$2:$D$1233, 'Сирі дані'!$I$2:$I$1233)</f>
        <v>-0.22461332945649312</v>
      </c>
    </row>
    <row r="81" spans="1:11" x14ac:dyDescent="0.25">
      <c r="A81" s="3" t="s">
        <v>21</v>
      </c>
      <c r="B81" s="17">
        <f>PEARSON('Сирі дані'!$D$2:$D$1233, 'Сирі дані'!$J$2:$J$1233)</f>
        <v>-7.8300130164092235E-2</v>
      </c>
    </row>
    <row r="82" spans="1:11" x14ac:dyDescent="0.25">
      <c r="A82" s="3" t="s">
        <v>23</v>
      </c>
      <c r="B82" s="17">
        <f>PEARSON('Сирі дані'!$D$2:$D$1233, 'Сирі дані'!$K$2:$K$1233)</f>
        <v>-0.14387409031503276</v>
      </c>
    </row>
    <row r="83" spans="1:11" x14ac:dyDescent="0.25">
      <c r="A83" s="3" t="s">
        <v>25</v>
      </c>
      <c r="B83" s="18">
        <f>PEARSON('Сирі дані'!$D$2:$D$1233, 'Сирі дані'!$L$2:$L$1233)</f>
        <v>0.65757505773478209</v>
      </c>
    </row>
    <row r="84" spans="1:11" x14ac:dyDescent="0.25">
      <c r="A84" s="3" t="s">
        <v>27</v>
      </c>
      <c r="B84" s="18">
        <f>PEARSON('Сирі дані'!$D$2:$D$1233, 'Сирі дані'!$M$2:$M$1233)</f>
        <v>0.70242202859396385</v>
      </c>
    </row>
    <row r="85" spans="1:11" x14ac:dyDescent="0.25">
      <c r="A85" s="3" t="s">
        <v>29</v>
      </c>
      <c r="B85" s="18">
        <f>PEARSON('Сирі дані'!$D$2:$D$1233, 'Сирі дані'!$N$2:$N$1233)</f>
        <v>0.56572298922894004</v>
      </c>
    </row>
    <row r="86" spans="1:11" x14ac:dyDescent="0.25">
      <c r="A86" s="3" t="s">
        <v>31</v>
      </c>
      <c r="B86" s="18">
        <f>PEARSON('Сирі дані'!$D$2:$D$1233, 'Сирі дані'!$O$2:$O$1233)</f>
        <v>9.828526105504358E-2</v>
      </c>
    </row>
    <row r="87" spans="1:11" x14ac:dyDescent="0.25">
      <c r="A87" s="3" t="s">
        <v>33</v>
      </c>
      <c r="B87" s="18">
        <f>PEARSON('Сирі дані'!$D$2:$D$1233, 'Сирі дані'!$P$2:$P$1233)</f>
        <v>0.43642809770058583</v>
      </c>
    </row>
    <row r="88" spans="1:11" x14ac:dyDescent="0.25">
      <c r="A88" s="14"/>
    </row>
    <row r="89" spans="1:11" x14ac:dyDescent="0.25">
      <c r="A89" s="12" t="s">
        <v>204</v>
      </c>
      <c r="B89" s="21" t="s">
        <v>212</v>
      </c>
      <c r="C89" s="20"/>
      <c r="D89" s="20"/>
      <c r="E89" s="20"/>
      <c r="F89" s="20"/>
      <c r="G89" s="20"/>
      <c r="H89" s="20"/>
      <c r="I89" s="20"/>
      <c r="J89" s="20"/>
      <c r="K89" s="20"/>
    </row>
    <row r="90" spans="1:11" ht="15" customHeight="1" x14ac:dyDescent="0.25">
      <c r="B90" s="20"/>
      <c r="C90" s="20"/>
      <c r="D90" s="20"/>
      <c r="E90" s="20"/>
      <c r="F90" s="20"/>
      <c r="G90" s="20"/>
      <c r="H90" s="20"/>
      <c r="I90" s="20"/>
      <c r="J90" s="20"/>
      <c r="K90" s="20"/>
    </row>
    <row r="91" spans="1:11" ht="15" customHeight="1" x14ac:dyDescent="0.25">
      <c r="B91" s="20"/>
      <c r="C91" s="20"/>
      <c r="D91" s="20"/>
      <c r="E91" s="20"/>
      <c r="F91" s="20"/>
      <c r="G91" s="20"/>
      <c r="H91" s="20"/>
      <c r="I91" s="20"/>
      <c r="J91" s="20"/>
      <c r="K91" s="20"/>
    </row>
    <row r="92" spans="1:11" ht="15" customHeight="1" x14ac:dyDescent="0.25">
      <c r="B92" s="20"/>
      <c r="C92" s="20"/>
      <c r="D92" s="20"/>
      <c r="E92" s="20"/>
      <c r="F92" s="20"/>
      <c r="G92" s="20"/>
      <c r="H92" s="20"/>
      <c r="I92" s="20"/>
      <c r="J92" s="20"/>
      <c r="K92" s="20"/>
    </row>
    <row r="93" spans="1:11" ht="15" customHeight="1" x14ac:dyDescent="0.25">
      <c r="B93" s="20"/>
      <c r="C93" s="20"/>
      <c r="D93" s="20"/>
      <c r="E93" s="20"/>
      <c r="F93" s="20"/>
      <c r="G93" s="20"/>
      <c r="H93" s="20"/>
      <c r="I93" s="20"/>
      <c r="J93" s="20"/>
      <c r="K93" s="20"/>
    </row>
    <row r="94" spans="1:11" ht="15" customHeight="1" x14ac:dyDescent="0.25">
      <c r="B94" s="20"/>
      <c r="C94" s="20"/>
      <c r="D94" s="20"/>
      <c r="E94" s="20"/>
      <c r="F94" s="20"/>
      <c r="G94" s="20"/>
      <c r="H94" s="20"/>
      <c r="I94" s="20"/>
      <c r="J94" s="20"/>
      <c r="K94" s="20"/>
    </row>
    <row r="95" spans="1:11" ht="15" customHeight="1" x14ac:dyDescent="0.25">
      <c r="B95" s="20"/>
      <c r="C95" s="20"/>
      <c r="D95" s="20"/>
      <c r="E95" s="20"/>
      <c r="F95" s="20"/>
      <c r="G95" s="20"/>
      <c r="H95" s="20"/>
      <c r="I95" s="20"/>
      <c r="J95" s="20"/>
      <c r="K95" s="20"/>
    </row>
    <row r="96" spans="1:11" ht="15" customHeight="1" x14ac:dyDescent="0.25">
      <c r="B96" s="20"/>
      <c r="C96" s="20"/>
      <c r="D96" s="20"/>
      <c r="E96" s="20"/>
      <c r="F96" s="20"/>
      <c r="G96" s="20"/>
      <c r="H96" s="20"/>
      <c r="I96" s="20"/>
      <c r="J96" s="20"/>
      <c r="K96" s="20"/>
    </row>
    <row r="97" spans="1:11" ht="15" customHeight="1" x14ac:dyDescent="0.25">
      <c r="B97" s="20"/>
      <c r="C97" s="20"/>
      <c r="D97" s="20"/>
      <c r="E97" s="20"/>
      <c r="F97" s="20"/>
      <c r="G97" s="20"/>
      <c r="H97" s="20"/>
      <c r="I97" s="20"/>
      <c r="J97" s="20"/>
      <c r="K97" s="20"/>
    </row>
    <row r="98" spans="1:11" ht="15" customHeight="1" x14ac:dyDescent="0.25">
      <c r="B98" s="20"/>
      <c r="C98" s="20"/>
      <c r="D98" s="20"/>
      <c r="E98" s="20"/>
      <c r="F98" s="20"/>
      <c r="G98" s="20"/>
      <c r="H98" s="20"/>
      <c r="I98" s="20"/>
      <c r="J98" s="20"/>
      <c r="K98" s="20"/>
    </row>
    <row r="99" spans="1:11" x14ac:dyDescent="0.25">
      <c r="B99" s="13"/>
      <c r="C99" s="13"/>
      <c r="D99" s="13"/>
      <c r="E99" s="13"/>
      <c r="F99" s="13"/>
      <c r="G99" s="13"/>
      <c r="H99" s="13"/>
      <c r="I99" s="13"/>
      <c r="J99" s="13"/>
      <c r="K99" s="13"/>
    </row>
    <row r="101" spans="1:11" x14ac:dyDescent="0.25">
      <c r="A101" s="12" t="s">
        <v>213</v>
      </c>
      <c r="B101" s="22" t="s">
        <v>214</v>
      </c>
      <c r="C101" s="20"/>
      <c r="D101" s="20"/>
      <c r="E101" s="20"/>
      <c r="F101" s="20"/>
      <c r="G101" s="20"/>
      <c r="H101" s="20"/>
      <c r="I101" s="20"/>
      <c r="J101" s="20"/>
      <c r="K101" s="20"/>
    </row>
    <row r="102" spans="1:11" ht="15" customHeight="1" x14ac:dyDescent="0.25">
      <c r="B102" s="20"/>
      <c r="C102" s="20"/>
      <c r="D102" s="20"/>
      <c r="E102" s="20"/>
      <c r="F102" s="20"/>
      <c r="G102" s="20"/>
      <c r="H102" s="20"/>
      <c r="I102" s="20"/>
      <c r="J102" s="20"/>
      <c r="K102" s="20"/>
    </row>
    <row r="103" spans="1:11" ht="15" customHeight="1" x14ac:dyDescent="0.25">
      <c r="B103" s="20"/>
      <c r="C103" s="20"/>
      <c r="D103" s="20"/>
      <c r="E103" s="20"/>
      <c r="F103" s="20"/>
      <c r="G103" s="20"/>
      <c r="H103" s="20"/>
      <c r="I103" s="20"/>
      <c r="J103" s="20"/>
      <c r="K103" s="20"/>
    </row>
    <row r="104" spans="1:11" ht="15" customHeight="1" x14ac:dyDescent="0.25">
      <c r="B104" s="20"/>
      <c r="C104" s="20"/>
      <c r="D104" s="20"/>
      <c r="E104" s="20"/>
      <c r="F104" s="20"/>
      <c r="G104" s="20"/>
      <c r="H104" s="20"/>
      <c r="I104" s="20"/>
      <c r="J104" s="20"/>
      <c r="K104" s="20"/>
    </row>
    <row r="106" spans="1:11" x14ac:dyDescent="0.25">
      <c r="A106" s="15" t="s">
        <v>215</v>
      </c>
    </row>
    <row r="107" spans="1:11" x14ac:dyDescent="0.25">
      <c r="A107" s="23" t="s">
        <v>216</v>
      </c>
      <c r="B107" s="20"/>
      <c r="C107" s="20"/>
      <c r="D107" s="20"/>
      <c r="E107" s="20"/>
      <c r="F107" s="20"/>
    </row>
  </sheetData>
  <mergeCells count="7">
    <mergeCell ref="B101:K104"/>
    <mergeCell ref="A107:F107"/>
    <mergeCell ref="B13:L17"/>
    <mergeCell ref="B39:K42"/>
    <mergeCell ref="B64:K66"/>
    <mergeCell ref="B72:K74"/>
    <mergeCell ref="B89:K98"/>
  </mergeCells>
  <conditionalFormatting sqref="B77:B82">
    <cfRule type="colorScale" priority="1">
      <colorScale>
        <cfvo type="min"/>
        <cfvo type="max"/>
        <color rgb="FFD9D2E9"/>
        <color rgb="FF8E7CC3"/>
      </colorScale>
    </cfRule>
  </conditionalFormatting>
  <conditionalFormatting sqref="B83:B87">
    <cfRule type="colorScale" priority="2">
      <colorScale>
        <cfvo type="min"/>
        <cfvo type="max"/>
        <color rgb="FFCFE2F3"/>
        <color rgb="FF6FA8DC"/>
      </colorScale>
    </cfRule>
  </conditionalFormatting>
  <hyperlinks>
    <hyperlink ref="A107" r:id="rId1" xr:uid="{00000000-0004-0000-04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5</vt:i4>
      </vt:variant>
    </vt:vector>
  </HeadingPairs>
  <TitlesOfParts>
    <vt:vector size="5" baseType="lpstr">
      <vt:lpstr>Опис даних</vt:lpstr>
      <vt:lpstr>Опис колонок даних</vt:lpstr>
      <vt:lpstr>Завдання</vt:lpstr>
      <vt:lpstr>Сирі дані</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Олена Бабко</cp:lastModifiedBy>
  <dcterms:created xsi:type="dcterms:W3CDTF">2023-02-14T11:15:23Z</dcterms:created>
  <dcterms:modified xsi:type="dcterms:W3CDTF">2026-03-18T18:01:25Z</dcterms:modified>
</cp:coreProperties>
</file>