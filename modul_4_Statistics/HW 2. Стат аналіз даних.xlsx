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пис даних" sheetId="1" r:id="rId4"/>
    <sheet state="visible" name="Завдання" sheetId="2" r:id="rId5"/>
    <sheet state="visible" name="Raw" sheetId="3" r:id="rId6"/>
    <sheet state="visible" name="Аналітичні висновки" sheetId="4" r:id="rId7"/>
    <sheet state="visible" name="QQ" sheetId="5" r:id="rId8"/>
    <sheet state="visible" name="Distribution check" sheetId="6" r:id="rId9"/>
  </sheets>
  <definedNames/>
  <calcPr/>
  <extLst>
    <ext uri="GoogleSheetsCustomDataVersion2">
      <go:sheetsCustomData xmlns:go="http://customooxmlschemas.google.com/" r:id="rId10" roundtripDataChecksum="Ne7klD1TJ0HflwkPoJ5slij666WQndfLzzbIYJFC6cM="/>
    </ext>
  </extLst>
</workbook>
</file>

<file path=xl/sharedStrings.xml><?xml version="1.0" encoding="utf-8"?>
<sst xmlns="http://schemas.openxmlformats.org/spreadsheetml/2006/main" count="2416" uniqueCount="197">
  <si>
    <r>
      <rPr>
        <color rgb="FF000000"/>
      </rPr>
      <t xml:space="preserve">У цьому домашньому завданні ми будемо працювати з набором даних, який об’єднує показники щастя та економічної стабільності у 148 країнах за період з 2015 по 2023 рік. Цей датасет створено на основі Індексу світового щастя (World Happiness Index, WHI) та макроекономічних показників, таких як ВВП і інфляція.
Посилання на джерело даних: </t>
    </r>
    <r>
      <rPr>
        <color rgb="FF1155CC"/>
        <u/>
      </rPr>
      <t>https://www.kaggle.com/datasets/agrafintech/world-happiness-index-and-inflation-dataset</t>
    </r>
    <r>
      <rPr>
        <color rgb="FF000000"/>
      </rPr>
      <t xml:space="preserve"> 
Увага! Дані в джерелі могли оновлюватись. У нас - перша версія цих даних.
Дані розміщено на аркуші Raw.
Мета використання набору — дослідити, як економічні умови впливають на добробут і щастя людей в різних регіонах світу.
А наша з вами додаткова мета — попрактикуватись із статистичним аналізом даних.
Вміст набору даних
Набір даних наданий у форматі CSV і містить 17 колонок, які охоплюють:
- Індекс щастя та рейтинг:
  - Happiness Score – загальний бал щастя
  - Happiness Rank – місце країни у світовому рейтингу щастя
- Економічні показники:
  - GDP per capita – ВВП на душу населення
  - Inflation – рівень інфляції
  - Corruption Perception – сприйняття корупції
- Соціальні чинники:
  - Freedom – рівень свободи
  - Social Support – підтримка з боку суспільства
  - Generosity – рівень щедрості
- Географічна інформація:
  - Country – назва країни
  - Continent – континент, до якого належить країна
  - Year – рік спостереження
</t>
    </r>
  </si>
  <si>
    <r>
      <rPr>
        <rFont val="Calibri"/>
        <b/>
        <color theme="1"/>
      </rPr>
      <t>Завдання:</t>
    </r>
    <r>
      <rPr>
        <rFont val="Calibri"/>
        <color theme="1"/>
      </rPr>
      <t xml:space="preserve">
1. Створіть новий аркуш “Distribution check”
На цьому аркуші побудуйте гістограми для трьох показників:
- Social support
- Freedom to make life choices
- Perceptions of corruption
На основі побудованих гістограм:
- Зробіть припущення: чи схожий розподіл кожного з показників на нормальний?
- Обґрунтуйте свої припущення у вигляді короткого текстового висновку під кожною гістограмою або на окремому аркуші "Аналітичні висновки".
2. Проведіть формальну перевірку нормальності розподілу для кожного показника
Для цього використайте:
- QQ plot
- Обчисліть коефіцієнти Skewness (асиметрія) та Kurtosis (ексцес) для кожного показника.
На основі отриманих графіків і чисел напишіть аналітичні висновки:
- Чи підтверджують ці методи ваші припущення з попереднього пункту?
- Чи можна вважати кожен показник нормально розподіленим?
Оцінка за пункт — 3 бали
3. На який розподіл на ваш погляд схожий розподіл Perceptions of corruption? Як гадаєте, чому цей показник розподілений саме так?</t>
    </r>
  </si>
  <si>
    <t>Country</t>
  </si>
  <si>
    <t>Year</t>
  </si>
  <si>
    <t>Happiness Rank</t>
  </si>
  <si>
    <t>Happiness Score</t>
  </si>
  <si>
    <t>GDP per Capita</t>
  </si>
  <si>
    <t>Social support</t>
  </si>
  <si>
    <t>Healthy life expectancy at birth</t>
  </si>
  <si>
    <t>Freedom to make life choices</t>
  </si>
  <si>
    <t>Generosity</t>
  </si>
  <si>
    <t>Perceptions of corruption</t>
  </si>
  <si>
    <t>Energy Consumer Price Inflation</t>
  </si>
  <si>
    <t>Food Consumer Price Inflation</t>
  </si>
  <si>
    <t>GDP deflator Index growth rate</t>
  </si>
  <si>
    <t>Headline Consumer Price Inflation</t>
  </si>
  <si>
    <t>Official Core Consumer Price Inflation</t>
  </si>
  <si>
    <t>Producer Price Inflation</t>
  </si>
  <si>
    <t>Continent</t>
  </si>
  <si>
    <t>SORT_Social support</t>
  </si>
  <si>
    <t>Rank_Freedom</t>
  </si>
  <si>
    <t>Rank_Corruption</t>
  </si>
  <si>
    <t>Rank_Social support</t>
  </si>
  <si>
    <t>Afghanistan</t>
  </si>
  <si>
    <t>Asia</t>
  </si>
  <si>
    <t>Albania</t>
  </si>
  <si>
    <t>Europe</t>
  </si>
  <si>
    <t>Algeria</t>
  </si>
  <si>
    <t>Africa</t>
  </si>
  <si>
    <t>SORT</t>
  </si>
  <si>
    <t>Angola</t>
  </si>
  <si>
    <t>Argentina</t>
  </si>
  <si>
    <t>South America</t>
  </si>
  <si>
    <t>Armenia</t>
  </si>
  <si>
    <t>Australia</t>
  </si>
  <si>
    <t>Oceania</t>
  </si>
  <si>
    <t>Austria</t>
  </si>
  <si>
    <t>Azerbaijan</t>
  </si>
  <si>
    <t>Bahrain</t>
  </si>
  <si>
    <t>Bangladesh</t>
  </si>
  <si>
    <t>Belarus</t>
  </si>
  <si>
    <t>Belgium</t>
  </si>
  <si>
    <t>Belize</t>
  </si>
  <si>
    <t>North America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</si>
  <si>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</si>
  <si>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</si>
  <si>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</si>
  <si>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</si>
  <si>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</si>
  <si>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</si>
  <si>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</si>
  <si>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</si>
  <si>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</si>
  <si>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</si>
  <si>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</si>
  <si>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</si>
  <si>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</si>
  <si>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</si>
  <si>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</si>
  <si>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</si>
  <si>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</si>
  <si>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</si>
  <si>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</si>
  <si>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</si>
  <si>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Cyprus</t>
  </si>
  <si>
    <t>Czech Republic</t>
  </si>
  <si>
    <t>Denmark</t>
  </si>
  <si>
    <t>Djibouti</t>
  </si>
  <si>
    <t>Dominican Republic</t>
  </si>
  <si>
    <t>Ecuador</t>
  </si>
  <si>
    <t>El Salvador</t>
  </si>
  <si>
    <t>Estonia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</si>
  <si>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</si>
  <si>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</si>
  <si>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</si>
  <si>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</si>
  <si>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</si>
  <si>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</si>
  <si>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</si>
  <si>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</si>
  <si>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</si>
  <si>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</si>
  <si>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</si>
  <si>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</si>
  <si>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</si>
  <si>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</si>
  <si>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</si>
  <si>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</si>
  <si>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</si>
  <si>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</si>
  <si>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</si>
  <si>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</si>
  <si>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</si>
  <si>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</si>
  <si>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</si>
  <si>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</si>
  <si>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</si>
  <si>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</si>
  <si>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</si>
  <si>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</si>
  <si>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</si>
  <si>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</si>
  <si>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</si>
  <si>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</si>
  <si>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</si>
  <si>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</si>
  <si>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</si>
  <si>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</si>
  <si>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</si>
  <si>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</si>
  <si>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</si>
  <si>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</si>
  <si>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</si>
  <si>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</si>
  <si>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</si>
  <si>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</si>
  <si>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</si>
  <si>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</si>
  <si>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</si>
  <si>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</si>
  <si>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</si>
  <si>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</si>
  <si>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</si>
  <si>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</si>
  <si>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</si>
  <si>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</si>
  <si>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</si>
  <si>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</si>
  <si>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</si>
  <si>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</si>
  <si>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</si>
  <si>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</si>
  <si>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</si>
  <si>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</si>
  <si>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</si>
  <si>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</si>
  <si>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</si>
  <si>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</si>
  <si>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</si>
  <si>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</si>
  <si>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</si>
  <si>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</si>
  <si>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</si>
  <si>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</si>
  <si>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</si>
  <si>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</si>
  <si>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</si>
  <si>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</si>
  <si>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</si>
  <si>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</si>
  <si>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</si>
  <si>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</si>
  <si>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</si>
  <si>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</si>
  <si>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</si>
  <si>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</si>
  <si>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</si>
  <si>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</si>
  <si>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</si>
  <si>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Taiwan Province of China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</si>
  <si>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</si>
  <si>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</si>
  <si>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</si>
  <si>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</si>
  <si>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</si>
  <si>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</si>
  <si>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</si>
  <si>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</si>
  <si>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</si>
  <si>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</si>
  <si>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</si>
  <si>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</si>
  <si>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</si>
  <si>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</si>
  <si>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</si>
  <si>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Vietnam</t>
  </si>
  <si>
    <t>Zambia</t>
  </si>
  <si>
    <t>Zimbabwe</t>
  </si>
  <si>
    <t>SORT_Freedom</t>
  </si>
  <si>
    <t>SORT_Corruption</t>
  </si>
  <si>
    <t>Rank</t>
  </si>
  <si>
    <t>Theoretical Quantiles</t>
  </si>
  <si>
    <t>Z-score</t>
  </si>
  <si>
    <t>Гістограми:</t>
  </si>
  <si>
    <t>Припущення:</t>
  </si>
  <si>
    <t>форма гістограми не схожа на дзвін і дані не є симетрично розподілені на графіку, тому припускаємо, що цей розподіл не є гаусівським. Хоча значення все ж скупчуються в центральній частині і утворюють пік, дуже віддалено таки є схожість з нормальним розподілом. Можливо, подальші обчислення вкажуть на це. Це може бути нормальним розподілом з асиметрією.</t>
  </si>
  <si>
    <t>тут форма гістограми також не схожа на дзвін і дані не є симетричними, тому припускаʼмо, що цей розподіл не є нормальним. Можливо тут розподіл рівномірний</t>
  </si>
  <si>
    <t>дані на гістограмі сильно зміщені в ліву частину і не є симетричними, тому припускаємо, що цей розподіл теж не є нормальним. Можливо, це експоненційний розподіл.</t>
  </si>
  <si>
    <t>QQ plot:</t>
  </si>
  <si>
    <t>Skewness</t>
  </si>
  <si>
    <t>Kurtosis</t>
  </si>
  <si>
    <t>Висновки:</t>
  </si>
  <si>
    <t xml:space="preserve"> Більшість точок укладаються вздовж діагональної лінії - це характерно для нормального р-лу. Обрахуване значення Kurtosis близьке до 0 також саме при нормальному р-лі. Skewness показує практично симетричний розподіл. Підтверджує наші припущення.</t>
  </si>
  <si>
    <t>Знову більшість точок укладаються вздовж діагональної лінії як при нормальному р-лі. Значення Skewness близьке до 0 вказує на симетричність розподілу. Його відємність - це легка ліва асиметрія. Обрахуване значення Kurtosis -0,6 також наближене до нормального р-лу.  Тож розподіл таки близький до нормального. Підтверджує наші припущення.</t>
  </si>
  <si>
    <t>Одразу помітна форма "S". Тут значення Skewness більше ніж 0,5 вказує на помірну асиметрію. Додатнє - отже наявна права асиметрія. Обраховане значення Kurtosis далеке від 0 - не є нормальним р-лом. Від'ємне - як і має бути при приплюсненій вершині. Отже ще раз - даний розподіл не є нормальним. Підтверджує наші припущення.</t>
  </si>
  <si>
    <t>розподіл Perceptions of corruption:</t>
  </si>
  <si>
    <t>На гістограмі спостерігаємо значну кількість малих значень в центральній частині, пласку форму. S-подібна форма на QQ-plot підтверджують припущення про експоненційний характер цього розподілу. Відмічаємо помірну праву асиметрію. Цей показник відображає сприйняття корупції в суспільстві, яке, за замовчанням, не може бути високим. Тому більшість значень в добірці даних є малими. Ніби це відображається в S-формі  - розподіл із недостатньою дисперсією, що свідчить про нижчу варіативність.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</si>
</sst>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2.0"/>
      <color theme="1"/>
      <name val="Calibri"/>
      <scheme val="minor"/>
    </font>
    <font>
      <u/>
      <color rgb="FF000000"/>
    </font>
    <font>
      <color theme="1"/>
      <name val="Calibri"/>
    </font>
    <font>
      <color rgb="FFEFEFEF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1" fillId="0" fontId="3" numFmtId="0" xfId="0" applyAlignment="1" applyBorder="1" applyFont="1">
      <alignment horizontal="left" shrinkToFit="0" vertical="center" wrapText="0"/>
    </xf>
    <xf borderId="2" fillId="0" fontId="3" numFmtId="0" xfId="0" applyAlignment="1" applyBorder="1" applyFont="1">
      <alignment horizontal="left" shrinkToFit="0" vertical="center" wrapText="0"/>
    </xf>
    <xf borderId="2" fillId="2" fontId="3" numFmtId="0" xfId="0" applyAlignment="1" applyBorder="1" applyFill="1" applyFont="1">
      <alignment horizontal="left" shrinkToFit="0" vertical="center" wrapText="0"/>
    </xf>
    <xf borderId="3" fillId="0" fontId="3" numFmtId="0" xfId="0" applyAlignment="1" applyBorder="1" applyFont="1">
      <alignment horizontal="left" shrinkToFit="0" vertical="center" wrapText="0"/>
    </xf>
    <xf borderId="0" fillId="0" fontId="3" numFmtId="0" xfId="0" applyFont="1"/>
    <xf borderId="0" fillId="2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0" fillId="0" fontId="2" numFmtId="0" xfId="0" applyFont="1"/>
    <xf borderId="6" fillId="0" fontId="2" numFmtId="0" xfId="0" applyAlignment="1" applyBorder="1" applyFont="1">
      <alignment shrinkToFit="0" vertical="center" wrapText="0"/>
    </xf>
    <xf borderId="0" fillId="0" fontId="4" numFmtId="0" xfId="0" applyFont="1"/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0" fillId="0" fontId="4" numFmtId="0" xfId="0" applyAlignment="1" applyFont="1">
      <alignment readingOrder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top" wrapText="1"/>
    </xf>
    <xf borderId="0" fillId="3" fontId="3" numFmtId="0" xfId="0" applyAlignment="1" applyFont="1">
      <alignment horizontal="center" readingOrder="0"/>
    </xf>
    <xf borderId="0" fillId="2" fontId="3" numFmtId="164" xfId="0" applyAlignment="1" applyFont="1" applyNumberFormat="1">
      <alignment readingOrder="0"/>
    </xf>
    <xf borderId="0" fillId="4" fontId="4" numFmtId="0" xfId="0" applyFill="1" applyFont="1"/>
    <xf borderId="0" fillId="0" fontId="4" numFmtId="164" xfId="0" applyFont="1" applyNumberFormat="1"/>
    <xf borderId="0" fillId="0" fontId="5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readingOrder="0" shrinkToFit="0" wrapText="1"/>
    </xf>
    <xf borderId="0" fillId="0" fontId="5" numFmtId="164" xfId="0" applyAlignment="1" applyFont="1" applyNumberFormat="1">
      <alignment readingOrder="0"/>
    </xf>
    <xf borderId="0" fillId="0" fontId="4" numFmtId="164" xfId="0" applyAlignment="1" applyFont="1" applyNumberFormat="1">
      <alignment horizontal="center"/>
    </xf>
    <xf borderId="0" fillId="0" fontId="4" numFmtId="164" xfId="0" applyAlignment="1" applyFont="1" applyNumberFormat="1">
      <alignment horizontal="center"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Raw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Verdana"/>
              </a:defRPr>
            </a:pPr>
            <a:r>
              <a:rPr b="0" sz="2000">
                <a:solidFill>
                  <a:srgbClr val="000000"/>
                </a:solidFill>
                <a:latin typeface="Verdana"/>
              </a:rPr>
              <a:t>Social support vs. Z-score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QQ!$F$2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99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QQ!$A$3:$A$1204</c:f>
            </c:numRef>
          </c:xVal>
          <c:yVal>
            <c:numRef>
              <c:f>QQ!$F$3:$F$1204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885747"/>
        <c:axId val="150614112"/>
      </c:scatterChart>
      <c:valAx>
        <c:axId val="2888857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Verdan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Verdana"/>
                  </a:rPr>
                  <a:t>Social support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614112"/>
      </c:valAx>
      <c:valAx>
        <c:axId val="150614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Verdan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Verdana"/>
                  </a:rPr>
                  <a:t>Z-score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8857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Verdana"/>
              </a:defRPr>
            </a:pPr>
            <a:r>
              <a:rPr b="0" sz="2000">
                <a:solidFill>
                  <a:srgbClr val="000000"/>
                </a:solidFill>
                <a:latin typeface="Verdana"/>
              </a:rPr>
              <a:t>Freedom to make life choices vs. Z-score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QQ!$F$2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99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QQ!$B$3:$B$1204</c:f>
            </c:numRef>
          </c:xVal>
          <c:yVal>
            <c:numRef>
              <c:f>QQ!$F$3:$F$1204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87768"/>
        <c:axId val="920420103"/>
      </c:scatterChart>
      <c:valAx>
        <c:axId val="745877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Verdan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Verdana"/>
                  </a:rPr>
                  <a:t>Freedom to make life choices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420103"/>
      </c:valAx>
      <c:valAx>
        <c:axId val="920420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Verdan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Verdana"/>
                  </a:rPr>
                  <a:t>Z-score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87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Verdana"/>
              </a:defRPr>
            </a:pPr>
            <a:r>
              <a:rPr b="0" sz="2000">
                <a:solidFill>
                  <a:srgbClr val="000000"/>
                </a:solidFill>
                <a:latin typeface="Verdana"/>
              </a:rPr>
              <a:t>Perceptions of corruption vs. Z-score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QQ!$F$2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99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QQ!$C$3:$C$1204</c:f>
            </c:numRef>
          </c:xVal>
          <c:yVal>
            <c:numRef>
              <c:f>QQ!$F$3:$F$1204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754706"/>
        <c:axId val="830967549"/>
      </c:scatterChart>
      <c:valAx>
        <c:axId val="16517547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Verdan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Verdana"/>
                  </a:rPr>
                  <a:t>Perceptions of corruption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967549"/>
      </c:valAx>
      <c:valAx>
        <c:axId val="8309675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Verdan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Verdana"/>
                  </a:rPr>
                  <a:t>Z-score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7547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  <a:r>
              <a:rPr b="0" sz="2000">
                <a:solidFill>
                  <a:srgbClr val="000000"/>
                </a:solidFill>
                <a:latin typeface="+mn-lt"/>
              </a:rPr>
              <a:t>Social support vs. Z-score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8E7CC3"/>
              </a:solidFill>
              <a:ln cmpd="sng">
                <a:solidFill>
                  <a:srgbClr val="8E7CC3"/>
                </a:solidFill>
              </a:ln>
            </c:spPr>
          </c:marker>
          <c:trendline>
            <c:name/>
            <c:spPr>
              <a:ln w="19050">
                <a:solidFill>
                  <a:srgbClr val="FF99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QQ!$A$2:$A$1204</c:f>
            </c:numRef>
          </c:xVal>
          <c:yVal>
            <c:numRef>
              <c:f>QQ!$F$2:$F$1204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155530"/>
        <c:axId val="136905049"/>
      </c:scatterChart>
      <c:valAx>
        <c:axId val="16511555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Social support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05049"/>
      </c:valAx>
      <c:valAx>
        <c:axId val="136905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Z-score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155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  <a:r>
              <a:rPr b="0" sz="2000">
                <a:solidFill>
                  <a:srgbClr val="000000"/>
                </a:solidFill>
                <a:latin typeface="+mn-lt"/>
              </a:rPr>
              <a:t>Freedom to make life choices vs. Z-score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8E7CC3"/>
              </a:solidFill>
              <a:ln cmpd="sng">
                <a:solidFill>
                  <a:srgbClr val="8E7CC3"/>
                </a:solidFill>
              </a:ln>
            </c:spPr>
          </c:marker>
          <c:trendline>
            <c:name/>
            <c:spPr>
              <a:ln w="19050">
                <a:solidFill>
                  <a:srgbClr val="FF99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QQ!$B$2:$B$1204</c:f>
            </c:numRef>
          </c:xVal>
          <c:yVal>
            <c:numRef>
              <c:f>QQ!$F$2:$F$1204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182223"/>
        <c:axId val="1291471005"/>
      </c:scatterChart>
      <c:valAx>
        <c:axId val="19341822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Freedom to make life choices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1471005"/>
      </c:valAx>
      <c:valAx>
        <c:axId val="1291471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Z-score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41822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  <a:r>
              <a:rPr b="0" sz="2000">
                <a:solidFill>
                  <a:srgbClr val="000000"/>
                </a:solidFill>
                <a:latin typeface="+mn-lt"/>
              </a:rPr>
              <a:t>Perceptions of corruption vs. Z-score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8E7CC3"/>
              </a:solidFill>
              <a:ln cmpd="sng">
                <a:solidFill>
                  <a:srgbClr val="8E7CC3"/>
                </a:solidFill>
              </a:ln>
            </c:spPr>
          </c:marker>
          <c:trendline>
            <c:name/>
            <c:spPr>
              <a:ln w="19050">
                <a:solidFill>
                  <a:srgbClr val="FF99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QQ!$C$2:$C$1204</c:f>
            </c:numRef>
          </c:xVal>
          <c:yVal>
            <c:numRef>
              <c:f>QQ!$F$2:$F$1204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214871"/>
        <c:axId val="17127783"/>
      </c:scatterChart>
      <c:valAx>
        <c:axId val="4592148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Perceptions of corruption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27783"/>
      </c:valAx>
      <c:valAx>
        <c:axId val="17127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Z-score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92148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image" Target="../media/Chart7.png"/><Relationship Id="rId3" Type="http://schemas.openxmlformats.org/officeDocument/2006/relationships/image" Target="../media/Chart8.png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47625</xdr:rowOff>
    </xdr:from>
    <xdr:ext cx="4953000" cy="3067050"/>
    <xdr:pic>
      <xdr:nvPicPr>
        <xdr:cNvPr id="85417456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2</xdr:row>
      <xdr:rowOff>152400</xdr:rowOff>
    </xdr:from>
    <xdr:ext cx="5715000" cy="3533775"/>
    <xdr:pic>
      <xdr:nvPicPr>
        <xdr:cNvPr id="166751511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514350</xdr:colOff>
      <xdr:row>0</xdr:row>
      <xdr:rowOff>0</xdr:rowOff>
    </xdr:from>
    <xdr:ext cx="4286250" cy="2800350"/>
    <xdr:graphicFrame>
      <xdr:nvGraphicFramePr>
        <xdr:cNvPr id="68626875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514350</xdr:colOff>
      <xdr:row>15</xdr:row>
      <xdr:rowOff>85725</xdr:rowOff>
    </xdr:from>
    <xdr:ext cx="4286250" cy="2800350"/>
    <xdr:graphicFrame>
      <xdr:nvGraphicFramePr>
        <xdr:cNvPr id="179607305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514350</xdr:colOff>
      <xdr:row>31</xdr:row>
      <xdr:rowOff>28575</xdr:rowOff>
    </xdr:from>
    <xdr:ext cx="4286250" cy="2800350"/>
    <xdr:graphicFrame>
      <xdr:nvGraphicFramePr>
        <xdr:cNvPr id="1253969538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581525" cy="2838450"/>
    <xdr:pic>
      <xdr:nvPicPr>
        <xdr:cNvPr id="1673543722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2</xdr:row>
      <xdr:rowOff>0</xdr:rowOff>
    </xdr:from>
    <xdr:ext cx="4581525" cy="2838450"/>
    <xdr:pic>
      <xdr:nvPicPr>
        <xdr:cNvPr id="17516605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2</xdr:row>
      <xdr:rowOff>19050</xdr:rowOff>
    </xdr:from>
    <xdr:ext cx="4581525" cy="2838450"/>
    <xdr:pic>
      <xdr:nvPicPr>
        <xdr:cNvPr id="554674712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161925</xdr:rowOff>
    </xdr:from>
    <xdr:ext cx="4581525" cy="2838450"/>
    <xdr:graphicFrame>
      <xdr:nvGraphicFramePr>
        <xdr:cNvPr id="102210104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9525</xdr:colOff>
      <xdr:row>28</xdr:row>
      <xdr:rowOff>161925</xdr:rowOff>
    </xdr:from>
    <xdr:ext cx="4581525" cy="2838450"/>
    <xdr:graphicFrame>
      <xdr:nvGraphicFramePr>
        <xdr:cNvPr id="927251898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9525</xdr:colOff>
      <xdr:row>28</xdr:row>
      <xdr:rowOff>161925</xdr:rowOff>
    </xdr:from>
    <xdr:ext cx="4581525" cy="2838450"/>
    <xdr:graphicFrame>
      <xdr:nvGraphicFramePr>
        <xdr:cNvPr id="646790530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Q1204" displayName="Table_1" name="Table_1" id="1">
  <tableColumns count="17">
    <tableColumn name="Country" id="1"/>
    <tableColumn name="Year" id="2"/>
    <tableColumn name="Happiness Rank" id="3"/>
    <tableColumn name="Happiness Score" id="4"/>
    <tableColumn name="GDP per Capita" id="5"/>
    <tableColumn name="Social support" id="6"/>
    <tableColumn name="Healthy life expectancy at birth" id="7"/>
    <tableColumn name="Freedom to make life choices" id="8"/>
    <tableColumn name="Generosity" id="9"/>
    <tableColumn name="Perceptions of corruption" id="10"/>
    <tableColumn name="Energy Consumer Price Inflation" id="11"/>
    <tableColumn name="Food Consumer Price Inflation" id="12"/>
    <tableColumn name="GDP deflator Index growth rate" id="13"/>
    <tableColumn name="Headline Consumer Price Inflation" id="14"/>
    <tableColumn name="Official Core Consumer Price Inflation" id="15"/>
    <tableColumn name="Producer Price Inflation" id="16"/>
    <tableColumn name="Continent" id="17"/>
  </tableColumns>
  <tableStyleInfo name="Ra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agrafintech/world-happiness-index-and-inflation-datase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</row>
  </sheetData>
  <mergeCells count="1">
    <mergeCell ref="A1:F56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1</v>
      </c>
    </row>
  </sheetData>
  <mergeCells count="1">
    <mergeCell ref="A1:G4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0" width="12.78"/>
    <col customWidth="1" hidden="1" min="11" max="17" width="12.78"/>
    <col customWidth="1" min="18" max="26" width="12.78"/>
  </cols>
  <sheetData>
    <row r="1">
      <c r="A1" s="3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5" t="s">
        <v>7</v>
      </c>
      <c r="G1" s="4" t="s">
        <v>8</v>
      </c>
      <c r="H1" s="5" t="s">
        <v>9</v>
      </c>
      <c r="I1" s="4" t="s">
        <v>10</v>
      </c>
      <c r="J1" s="5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6" t="s">
        <v>18</v>
      </c>
      <c r="R1" s="7"/>
      <c r="S1" s="8" t="s">
        <v>19</v>
      </c>
      <c r="T1" s="8" t="s">
        <v>20</v>
      </c>
      <c r="U1" s="8" t="s">
        <v>21</v>
      </c>
      <c r="V1" s="9" t="s">
        <v>22</v>
      </c>
      <c r="W1" s="9" t="s">
        <v>20</v>
      </c>
      <c r="X1" s="9" t="s">
        <v>21</v>
      </c>
      <c r="Y1" s="7"/>
      <c r="Z1" s="7"/>
    </row>
    <row r="2">
      <c r="A2" s="10" t="s">
        <v>23</v>
      </c>
      <c r="B2" s="11">
        <v>2015.0</v>
      </c>
      <c r="C2" s="11">
        <v>153.0</v>
      </c>
      <c r="D2" s="11">
        <v>3.575</v>
      </c>
      <c r="E2" s="11">
        <v>0.31982</v>
      </c>
      <c r="F2" s="11">
        <v>0.30285</v>
      </c>
      <c r="G2" s="11">
        <v>0.30335</v>
      </c>
      <c r="H2" s="11">
        <v>0.23414</v>
      </c>
      <c r="I2" s="11">
        <v>0.3651</v>
      </c>
      <c r="J2" s="11">
        <v>0.09719</v>
      </c>
      <c r="K2" s="11">
        <v>-4.25</v>
      </c>
      <c r="L2" s="11">
        <v>-0.839999973773956</v>
      </c>
      <c r="M2" s="11">
        <v>2.665090322516</v>
      </c>
      <c r="N2" s="11">
        <v>-0.660000026226043</v>
      </c>
      <c r="O2" s="11">
        <v>0.21999912</v>
      </c>
      <c r="P2" s="12"/>
      <c r="Q2" s="13" t="s">
        <v>24</v>
      </c>
      <c r="S2" s="14">
        <f t="array" ref="S2:S1204">SORT(F$2:F$1204)</f>
        <v>0</v>
      </c>
      <c r="T2" s="14">
        <f t="array" ref="T2:T1204">SORT(H$2:H$1204)</f>
        <v>0</v>
      </c>
      <c r="U2" s="14">
        <f t="array" ref="U2:U1204">SORT(J$2:J$1204)</f>
        <v>0</v>
      </c>
    </row>
    <row r="3">
      <c r="A3" s="15" t="s">
        <v>23</v>
      </c>
      <c r="B3" s="16">
        <v>2016.0</v>
      </c>
      <c r="C3" s="16">
        <v>154.0</v>
      </c>
      <c r="D3" s="16">
        <v>3.36</v>
      </c>
      <c r="E3" s="16">
        <v>0.38227</v>
      </c>
      <c r="F3" s="16">
        <v>0.11037</v>
      </c>
      <c r="G3" s="16">
        <v>0.17344</v>
      </c>
      <c r="H3" s="16">
        <v>0.1643</v>
      </c>
      <c r="I3" s="16">
        <v>0.31268</v>
      </c>
      <c r="J3" s="16">
        <v>0.07112</v>
      </c>
      <c r="K3" s="16">
        <v>2.06999993324279</v>
      </c>
      <c r="L3" s="16">
        <v>5.67000007629394</v>
      </c>
      <c r="M3" s="16">
        <v>-2.40950921742184</v>
      </c>
      <c r="N3" s="16">
        <v>4.38000011444091</v>
      </c>
      <c r="O3" s="16">
        <v>5.19276021</v>
      </c>
      <c r="P3" s="12"/>
      <c r="Q3" s="17" t="s">
        <v>24</v>
      </c>
      <c r="S3" s="14">
        <v>0.0</v>
      </c>
      <c r="T3" s="14">
        <v>0.0</v>
      </c>
      <c r="U3" s="14">
        <v>0.0</v>
      </c>
    </row>
    <row r="4">
      <c r="A4" s="10" t="s">
        <v>23</v>
      </c>
      <c r="B4" s="11">
        <v>2017.0</v>
      </c>
      <c r="C4" s="11">
        <v>141.0</v>
      </c>
      <c r="D4" s="11">
        <v>3.79399991</v>
      </c>
      <c r="E4" s="11">
        <v>0.401477218</v>
      </c>
      <c r="F4" s="11">
        <v>0.581543326</v>
      </c>
      <c r="G4" s="11">
        <v>0.180746779</v>
      </c>
      <c r="H4" s="11">
        <v>0.10617952</v>
      </c>
      <c r="I4" s="11">
        <v>0.311870933</v>
      </c>
      <c r="J4" s="11">
        <v>0.06115783</v>
      </c>
      <c r="K4" s="11">
        <v>4.44000005722045</v>
      </c>
      <c r="L4" s="11">
        <v>6.94000005722045</v>
      </c>
      <c r="M4" s="11">
        <v>2.40399999999999</v>
      </c>
      <c r="N4" s="11">
        <v>4.976</v>
      </c>
      <c r="O4" s="11">
        <v>5.42322754</v>
      </c>
      <c r="P4" s="12"/>
      <c r="Q4" s="13" t="s">
        <v>24</v>
      </c>
      <c r="S4" s="14">
        <v>0.0</v>
      </c>
      <c r="T4" s="14">
        <v>0.0</v>
      </c>
      <c r="U4" s="14">
        <v>0.0</v>
      </c>
    </row>
    <row r="5">
      <c r="A5" s="15" t="s">
        <v>23</v>
      </c>
      <c r="B5" s="16">
        <v>2018.0</v>
      </c>
      <c r="C5" s="16">
        <v>145.0</v>
      </c>
      <c r="D5" s="16">
        <v>3.632</v>
      </c>
      <c r="E5" s="16">
        <v>0.332</v>
      </c>
      <c r="F5" s="16">
        <v>0.537</v>
      </c>
      <c r="G5" s="16">
        <v>0.255</v>
      </c>
      <c r="H5" s="16">
        <v>0.085</v>
      </c>
      <c r="I5" s="16">
        <v>0.191</v>
      </c>
      <c r="J5" s="16">
        <v>0.036</v>
      </c>
      <c r="K5" s="16">
        <v>1.47418493217537</v>
      </c>
      <c r="L5" s="16">
        <v>-1.04595239606621</v>
      </c>
      <c r="M5" s="16">
        <v>2.07120815593141</v>
      </c>
      <c r="N5" s="16">
        <v>0.63</v>
      </c>
      <c r="O5" s="16">
        <v>-0.12603251</v>
      </c>
      <c r="P5" s="12"/>
      <c r="Q5" s="17" t="s">
        <v>24</v>
      </c>
      <c r="S5" s="14">
        <v>0.0</v>
      </c>
      <c r="T5" s="14">
        <v>0.0</v>
      </c>
      <c r="U5" s="14">
        <v>0.0</v>
      </c>
    </row>
    <row r="6">
      <c r="A6" s="10" t="s">
        <v>23</v>
      </c>
      <c r="B6" s="11">
        <v>2019.0</v>
      </c>
      <c r="C6" s="11">
        <v>154.0</v>
      </c>
      <c r="D6" s="11">
        <v>3.203</v>
      </c>
      <c r="E6" s="11">
        <v>0.35</v>
      </c>
      <c r="F6" s="11">
        <v>0.517</v>
      </c>
      <c r="G6" s="11">
        <v>0.361</v>
      </c>
      <c r="H6" s="11">
        <v>0.0</v>
      </c>
      <c r="I6" s="11">
        <v>0.158</v>
      </c>
      <c r="J6" s="11">
        <v>0.025</v>
      </c>
      <c r="K6" s="11">
        <v>-2.49435883253048</v>
      </c>
      <c r="L6" s="11">
        <v>3.79477024172849</v>
      </c>
      <c r="M6" s="11">
        <v>6.52092800765366</v>
      </c>
      <c r="N6" s="11">
        <v>2.30200004577636</v>
      </c>
      <c r="O6" s="12"/>
      <c r="P6" s="12"/>
      <c r="Q6" s="13" t="s">
        <v>24</v>
      </c>
      <c r="S6" s="14">
        <v>0.0</v>
      </c>
      <c r="T6" s="14">
        <v>0.0</v>
      </c>
      <c r="U6" s="14">
        <v>0.0</v>
      </c>
    </row>
    <row r="7">
      <c r="A7" s="15" t="s">
        <v>23</v>
      </c>
      <c r="B7" s="16">
        <v>2020.0</v>
      </c>
      <c r="C7" s="16">
        <v>153.0</v>
      </c>
      <c r="D7" s="16">
        <v>2.566900015</v>
      </c>
      <c r="E7" s="16">
        <v>0.30070585</v>
      </c>
      <c r="F7" s="16">
        <v>0.470366955</v>
      </c>
      <c r="G7" s="16">
        <v>52.59000015</v>
      </c>
      <c r="H7" s="16">
        <v>0.396573007</v>
      </c>
      <c r="I7" s="16">
        <v>-0.0964294</v>
      </c>
      <c r="J7" s="16">
        <v>0.933686554</v>
      </c>
      <c r="K7" s="12"/>
      <c r="L7" s="16">
        <v>5.82900524205677</v>
      </c>
      <c r="M7" s="16">
        <v>5.30711956961048</v>
      </c>
      <c r="N7" s="16">
        <v>5.44299983978271</v>
      </c>
      <c r="O7" s="12"/>
      <c r="P7" s="12"/>
      <c r="Q7" s="17" t="s">
        <v>24</v>
      </c>
      <c r="S7" s="14">
        <v>0.0</v>
      </c>
      <c r="T7" s="14">
        <v>0.0</v>
      </c>
      <c r="U7" s="14">
        <v>0.0</v>
      </c>
    </row>
    <row r="8">
      <c r="A8" s="10" t="s">
        <v>23</v>
      </c>
      <c r="B8" s="11">
        <v>2021.0</v>
      </c>
      <c r="C8" s="11">
        <v>149.0</v>
      </c>
      <c r="D8" s="11">
        <v>2.523</v>
      </c>
      <c r="E8" s="11">
        <v>7.695</v>
      </c>
      <c r="F8" s="11">
        <v>0.463</v>
      </c>
      <c r="G8" s="11">
        <v>52.493</v>
      </c>
      <c r="H8" s="11">
        <v>0.382</v>
      </c>
      <c r="I8" s="11">
        <v>-0.102</v>
      </c>
      <c r="J8" s="11">
        <v>0.924</v>
      </c>
      <c r="K8" s="12"/>
      <c r="L8" s="12"/>
      <c r="M8" s="11">
        <v>0.524516523622143</v>
      </c>
      <c r="N8" s="11">
        <v>5.062</v>
      </c>
      <c r="O8" s="12"/>
      <c r="P8" s="12"/>
      <c r="Q8" s="13" t="s">
        <v>24</v>
      </c>
      <c r="S8" s="14">
        <v>0.064</v>
      </c>
      <c r="T8" s="14">
        <v>0.00589</v>
      </c>
      <c r="U8" s="14">
        <v>0.0</v>
      </c>
    </row>
    <row r="9">
      <c r="A9" s="15" t="s">
        <v>23</v>
      </c>
      <c r="B9" s="16">
        <v>2022.0</v>
      </c>
      <c r="C9" s="16">
        <v>146.0</v>
      </c>
      <c r="D9" s="16">
        <v>2.404</v>
      </c>
      <c r="E9" s="16">
        <v>0.758</v>
      </c>
      <c r="F9" s="16">
        <v>0.0</v>
      </c>
      <c r="G9" s="16">
        <v>0.289</v>
      </c>
      <c r="H9" s="16">
        <v>0.0</v>
      </c>
      <c r="I9" s="16">
        <v>0.089</v>
      </c>
      <c r="J9" s="16">
        <v>0.005</v>
      </c>
      <c r="K9" s="12"/>
      <c r="L9" s="12"/>
      <c r="M9" s="16">
        <v>5.47507138150669</v>
      </c>
      <c r="N9" s="16">
        <v>10.6</v>
      </c>
      <c r="O9" s="12"/>
      <c r="P9" s="12"/>
      <c r="Q9" s="17" t="s">
        <v>24</v>
      </c>
      <c r="S9" s="14">
        <v>0.10419</v>
      </c>
      <c r="T9" s="14">
        <v>0.01</v>
      </c>
      <c r="U9" s="14">
        <v>0.001</v>
      </c>
    </row>
    <row r="10">
      <c r="A10" s="10" t="s">
        <v>23</v>
      </c>
      <c r="B10" s="11">
        <v>2023.0</v>
      </c>
      <c r="C10" s="11">
        <v>137.0</v>
      </c>
      <c r="D10" s="11">
        <v>1.859</v>
      </c>
      <c r="E10" s="11">
        <v>7.324</v>
      </c>
      <c r="F10" s="11">
        <v>0.341</v>
      </c>
      <c r="G10" s="11">
        <v>54.712</v>
      </c>
      <c r="H10" s="11">
        <v>0.382</v>
      </c>
      <c r="I10" s="11">
        <v>-0.081</v>
      </c>
      <c r="J10" s="11">
        <v>0.847</v>
      </c>
      <c r="K10" s="12"/>
      <c r="L10" s="12"/>
      <c r="M10" s="12"/>
      <c r="N10" s="12"/>
      <c r="O10" s="12"/>
      <c r="P10" s="12"/>
      <c r="Q10" s="13" t="s">
        <v>24</v>
      </c>
      <c r="S10" s="14">
        <v>0.11037</v>
      </c>
      <c r="T10" s="14">
        <v>0.014995855</v>
      </c>
      <c r="U10" s="14">
        <v>0.00227</v>
      </c>
    </row>
    <row r="11">
      <c r="A11" s="15" t="s">
        <v>25</v>
      </c>
      <c r="B11" s="16">
        <v>2015.0</v>
      </c>
      <c r="C11" s="16">
        <v>95.0</v>
      </c>
      <c r="D11" s="16">
        <v>4.959</v>
      </c>
      <c r="E11" s="16">
        <v>0.87867</v>
      </c>
      <c r="F11" s="16">
        <v>0.80434</v>
      </c>
      <c r="G11" s="16">
        <v>0.81325</v>
      </c>
      <c r="H11" s="16">
        <v>0.35733</v>
      </c>
      <c r="I11" s="16">
        <v>0.14272</v>
      </c>
      <c r="J11" s="16">
        <v>0.06413</v>
      </c>
      <c r="K11" s="16">
        <v>-0.519999980926513</v>
      </c>
      <c r="L11" s="16">
        <v>4.31948947906494</v>
      </c>
      <c r="M11" s="16">
        <v>0.56427819843611</v>
      </c>
      <c r="N11" s="16">
        <v>1.91017913818359</v>
      </c>
      <c r="O11" s="16">
        <v>-0.156957194209098</v>
      </c>
      <c r="P11" s="12"/>
      <c r="Q11" s="17" t="s">
        <v>26</v>
      </c>
      <c r="S11" s="14">
        <v>0.13995</v>
      </c>
      <c r="T11" s="14">
        <v>0.016</v>
      </c>
      <c r="U11" s="14">
        <v>0.00322</v>
      </c>
    </row>
    <row r="12">
      <c r="A12" s="10" t="s">
        <v>25</v>
      </c>
      <c r="B12" s="11">
        <v>2016.0</v>
      </c>
      <c r="C12" s="11">
        <v>109.0</v>
      </c>
      <c r="D12" s="11">
        <v>4.655</v>
      </c>
      <c r="E12" s="11">
        <v>0.9553</v>
      </c>
      <c r="F12" s="11">
        <v>0.50163</v>
      </c>
      <c r="G12" s="11">
        <v>0.73007</v>
      </c>
      <c r="H12" s="11">
        <v>0.31866</v>
      </c>
      <c r="I12" s="11">
        <v>0.1684</v>
      </c>
      <c r="J12" s="11">
        <v>0.05301</v>
      </c>
      <c r="K12" s="11">
        <v>0.0399999991059303</v>
      </c>
      <c r="L12" s="11">
        <v>3.249187707901</v>
      </c>
      <c r="M12" s="11">
        <v>-0.632404985382368</v>
      </c>
      <c r="N12" s="11">
        <v>1.29123377799987</v>
      </c>
      <c r="O12" s="11">
        <v>0.151381567120552</v>
      </c>
      <c r="P12" s="11">
        <v>-1.61330354213714</v>
      </c>
      <c r="Q12" s="13" t="s">
        <v>26</v>
      </c>
      <c r="S12" s="14">
        <v>0.147</v>
      </c>
      <c r="T12" s="14">
        <v>0.025</v>
      </c>
      <c r="U12" s="14">
        <v>0.004</v>
      </c>
    </row>
    <row r="13">
      <c r="A13" s="15" t="s">
        <v>25</v>
      </c>
      <c r="B13" s="16">
        <v>2017.0</v>
      </c>
      <c r="C13" s="16">
        <v>109.0</v>
      </c>
      <c r="D13" s="16">
        <v>4.644000053</v>
      </c>
      <c r="E13" s="16">
        <v>0.996192753</v>
      </c>
      <c r="F13" s="16">
        <v>0.803685248</v>
      </c>
      <c r="G13" s="16">
        <v>0.731159747</v>
      </c>
      <c r="H13" s="16">
        <v>0.381498635</v>
      </c>
      <c r="I13" s="16">
        <v>0.201312944</v>
      </c>
      <c r="J13" s="16">
        <v>0.039864216</v>
      </c>
      <c r="K13" s="16">
        <v>1.0</v>
      </c>
      <c r="L13" s="16">
        <v>3.90542984008789</v>
      </c>
      <c r="M13" s="16">
        <v>1.45093606280679</v>
      </c>
      <c r="N13" s="16">
        <v>1.987</v>
      </c>
      <c r="O13" s="16">
        <v>0.819712996482849</v>
      </c>
      <c r="P13" s="16">
        <v>2.84224581718444</v>
      </c>
      <c r="Q13" s="17" t="s">
        <v>26</v>
      </c>
      <c r="S13" s="14">
        <v>0.18519</v>
      </c>
      <c r="T13" s="14">
        <v>0.026</v>
      </c>
      <c r="U13" s="14">
        <v>0.004387901</v>
      </c>
    </row>
    <row r="14">
      <c r="A14" s="10" t="s">
        <v>25</v>
      </c>
      <c r="B14" s="11">
        <v>2018.0</v>
      </c>
      <c r="C14" s="11">
        <v>112.0</v>
      </c>
      <c r="D14" s="11">
        <v>4.586</v>
      </c>
      <c r="E14" s="11">
        <v>0.916</v>
      </c>
      <c r="F14" s="11">
        <v>0.817</v>
      </c>
      <c r="G14" s="11">
        <v>0.79</v>
      </c>
      <c r="H14" s="11">
        <v>0.419</v>
      </c>
      <c r="I14" s="11">
        <v>0.149</v>
      </c>
      <c r="J14" s="11">
        <v>0.032</v>
      </c>
      <c r="K14" s="11">
        <v>2.79999995231628</v>
      </c>
      <c r="L14" s="11">
        <v>2.67143154144287</v>
      </c>
      <c r="M14" s="11">
        <v>1.35946435476321</v>
      </c>
      <c r="N14" s="11">
        <v>2.03</v>
      </c>
      <c r="O14" s="11">
        <v>0.928374290466308</v>
      </c>
      <c r="P14" s="11">
        <v>1.60262203216552</v>
      </c>
      <c r="Q14" s="13" t="s">
        <v>26</v>
      </c>
      <c r="S14" s="14">
        <v>0.19249</v>
      </c>
      <c r="T14" s="14">
        <v>0.030369857</v>
      </c>
      <c r="U14" s="14">
        <v>0.005</v>
      </c>
    </row>
    <row r="15">
      <c r="A15" s="15" t="s">
        <v>25</v>
      </c>
      <c r="B15" s="16">
        <v>2019.0</v>
      </c>
      <c r="C15" s="16">
        <v>107.0</v>
      </c>
      <c r="D15" s="16">
        <v>4.719</v>
      </c>
      <c r="E15" s="16">
        <v>0.947</v>
      </c>
      <c r="F15" s="16">
        <v>0.848</v>
      </c>
      <c r="G15" s="16">
        <v>0.874</v>
      </c>
      <c r="H15" s="16">
        <v>0.383</v>
      </c>
      <c r="I15" s="16">
        <v>0.178</v>
      </c>
      <c r="J15" s="16">
        <v>0.027</v>
      </c>
      <c r="K15" s="16">
        <v>0.689009845256805</v>
      </c>
      <c r="L15" s="16">
        <v>2.91193795204162</v>
      </c>
      <c r="M15" s="16">
        <v>0.363417327577547</v>
      </c>
      <c r="N15" s="16">
        <v>1.41100001335144</v>
      </c>
      <c r="O15" s="16">
        <v>0.735378146171569</v>
      </c>
      <c r="P15" s="16">
        <v>-0.7967209815979</v>
      </c>
      <c r="Q15" s="17" t="s">
        <v>26</v>
      </c>
      <c r="S15" s="14">
        <v>0.23442</v>
      </c>
      <c r="T15" s="14">
        <v>0.0432</v>
      </c>
      <c r="U15" s="14">
        <v>0.005</v>
      </c>
    </row>
    <row r="16">
      <c r="A16" s="10" t="s">
        <v>25</v>
      </c>
      <c r="B16" s="11">
        <v>2020.0</v>
      </c>
      <c r="C16" s="11">
        <v>105.0</v>
      </c>
      <c r="D16" s="11">
        <v>4.882699966</v>
      </c>
      <c r="E16" s="11">
        <v>0.906653047</v>
      </c>
      <c r="F16" s="11">
        <v>0.671070457</v>
      </c>
      <c r="G16" s="11">
        <v>68.70813751</v>
      </c>
      <c r="H16" s="11">
        <v>0.781994224</v>
      </c>
      <c r="I16" s="11">
        <v>-0.042309489</v>
      </c>
      <c r="J16" s="11">
        <v>0.896303713</v>
      </c>
      <c r="K16" s="11">
        <v>1.42008930115135</v>
      </c>
      <c r="L16" s="11">
        <v>3.60745429992675</v>
      </c>
      <c r="M16" s="11">
        <v>1.41339575081023</v>
      </c>
      <c r="N16" s="11">
        <v>1.62088661716951</v>
      </c>
      <c r="O16" s="11">
        <v>1.41140627861022</v>
      </c>
      <c r="P16" s="11">
        <v>-3.43263876375989</v>
      </c>
      <c r="Q16" s="13" t="s">
        <v>26</v>
      </c>
      <c r="S16" s="14">
        <v>0.24749</v>
      </c>
      <c r="T16" s="14">
        <v>0.05822</v>
      </c>
      <c r="U16" s="14">
        <v>0.006</v>
      </c>
    </row>
    <row r="17">
      <c r="A17" s="15" t="s">
        <v>25</v>
      </c>
      <c r="B17" s="16">
        <v>2021.0</v>
      </c>
      <c r="C17" s="16">
        <v>93.0</v>
      </c>
      <c r="D17" s="16">
        <v>5.117</v>
      </c>
      <c r="E17" s="16">
        <v>9.52</v>
      </c>
      <c r="F17" s="16">
        <v>0.697</v>
      </c>
      <c r="G17" s="16">
        <v>68.999</v>
      </c>
      <c r="H17" s="16">
        <v>0.785</v>
      </c>
      <c r="I17" s="16">
        <v>-0.03</v>
      </c>
      <c r="J17" s="16">
        <v>0.901</v>
      </c>
      <c r="K17" s="16">
        <v>2.7</v>
      </c>
      <c r="L17" s="16">
        <v>3.9</v>
      </c>
      <c r="M17" s="16">
        <v>5.92801381432446</v>
      </c>
      <c r="N17" s="16">
        <v>2.04147163139546</v>
      </c>
      <c r="O17" s="16">
        <v>1.67932927237433</v>
      </c>
      <c r="P17" s="16">
        <v>2.69890833333318</v>
      </c>
      <c r="Q17" s="17" t="s">
        <v>26</v>
      </c>
      <c r="S17" s="14">
        <v>0.26135</v>
      </c>
      <c r="T17" s="14">
        <v>0.059900753</v>
      </c>
      <c r="U17" s="14">
        <v>0.006</v>
      </c>
    </row>
    <row r="18">
      <c r="A18" s="10" t="s">
        <v>25</v>
      </c>
      <c r="B18" s="11">
        <v>2022.0</v>
      </c>
      <c r="C18" s="11">
        <v>90.0</v>
      </c>
      <c r="D18" s="11">
        <v>5.199</v>
      </c>
      <c r="E18" s="11">
        <v>1.439</v>
      </c>
      <c r="F18" s="11">
        <v>0.646</v>
      </c>
      <c r="G18" s="11">
        <v>0.719</v>
      </c>
      <c r="H18" s="11">
        <v>0.511</v>
      </c>
      <c r="I18" s="11">
        <v>0.138</v>
      </c>
      <c r="J18" s="11">
        <v>0.028</v>
      </c>
      <c r="K18" s="11">
        <v>14.2160851123593</v>
      </c>
      <c r="L18" s="11">
        <v>11.2035143814813</v>
      </c>
      <c r="M18" s="11">
        <v>9.65176329448954</v>
      </c>
      <c r="N18" s="11">
        <v>6.72520271530062</v>
      </c>
      <c r="O18" s="11">
        <v>6.50104098947488</v>
      </c>
      <c r="P18" s="11">
        <v>19.937537473013</v>
      </c>
      <c r="Q18" s="13" t="s">
        <v>26</v>
      </c>
      <c r="S18" s="14">
        <v>0.268</v>
      </c>
      <c r="T18" s="14">
        <v>0.065</v>
      </c>
      <c r="U18" s="14">
        <v>0.006</v>
      </c>
    </row>
    <row r="19">
      <c r="A19" s="15" t="s">
        <v>25</v>
      </c>
      <c r="B19" s="16">
        <v>2023.0</v>
      </c>
      <c r="C19" s="16">
        <v>83.0</v>
      </c>
      <c r="D19" s="16">
        <v>5.277</v>
      </c>
      <c r="E19" s="16">
        <v>9.567</v>
      </c>
      <c r="F19" s="16">
        <v>0.718</v>
      </c>
      <c r="G19" s="16">
        <v>69.15</v>
      </c>
      <c r="H19" s="16">
        <v>0.794</v>
      </c>
      <c r="I19" s="16">
        <v>-0.007</v>
      </c>
      <c r="J19" s="16">
        <v>0.878</v>
      </c>
      <c r="K19" s="16">
        <v>-5.0686363666852</v>
      </c>
      <c r="L19" s="12"/>
      <c r="M19" s="16">
        <v>5.1942692701798</v>
      </c>
      <c r="N19" s="16">
        <v>5.5652238840334</v>
      </c>
      <c r="O19" s="16">
        <v>5.22253129346313</v>
      </c>
      <c r="P19" s="12"/>
      <c r="Q19" s="17" t="s">
        <v>26</v>
      </c>
      <c r="S19" s="14">
        <v>0.279</v>
      </c>
      <c r="T19" s="14">
        <v>0.066</v>
      </c>
      <c r="U19" s="14">
        <v>0.006</v>
      </c>
    </row>
    <row r="20">
      <c r="A20" s="10" t="s">
        <v>27</v>
      </c>
      <c r="B20" s="11">
        <v>2015.0</v>
      </c>
      <c r="C20" s="11">
        <v>68.0</v>
      </c>
      <c r="D20" s="11">
        <v>5.605</v>
      </c>
      <c r="E20" s="11">
        <v>0.93929</v>
      </c>
      <c r="F20" s="11">
        <v>1.07772</v>
      </c>
      <c r="G20" s="11">
        <v>0.61766</v>
      </c>
      <c r="H20" s="11">
        <v>0.28579</v>
      </c>
      <c r="I20" s="11">
        <v>0.07822</v>
      </c>
      <c r="J20" s="11">
        <v>0.17383</v>
      </c>
      <c r="K20" s="11">
        <v>1.75031983852386</v>
      </c>
      <c r="L20" s="11">
        <v>3.60488200187683</v>
      </c>
      <c r="M20" s="11">
        <v>-6.45563575659751</v>
      </c>
      <c r="N20" s="11">
        <v>4.39166641235351</v>
      </c>
      <c r="O20" s="12"/>
      <c r="P20" s="11">
        <v>2.2497055530548</v>
      </c>
      <c r="Q20" s="13" t="s">
        <v>28</v>
      </c>
      <c r="S20" s="14">
        <v>0.29247</v>
      </c>
      <c r="T20" s="14">
        <v>0.067</v>
      </c>
      <c r="U20" s="14">
        <v>0.006</v>
      </c>
      <c r="W20" s="18" t="s">
        <v>29</v>
      </c>
    </row>
    <row r="21">
      <c r="A21" s="15" t="s">
        <v>27</v>
      </c>
      <c r="B21" s="16">
        <v>2016.0</v>
      </c>
      <c r="C21" s="16">
        <v>38.0</v>
      </c>
      <c r="D21" s="16">
        <v>6.355</v>
      </c>
      <c r="E21" s="16">
        <v>1.05266</v>
      </c>
      <c r="F21" s="16">
        <v>0.83309</v>
      </c>
      <c r="G21" s="16">
        <v>0.61804</v>
      </c>
      <c r="H21" s="16">
        <v>0.21006</v>
      </c>
      <c r="I21" s="16">
        <v>0.07044</v>
      </c>
      <c r="J21" s="16">
        <v>0.16157</v>
      </c>
      <c r="K21" s="16">
        <v>5.98105430603027</v>
      </c>
      <c r="L21" s="16">
        <v>2.61684465408325</v>
      </c>
      <c r="M21" s="16">
        <v>1.54872950179933</v>
      </c>
      <c r="N21" s="16">
        <v>5.80030393600463</v>
      </c>
      <c r="O21" s="12"/>
      <c r="P21" s="16">
        <v>4.11934089660644</v>
      </c>
      <c r="Q21" s="17" t="s">
        <v>28</v>
      </c>
      <c r="S21" s="14">
        <v>0.29561</v>
      </c>
      <c r="T21" s="14">
        <v>0.07699</v>
      </c>
      <c r="U21" s="14">
        <v>0.00615</v>
      </c>
    </row>
    <row r="22">
      <c r="A22" s="10" t="s">
        <v>27</v>
      </c>
      <c r="B22" s="11">
        <v>2017.0</v>
      </c>
      <c r="C22" s="11">
        <v>53.0</v>
      </c>
      <c r="D22" s="11">
        <v>5.872000217</v>
      </c>
      <c r="E22" s="11">
        <v>1.091864467</v>
      </c>
      <c r="F22" s="11">
        <v>1.146217465</v>
      </c>
      <c r="G22" s="11">
        <v>0.617584646</v>
      </c>
      <c r="H22" s="11">
        <v>0.233335808</v>
      </c>
      <c r="I22" s="11">
        <v>0.069436647</v>
      </c>
      <c r="J22" s="11">
        <v>0.14609611</v>
      </c>
      <c r="K22" s="11">
        <v>2.80177974700927</v>
      </c>
      <c r="L22" s="11">
        <v>5.60540008544921</v>
      </c>
      <c r="M22" s="11">
        <v>6.39083687848975</v>
      </c>
      <c r="N22" s="11">
        <v>5.591</v>
      </c>
      <c r="O22" s="12"/>
      <c r="P22" s="11">
        <v>1.8786095380783</v>
      </c>
      <c r="Q22" s="13" t="s">
        <v>28</v>
      </c>
      <c r="S22" s="14">
        <v>0.30285</v>
      </c>
      <c r="T22" s="14">
        <v>0.077</v>
      </c>
      <c r="U22" s="14">
        <v>0.00649</v>
      </c>
    </row>
    <row r="23">
      <c r="A23" s="15" t="s">
        <v>27</v>
      </c>
      <c r="B23" s="16">
        <v>2018.0</v>
      </c>
      <c r="C23" s="16">
        <v>84.0</v>
      </c>
      <c r="D23" s="16">
        <v>5.295</v>
      </c>
      <c r="E23" s="16">
        <v>0.979</v>
      </c>
      <c r="F23" s="16">
        <v>1.154</v>
      </c>
      <c r="G23" s="16">
        <v>0.687</v>
      </c>
      <c r="H23" s="16">
        <v>0.077</v>
      </c>
      <c r="I23" s="16">
        <v>0.055</v>
      </c>
      <c r="J23" s="16">
        <v>0.135</v>
      </c>
      <c r="K23" s="16">
        <v>1.23882627487182</v>
      </c>
      <c r="L23" s="16">
        <v>1.74122929573059</v>
      </c>
      <c r="M23" s="16">
        <v>7.0647865764369</v>
      </c>
      <c r="N23" s="16">
        <v>3.51</v>
      </c>
      <c r="O23" s="12"/>
      <c r="P23" s="16">
        <v>4.08105659484863</v>
      </c>
      <c r="Q23" s="17" t="s">
        <v>28</v>
      </c>
      <c r="S23" s="14">
        <v>0.3109</v>
      </c>
      <c r="T23" s="14">
        <v>0.085</v>
      </c>
      <c r="U23" s="14">
        <v>0.00679</v>
      </c>
    </row>
    <row r="24">
      <c r="A24" s="10" t="s">
        <v>27</v>
      </c>
      <c r="B24" s="11">
        <v>2019.0</v>
      </c>
      <c r="C24" s="11">
        <v>88.0</v>
      </c>
      <c r="D24" s="11">
        <v>5.211</v>
      </c>
      <c r="E24" s="11">
        <v>1.002</v>
      </c>
      <c r="F24" s="11">
        <v>1.16</v>
      </c>
      <c r="G24" s="11">
        <v>0.785</v>
      </c>
      <c r="H24" s="11">
        <v>0.086</v>
      </c>
      <c r="I24" s="11">
        <v>0.073</v>
      </c>
      <c r="J24" s="11">
        <v>0.114</v>
      </c>
      <c r="K24" s="11">
        <v>1.42514395713806</v>
      </c>
      <c r="L24" s="11">
        <v>0.643195688724517</v>
      </c>
      <c r="M24" s="11">
        <v>-0.909989459440711</v>
      </c>
      <c r="N24" s="11">
        <v>1.9520000219345</v>
      </c>
      <c r="O24" s="12"/>
      <c r="P24" s="11">
        <v>2.63728880882263</v>
      </c>
      <c r="Q24" s="13" t="s">
        <v>28</v>
      </c>
      <c r="S24" s="14">
        <v>0.319459856</v>
      </c>
      <c r="T24" s="14">
        <v>0.086</v>
      </c>
      <c r="U24" s="14">
        <v>0.00872</v>
      </c>
    </row>
    <row r="25">
      <c r="A25" s="15" t="s">
        <v>27</v>
      </c>
      <c r="B25" s="16">
        <v>2020.0</v>
      </c>
      <c r="C25" s="16">
        <v>100.0</v>
      </c>
      <c r="D25" s="16">
        <v>5.005099773</v>
      </c>
      <c r="E25" s="16">
        <v>0.943856001</v>
      </c>
      <c r="F25" s="16">
        <v>0.803385139</v>
      </c>
      <c r="G25" s="16">
        <v>65.90517426</v>
      </c>
      <c r="H25" s="16">
        <v>0.466610909</v>
      </c>
      <c r="I25" s="16">
        <v>-0.121105164</v>
      </c>
      <c r="J25" s="16">
        <v>0.735485137</v>
      </c>
      <c r="K25" s="16">
        <v>1.38973834475173</v>
      </c>
      <c r="L25" s="16">
        <v>0.22050304710865</v>
      </c>
      <c r="M25" s="16">
        <v>-4.68669483664846</v>
      </c>
      <c r="N25" s="16">
        <v>2.41513094083385</v>
      </c>
      <c r="O25" s="12"/>
      <c r="P25" s="12"/>
      <c r="Q25" s="17" t="s">
        <v>28</v>
      </c>
      <c r="S25" s="14">
        <v>0.322</v>
      </c>
      <c r="T25" s="14">
        <v>0.09245</v>
      </c>
      <c r="U25" s="14">
        <v>0.008964816</v>
      </c>
    </row>
    <row r="26">
      <c r="A26" s="10" t="s">
        <v>27</v>
      </c>
      <c r="B26" s="11">
        <v>2021.0</v>
      </c>
      <c r="C26" s="11">
        <v>109.0</v>
      </c>
      <c r="D26" s="11">
        <v>4.887</v>
      </c>
      <c r="E26" s="11">
        <v>9.342</v>
      </c>
      <c r="F26" s="11">
        <v>0.802</v>
      </c>
      <c r="G26" s="11">
        <v>66.005</v>
      </c>
      <c r="H26" s="11">
        <v>0.48</v>
      </c>
      <c r="I26" s="11">
        <v>-0.067</v>
      </c>
      <c r="J26" s="11">
        <v>0.752</v>
      </c>
      <c r="K26" s="11">
        <v>1.47</v>
      </c>
      <c r="L26" s="11">
        <v>10.13</v>
      </c>
      <c r="M26" s="11">
        <v>15.7367442753979</v>
      </c>
      <c r="N26" s="11">
        <v>7.22606307415476</v>
      </c>
      <c r="O26" s="12"/>
      <c r="P26" s="11">
        <v>7.43290449007406</v>
      </c>
      <c r="Q26" s="13" t="s">
        <v>28</v>
      </c>
      <c r="S26" s="14">
        <v>0.33613</v>
      </c>
      <c r="T26" s="14">
        <v>0.09511</v>
      </c>
      <c r="U26" s="14">
        <v>0.009</v>
      </c>
    </row>
    <row r="27">
      <c r="A27" s="15" t="s">
        <v>27</v>
      </c>
      <c r="B27" s="16">
        <v>2022.0</v>
      </c>
      <c r="C27" s="16">
        <v>96.0</v>
      </c>
      <c r="D27" s="16">
        <v>5.122</v>
      </c>
      <c r="E27" s="16">
        <v>1.363</v>
      </c>
      <c r="F27" s="16">
        <v>0.97</v>
      </c>
      <c r="G27" s="16">
        <v>0.643</v>
      </c>
      <c r="H27" s="16">
        <v>0.146</v>
      </c>
      <c r="I27" s="16">
        <v>0.106</v>
      </c>
      <c r="J27" s="16">
        <v>0.15</v>
      </c>
      <c r="K27" s="16">
        <v>2.40209679632784</v>
      </c>
      <c r="L27" s="16">
        <v>12.7018999458344</v>
      </c>
      <c r="M27" s="16">
        <v>15.5676492233799</v>
      </c>
      <c r="N27" s="16">
        <v>9.26551551551551</v>
      </c>
      <c r="O27" s="12"/>
      <c r="P27" s="12"/>
      <c r="Q27" s="17" t="s">
        <v>28</v>
      </c>
      <c r="S27" s="14">
        <v>0.341</v>
      </c>
      <c r="T27" s="14">
        <v>0.095731251</v>
      </c>
      <c r="U27" s="14">
        <v>0.01</v>
      </c>
    </row>
    <row r="28">
      <c r="A28" s="10" t="s">
        <v>27</v>
      </c>
      <c r="B28" s="11">
        <v>2023.0</v>
      </c>
      <c r="C28" s="11">
        <v>81.0</v>
      </c>
      <c r="D28" s="11">
        <v>5.329</v>
      </c>
      <c r="E28" s="11">
        <v>9.3</v>
      </c>
      <c r="F28" s="11">
        <v>0.855</v>
      </c>
      <c r="G28" s="11">
        <v>66.549</v>
      </c>
      <c r="H28" s="11">
        <v>0.571</v>
      </c>
      <c r="I28" s="11">
        <v>-0.117</v>
      </c>
      <c r="J28" s="11">
        <v>0.717</v>
      </c>
      <c r="K28" s="11">
        <v>1.4879778034169</v>
      </c>
      <c r="L28" s="11">
        <v>13.256372924328</v>
      </c>
      <c r="M28" s="11">
        <v>-0.429629242000051</v>
      </c>
      <c r="N28" s="11">
        <v>9.32217375928322</v>
      </c>
      <c r="O28" s="12"/>
      <c r="P28" s="12"/>
      <c r="Q28" s="13" t="s">
        <v>28</v>
      </c>
      <c r="S28" s="14">
        <v>0.35386</v>
      </c>
      <c r="T28" s="14">
        <v>0.096098043</v>
      </c>
      <c r="U28" s="14">
        <v>0.010091286</v>
      </c>
    </row>
    <row r="29">
      <c r="A29" s="15" t="s">
        <v>30</v>
      </c>
      <c r="B29" s="16">
        <v>2015.0</v>
      </c>
      <c r="C29" s="16">
        <v>137.0</v>
      </c>
      <c r="D29" s="16">
        <v>4.033</v>
      </c>
      <c r="E29" s="16">
        <v>0.75778</v>
      </c>
      <c r="F29" s="16">
        <v>0.8604</v>
      </c>
      <c r="G29" s="16">
        <v>0.16683</v>
      </c>
      <c r="H29" s="16">
        <v>0.10384</v>
      </c>
      <c r="I29" s="16">
        <v>0.12344</v>
      </c>
      <c r="J29" s="16">
        <v>0.07122</v>
      </c>
      <c r="K29" s="12"/>
      <c r="L29" s="16">
        <v>9.29646968841552</v>
      </c>
      <c r="M29" s="16">
        <v>-3.51839025991925</v>
      </c>
      <c r="N29" s="16">
        <v>9.15900039672851</v>
      </c>
      <c r="O29" s="12"/>
      <c r="P29" s="16">
        <v>9.17112255096435</v>
      </c>
      <c r="Q29" s="17" t="s">
        <v>28</v>
      </c>
      <c r="S29" s="14">
        <v>0.372</v>
      </c>
      <c r="T29" s="14">
        <v>0.10081</v>
      </c>
      <c r="U29" s="14">
        <v>0.01031</v>
      </c>
    </row>
    <row r="30">
      <c r="A30" s="10" t="s">
        <v>30</v>
      </c>
      <c r="B30" s="11">
        <v>2016.0</v>
      </c>
      <c r="C30" s="11">
        <v>141.0</v>
      </c>
      <c r="D30" s="11">
        <v>3.866</v>
      </c>
      <c r="E30" s="11">
        <v>0.84731</v>
      </c>
      <c r="F30" s="11">
        <v>0.66366</v>
      </c>
      <c r="G30" s="11">
        <v>0.04991</v>
      </c>
      <c r="H30" s="11">
        <v>0.00589</v>
      </c>
      <c r="I30" s="11">
        <v>0.12071</v>
      </c>
      <c r="J30" s="11">
        <v>0.08434</v>
      </c>
      <c r="K30" s="12"/>
      <c r="L30" s="11">
        <v>21.2355003356933</v>
      </c>
      <c r="M30" s="11">
        <v>21.7742995159179</v>
      </c>
      <c r="N30" s="11">
        <v>32.3777313232421</v>
      </c>
      <c r="O30" s="12"/>
      <c r="P30" s="11">
        <v>20.3922290802001</v>
      </c>
      <c r="Q30" s="13" t="s">
        <v>28</v>
      </c>
      <c r="S30" s="14">
        <v>0.376</v>
      </c>
      <c r="T30" s="14">
        <v>0.103</v>
      </c>
      <c r="U30" s="14">
        <v>0.01078</v>
      </c>
    </row>
    <row r="31">
      <c r="A31" s="15" t="s">
        <v>30</v>
      </c>
      <c r="B31" s="16">
        <v>2017.0</v>
      </c>
      <c r="C31" s="16">
        <v>140.0</v>
      </c>
      <c r="D31" s="16">
        <v>3.795000076</v>
      </c>
      <c r="E31" s="16">
        <v>0.85842818</v>
      </c>
      <c r="F31" s="16">
        <v>1.10441196</v>
      </c>
      <c r="G31" s="16">
        <v>0.049868666</v>
      </c>
      <c r="H31" s="16">
        <v>0.0</v>
      </c>
      <c r="I31" s="16">
        <v>0.09792649</v>
      </c>
      <c r="J31" s="16">
        <v>0.069720335</v>
      </c>
      <c r="K31" s="12"/>
      <c r="L31" s="16">
        <v>40.9862174987793</v>
      </c>
      <c r="M31" s="16">
        <v>22.6178279879068</v>
      </c>
      <c r="N31" s="16">
        <v>29.844</v>
      </c>
      <c r="O31" s="12"/>
      <c r="P31" s="16">
        <v>23.0234813690185</v>
      </c>
      <c r="Q31" s="17" t="s">
        <v>28</v>
      </c>
      <c r="S31" s="14">
        <v>0.37932</v>
      </c>
      <c r="T31" s="14">
        <v>0.10384</v>
      </c>
      <c r="U31" s="14">
        <v>0.011</v>
      </c>
    </row>
    <row r="32">
      <c r="A32" s="10" t="s">
        <v>30</v>
      </c>
      <c r="B32" s="11">
        <v>2018.0</v>
      </c>
      <c r="C32" s="11">
        <v>142.0</v>
      </c>
      <c r="D32" s="11">
        <v>3.795</v>
      </c>
      <c r="E32" s="11">
        <v>0.73</v>
      </c>
      <c r="F32" s="11">
        <v>1.125</v>
      </c>
      <c r="G32" s="11">
        <v>0.269</v>
      </c>
      <c r="H32" s="11">
        <v>0.0</v>
      </c>
      <c r="I32" s="11">
        <v>0.079</v>
      </c>
      <c r="J32" s="11">
        <v>0.061</v>
      </c>
      <c r="K32" s="12"/>
      <c r="L32" s="11">
        <v>22.3502674102783</v>
      </c>
      <c r="M32" s="11">
        <v>33.7620105298279</v>
      </c>
      <c r="N32" s="11">
        <v>19.63</v>
      </c>
      <c r="O32" s="12"/>
      <c r="P32" s="11">
        <v>16.0908679962158</v>
      </c>
      <c r="Q32" s="13" t="s">
        <v>28</v>
      </c>
      <c r="S32" s="14">
        <v>0.38174</v>
      </c>
      <c r="T32" s="14">
        <v>0.10617952</v>
      </c>
      <c r="U32" s="14">
        <v>0.011051531</v>
      </c>
    </row>
    <row r="33">
      <c r="A33" s="15" t="s">
        <v>31</v>
      </c>
      <c r="B33" s="16">
        <v>2015.0</v>
      </c>
      <c r="C33" s="16">
        <v>30.0</v>
      </c>
      <c r="D33" s="16">
        <v>6.574</v>
      </c>
      <c r="E33" s="16">
        <v>1.05351</v>
      </c>
      <c r="F33" s="16">
        <v>1.24823</v>
      </c>
      <c r="G33" s="16">
        <v>0.78723</v>
      </c>
      <c r="H33" s="16">
        <v>0.44974</v>
      </c>
      <c r="I33" s="16">
        <v>0.11451</v>
      </c>
      <c r="J33" s="16">
        <v>0.08484</v>
      </c>
      <c r="K33" s="12"/>
      <c r="L33" s="12"/>
      <c r="M33" s="16">
        <v>26.5799922808641</v>
      </c>
      <c r="N33" s="16">
        <v>26.5384006500244</v>
      </c>
      <c r="O33" s="12"/>
      <c r="P33" s="12"/>
      <c r="Q33" s="17" t="s">
        <v>32</v>
      </c>
      <c r="S33" s="14">
        <v>0.38562</v>
      </c>
      <c r="T33" s="14">
        <v>0.112</v>
      </c>
      <c r="U33" s="14">
        <v>0.0114</v>
      </c>
    </row>
    <row r="34">
      <c r="A34" s="10" t="s">
        <v>31</v>
      </c>
      <c r="B34" s="11">
        <v>2016.0</v>
      </c>
      <c r="C34" s="11">
        <v>26.0</v>
      </c>
      <c r="D34" s="11">
        <v>6.65</v>
      </c>
      <c r="E34" s="11">
        <v>1.15137</v>
      </c>
      <c r="F34" s="11">
        <v>1.06612</v>
      </c>
      <c r="G34" s="11">
        <v>0.69711</v>
      </c>
      <c r="H34" s="11">
        <v>0.42284</v>
      </c>
      <c r="I34" s="11">
        <v>0.10989</v>
      </c>
      <c r="J34" s="11">
        <v>0.07296</v>
      </c>
      <c r="K34" s="12"/>
      <c r="L34" s="11">
        <v>49.4322993696387</v>
      </c>
      <c r="M34" s="11">
        <v>41.1193812255248</v>
      </c>
      <c r="N34" s="11">
        <v>39.4000015258789</v>
      </c>
      <c r="O34" s="12"/>
      <c r="P34" s="12"/>
      <c r="Q34" s="13" t="s">
        <v>32</v>
      </c>
      <c r="S34" s="14">
        <v>0.38595</v>
      </c>
      <c r="T34" s="14">
        <v>0.1185</v>
      </c>
      <c r="U34" s="14">
        <v>0.011865643</v>
      </c>
    </row>
    <row r="35">
      <c r="A35" s="15" t="s">
        <v>31</v>
      </c>
      <c r="B35" s="16">
        <v>2017.0</v>
      </c>
      <c r="C35" s="16">
        <v>24.0</v>
      </c>
      <c r="D35" s="16">
        <v>6.598999977</v>
      </c>
      <c r="E35" s="16">
        <v>1.185295463</v>
      </c>
      <c r="F35" s="16">
        <v>1.440451145</v>
      </c>
      <c r="G35" s="16">
        <v>0.695137084</v>
      </c>
      <c r="H35" s="16">
        <v>0.494519204</v>
      </c>
      <c r="I35" s="16">
        <v>0.109457061</v>
      </c>
      <c r="J35" s="16">
        <v>0.059739888</v>
      </c>
      <c r="K35" s="12"/>
      <c r="L35" s="16">
        <v>20.36</v>
      </c>
      <c r="M35" s="16">
        <v>26.0063783008199</v>
      </c>
      <c r="N35" s="16">
        <v>25.675</v>
      </c>
      <c r="O35" s="12"/>
      <c r="P35" s="16">
        <v>16.2640399932861</v>
      </c>
      <c r="Q35" s="17" t="s">
        <v>32</v>
      </c>
      <c r="S35" s="14">
        <v>0.41134</v>
      </c>
      <c r="T35" s="14">
        <v>0.12072</v>
      </c>
      <c r="U35" s="14">
        <v>0.01241</v>
      </c>
    </row>
    <row r="36">
      <c r="A36" s="10" t="s">
        <v>31</v>
      </c>
      <c r="B36" s="11">
        <v>2018.0</v>
      </c>
      <c r="C36" s="11">
        <v>29.0</v>
      </c>
      <c r="D36" s="11">
        <v>6.388</v>
      </c>
      <c r="E36" s="11">
        <v>1.073</v>
      </c>
      <c r="F36" s="11">
        <v>1.468</v>
      </c>
      <c r="G36" s="11">
        <v>0.744</v>
      </c>
      <c r="H36" s="11">
        <v>0.57</v>
      </c>
      <c r="I36" s="11">
        <v>0.062</v>
      </c>
      <c r="J36" s="11">
        <v>0.054</v>
      </c>
      <c r="K36" s="11">
        <v>52.7599983215332</v>
      </c>
      <c r="L36" s="11">
        <v>32.7389373779296</v>
      </c>
      <c r="M36" s="11">
        <v>40.0121544282748</v>
      </c>
      <c r="N36" s="11">
        <v>34.28</v>
      </c>
      <c r="O36" s="12"/>
      <c r="P36" s="11">
        <v>52.2164344787597</v>
      </c>
      <c r="Q36" s="13" t="s">
        <v>32</v>
      </c>
      <c r="S36" s="14">
        <v>0.413</v>
      </c>
      <c r="T36" s="14">
        <v>0.12102</v>
      </c>
      <c r="U36" s="14">
        <v>0.01397</v>
      </c>
    </row>
    <row r="37">
      <c r="A37" s="15" t="s">
        <v>31</v>
      </c>
      <c r="B37" s="16">
        <v>2019.0</v>
      </c>
      <c r="C37" s="16">
        <v>47.0</v>
      </c>
      <c r="D37" s="16">
        <v>6.086</v>
      </c>
      <c r="E37" s="16">
        <v>1.092</v>
      </c>
      <c r="F37" s="16">
        <v>1.432</v>
      </c>
      <c r="G37" s="16">
        <v>0.881</v>
      </c>
      <c r="H37" s="16">
        <v>0.471</v>
      </c>
      <c r="I37" s="16">
        <v>0.066</v>
      </c>
      <c r="J37" s="16">
        <v>0.05</v>
      </c>
      <c r="K37" s="16">
        <v>49.2807693481445</v>
      </c>
      <c r="L37" s="16">
        <v>58.3441047668457</v>
      </c>
      <c r="M37" s="16">
        <v>50.6225811791886</v>
      </c>
      <c r="N37" s="16">
        <v>53.5480003356933</v>
      </c>
      <c r="O37" s="12"/>
      <c r="P37" s="16">
        <v>58.3107833862304</v>
      </c>
      <c r="Q37" s="17" t="s">
        <v>32</v>
      </c>
      <c r="S37" s="14">
        <v>0.41411</v>
      </c>
      <c r="T37" s="14">
        <v>0.122974776</v>
      </c>
      <c r="U37" s="14">
        <v>0.014</v>
      </c>
    </row>
    <row r="38">
      <c r="A38" s="10" t="s">
        <v>31</v>
      </c>
      <c r="B38" s="11">
        <v>2020.0</v>
      </c>
      <c r="C38" s="11">
        <v>55.0</v>
      </c>
      <c r="D38" s="11">
        <v>5.974699974</v>
      </c>
      <c r="E38" s="11">
        <v>1.028465629</v>
      </c>
      <c r="F38" s="11">
        <v>0.900567949</v>
      </c>
      <c r="G38" s="11">
        <v>68.80380249</v>
      </c>
      <c r="H38" s="11">
        <v>0.831132412</v>
      </c>
      <c r="I38" s="11">
        <v>-0.194913864</v>
      </c>
      <c r="J38" s="11">
        <v>0.842009842</v>
      </c>
      <c r="K38" s="11">
        <v>19.9469108581542</v>
      </c>
      <c r="L38" s="11">
        <v>46.970287322998</v>
      </c>
      <c r="M38" s="11">
        <v>39.8408475683459</v>
      </c>
      <c r="N38" s="11">
        <v>42.01509475708</v>
      </c>
      <c r="O38" s="12"/>
      <c r="P38" s="11">
        <v>42.5069999694824</v>
      </c>
      <c r="Q38" s="13" t="s">
        <v>32</v>
      </c>
      <c r="S38" s="14">
        <v>0.41587</v>
      </c>
      <c r="T38" s="14">
        <v>0.1268</v>
      </c>
      <c r="U38" s="14">
        <v>0.014</v>
      </c>
    </row>
    <row r="39">
      <c r="A39" s="15" t="s">
        <v>31</v>
      </c>
      <c r="B39" s="16">
        <v>2021.0</v>
      </c>
      <c r="C39" s="16">
        <v>57.0</v>
      </c>
      <c r="D39" s="16">
        <v>5.929</v>
      </c>
      <c r="E39" s="16">
        <v>9.962</v>
      </c>
      <c r="F39" s="16">
        <v>0.898</v>
      </c>
      <c r="G39" s="16">
        <v>69.0</v>
      </c>
      <c r="H39" s="16">
        <v>0.828</v>
      </c>
      <c r="I39" s="16">
        <v>-0.182</v>
      </c>
      <c r="J39" s="16">
        <v>0.834</v>
      </c>
      <c r="K39" s="16">
        <v>26.23</v>
      </c>
      <c r="L39" s="16">
        <v>49.846</v>
      </c>
      <c r="M39" s="16">
        <v>54.1524119419346</v>
      </c>
      <c r="N39" s="16">
        <v>48.40938</v>
      </c>
      <c r="O39" s="12"/>
      <c r="P39" s="16">
        <v>59.0854950371173</v>
      </c>
      <c r="Q39" s="17" t="s">
        <v>32</v>
      </c>
      <c r="S39" s="14">
        <v>0.416</v>
      </c>
      <c r="T39" s="14">
        <v>0.12807</v>
      </c>
      <c r="U39" s="14">
        <v>0.01521</v>
      </c>
    </row>
    <row r="40">
      <c r="A40" s="10" t="s">
        <v>31</v>
      </c>
      <c r="B40" s="11">
        <v>2022.0</v>
      </c>
      <c r="C40" s="11">
        <v>57.0</v>
      </c>
      <c r="D40" s="11">
        <v>5.967</v>
      </c>
      <c r="E40" s="11">
        <v>1.592</v>
      </c>
      <c r="F40" s="11">
        <v>1.102</v>
      </c>
      <c r="G40" s="11">
        <v>0.662</v>
      </c>
      <c r="H40" s="11">
        <v>0.555</v>
      </c>
      <c r="I40" s="11">
        <v>0.081</v>
      </c>
      <c r="J40" s="11">
        <v>0.085</v>
      </c>
      <c r="K40" s="11">
        <v>51.3982874927096</v>
      </c>
      <c r="L40" s="11">
        <v>74.63056</v>
      </c>
      <c r="M40" s="11">
        <v>41.0665307404553</v>
      </c>
      <c r="N40" s="11">
        <v>72.43076</v>
      </c>
      <c r="O40" s="12"/>
      <c r="P40" s="11">
        <v>60.2733460122991</v>
      </c>
      <c r="Q40" s="13" t="s">
        <v>32</v>
      </c>
      <c r="S40" s="14">
        <v>0.43106</v>
      </c>
      <c r="T40" s="14">
        <v>0.12859</v>
      </c>
      <c r="U40" s="14">
        <v>0.015317135</v>
      </c>
    </row>
    <row r="41">
      <c r="A41" s="15" t="s">
        <v>31</v>
      </c>
      <c r="B41" s="16">
        <v>2023.0</v>
      </c>
      <c r="C41" s="16">
        <v>52.0</v>
      </c>
      <c r="D41" s="16">
        <v>6.024</v>
      </c>
      <c r="E41" s="16">
        <v>9.959</v>
      </c>
      <c r="F41" s="16">
        <v>0.891</v>
      </c>
      <c r="G41" s="16">
        <v>67.2</v>
      </c>
      <c r="H41" s="16">
        <v>0.823</v>
      </c>
      <c r="I41" s="16">
        <v>-0.089</v>
      </c>
      <c r="J41" s="16">
        <v>0.814</v>
      </c>
      <c r="K41" s="16">
        <v>110.883891648726</v>
      </c>
      <c r="L41" s="16">
        <v>144.440148777639</v>
      </c>
      <c r="M41" s="16">
        <v>112.264943954953</v>
      </c>
      <c r="N41" s="16">
        <v>128.414707711477</v>
      </c>
      <c r="O41" s="12"/>
      <c r="P41" s="16">
        <v>128.476637561706</v>
      </c>
      <c r="Q41" s="17" t="s">
        <v>32</v>
      </c>
      <c r="S41" s="14">
        <v>0.43165</v>
      </c>
      <c r="T41" s="14">
        <v>0.129</v>
      </c>
      <c r="U41" s="14">
        <v>0.015869452</v>
      </c>
    </row>
    <row r="42">
      <c r="A42" s="10" t="s">
        <v>33</v>
      </c>
      <c r="B42" s="11">
        <v>2015.0</v>
      </c>
      <c r="C42" s="11">
        <v>127.0</v>
      </c>
      <c r="D42" s="11">
        <v>4.35</v>
      </c>
      <c r="E42" s="11">
        <v>0.76821</v>
      </c>
      <c r="F42" s="11">
        <v>0.77711</v>
      </c>
      <c r="G42" s="11">
        <v>0.7299</v>
      </c>
      <c r="H42" s="11">
        <v>0.19847</v>
      </c>
      <c r="I42" s="11">
        <v>0.07855</v>
      </c>
      <c r="J42" s="11">
        <v>0.039</v>
      </c>
      <c r="K42" s="11">
        <v>38.9799995422363</v>
      </c>
      <c r="L42" s="11">
        <v>27.8500003814697</v>
      </c>
      <c r="M42" s="11">
        <v>1.16076727998705</v>
      </c>
      <c r="N42" s="11">
        <v>3.73099994659423</v>
      </c>
      <c r="O42" s="11">
        <v>5.14251082</v>
      </c>
      <c r="P42" s="11">
        <v>-0.769649088382721</v>
      </c>
      <c r="Q42" s="13" t="s">
        <v>26</v>
      </c>
      <c r="S42" s="14">
        <v>0.43188253</v>
      </c>
      <c r="T42" s="14">
        <v>0.131</v>
      </c>
      <c r="U42" s="14">
        <v>0.01615</v>
      </c>
    </row>
    <row r="43">
      <c r="A43" s="15" t="s">
        <v>33</v>
      </c>
      <c r="B43" s="16">
        <v>2016.0</v>
      </c>
      <c r="C43" s="16">
        <v>121.0</v>
      </c>
      <c r="D43" s="16">
        <v>4.36</v>
      </c>
      <c r="E43" s="16">
        <v>0.86086</v>
      </c>
      <c r="F43" s="16">
        <v>0.62477</v>
      </c>
      <c r="G43" s="16">
        <v>0.64083</v>
      </c>
      <c r="H43" s="16">
        <v>0.14037</v>
      </c>
      <c r="I43" s="16">
        <v>0.07793</v>
      </c>
      <c r="J43" s="16">
        <v>0.03616</v>
      </c>
      <c r="K43" s="16">
        <v>-23.8799991607666</v>
      </c>
      <c r="L43" s="16">
        <v>-22.0300006866455</v>
      </c>
      <c r="M43" s="16">
        <v>0.274027402740256</v>
      </c>
      <c r="N43" s="16">
        <v>-1.40600001811981</v>
      </c>
      <c r="O43" s="16">
        <v>-2.02203368</v>
      </c>
      <c r="P43" s="16">
        <v>1.51131582260131</v>
      </c>
      <c r="Q43" s="17" t="s">
        <v>26</v>
      </c>
      <c r="S43" s="14">
        <v>0.435299844</v>
      </c>
      <c r="T43" s="14">
        <v>0.13684</v>
      </c>
      <c r="U43" s="14">
        <v>0.017</v>
      </c>
    </row>
    <row r="44">
      <c r="A44" s="10" t="s">
        <v>33</v>
      </c>
      <c r="B44" s="11">
        <v>2017.0</v>
      </c>
      <c r="C44" s="11">
        <v>121.0</v>
      </c>
      <c r="D44" s="11">
        <v>4.375999928</v>
      </c>
      <c r="E44" s="11">
        <v>0.900596738</v>
      </c>
      <c r="F44" s="11">
        <v>1.007483721</v>
      </c>
      <c r="G44" s="11">
        <v>0.637524426</v>
      </c>
      <c r="H44" s="11">
        <v>0.198303267</v>
      </c>
      <c r="I44" s="11">
        <v>0.083488092</v>
      </c>
      <c r="J44" s="11">
        <v>0.026674422</v>
      </c>
      <c r="K44" s="11">
        <v>-4.63668216989041</v>
      </c>
      <c r="L44" s="11">
        <v>3.98711323738098</v>
      </c>
      <c r="M44" s="11">
        <v>2.13370036437139</v>
      </c>
      <c r="N44" s="11">
        <v>1.031</v>
      </c>
      <c r="O44" s="11">
        <v>0.69570027</v>
      </c>
      <c r="P44" s="11">
        <v>2.15844249725341</v>
      </c>
      <c r="Q44" s="13" t="s">
        <v>26</v>
      </c>
      <c r="S44" s="14">
        <v>0.437</v>
      </c>
      <c r="T44" s="14">
        <v>0.14037</v>
      </c>
      <c r="U44" s="14">
        <v>0.017</v>
      </c>
    </row>
    <row r="45">
      <c r="A45" s="15" t="s">
        <v>33</v>
      </c>
      <c r="B45" s="16">
        <v>2018.0</v>
      </c>
      <c r="C45" s="16">
        <v>129.0</v>
      </c>
      <c r="D45" s="16">
        <v>4.321</v>
      </c>
      <c r="E45" s="16">
        <v>0.816</v>
      </c>
      <c r="F45" s="16">
        <v>0.99</v>
      </c>
      <c r="G45" s="16">
        <v>0.666</v>
      </c>
      <c r="H45" s="16">
        <v>0.26</v>
      </c>
      <c r="I45" s="16">
        <v>0.077</v>
      </c>
      <c r="J45" s="16">
        <v>0.028</v>
      </c>
      <c r="K45" s="16">
        <v>0.179646258026501</v>
      </c>
      <c r="L45" s="16">
        <v>2.33622670173645</v>
      </c>
      <c r="M45" s="16">
        <v>2.76293089417662</v>
      </c>
      <c r="N45" s="16">
        <v>2.52</v>
      </c>
      <c r="O45" s="16">
        <v>3.70448587</v>
      </c>
      <c r="P45" s="16">
        <v>0.082490898668766</v>
      </c>
      <c r="Q45" s="17" t="s">
        <v>26</v>
      </c>
      <c r="S45" s="14">
        <v>0.437</v>
      </c>
      <c r="T45" s="14">
        <v>0.142</v>
      </c>
      <c r="U45" s="14">
        <v>0.018</v>
      </c>
    </row>
    <row r="46">
      <c r="A46" s="10" t="s">
        <v>33</v>
      </c>
      <c r="B46" s="11">
        <v>2019.0</v>
      </c>
      <c r="C46" s="11">
        <v>116.0</v>
      </c>
      <c r="D46" s="11">
        <v>4.559</v>
      </c>
      <c r="E46" s="11">
        <v>0.85</v>
      </c>
      <c r="F46" s="11">
        <v>1.055</v>
      </c>
      <c r="G46" s="11">
        <v>0.815</v>
      </c>
      <c r="H46" s="11">
        <v>0.283</v>
      </c>
      <c r="I46" s="11">
        <v>0.095</v>
      </c>
      <c r="J46" s="11">
        <v>0.064</v>
      </c>
      <c r="K46" s="11">
        <v>0.484941303730011</v>
      </c>
      <c r="L46" s="11">
        <v>1.86862969398498</v>
      </c>
      <c r="M46" s="11">
        <v>1.4798953430177</v>
      </c>
      <c r="N46" s="11">
        <v>1.442999958992</v>
      </c>
      <c r="O46" s="11">
        <v>1.16617347</v>
      </c>
      <c r="P46" s="11">
        <v>0.630664765834808</v>
      </c>
      <c r="Q46" s="13" t="s">
        <v>26</v>
      </c>
      <c r="S46" s="14">
        <v>0.447</v>
      </c>
      <c r="T46" s="14">
        <v>0.14396</v>
      </c>
      <c r="U46" s="14">
        <v>0.0182</v>
      </c>
    </row>
    <row r="47">
      <c r="A47" s="15" t="s">
        <v>33</v>
      </c>
      <c r="B47" s="16">
        <v>2020.0</v>
      </c>
      <c r="C47" s="16">
        <v>116.0</v>
      </c>
      <c r="D47" s="16">
        <v>4.676799774</v>
      </c>
      <c r="E47" s="16">
        <v>0.808262408</v>
      </c>
      <c r="F47" s="16">
        <v>0.757479429</v>
      </c>
      <c r="G47" s="16">
        <v>66.75065613</v>
      </c>
      <c r="H47" s="16">
        <v>0.712017834</v>
      </c>
      <c r="I47" s="16">
        <v>-0.13877961</v>
      </c>
      <c r="J47" s="16">
        <v>0.773544788</v>
      </c>
      <c r="K47" s="16">
        <v>0.893196217933309</v>
      </c>
      <c r="L47" s="16">
        <v>0.269991278648376</v>
      </c>
      <c r="M47" s="16">
        <v>1.84536629522114</v>
      </c>
      <c r="N47" s="16">
        <v>1.21143577838465</v>
      </c>
      <c r="O47" s="16">
        <v>1.29606096</v>
      </c>
      <c r="P47" s="16">
        <v>2.97596001625061</v>
      </c>
      <c r="Q47" s="17" t="s">
        <v>26</v>
      </c>
      <c r="S47" s="14">
        <v>0.46115</v>
      </c>
      <c r="T47" s="14">
        <v>0.146</v>
      </c>
      <c r="U47" s="14">
        <v>0.01829</v>
      </c>
    </row>
    <row r="48">
      <c r="A48" s="10" t="s">
        <v>33</v>
      </c>
      <c r="B48" s="11">
        <v>2021.0</v>
      </c>
      <c r="C48" s="11">
        <v>86.0</v>
      </c>
      <c r="D48" s="11">
        <v>5.283</v>
      </c>
      <c r="E48" s="11">
        <v>9.487</v>
      </c>
      <c r="F48" s="11">
        <v>0.799</v>
      </c>
      <c r="G48" s="11">
        <v>67.055</v>
      </c>
      <c r="H48" s="11">
        <v>0.825</v>
      </c>
      <c r="I48" s="11">
        <v>-0.168</v>
      </c>
      <c r="J48" s="11">
        <v>0.629</v>
      </c>
      <c r="K48" s="11">
        <v>1.28</v>
      </c>
      <c r="L48" s="11">
        <v>11.21</v>
      </c>
      <c r="M48" s="11">
        <v>6.86674073496849</v>
      </c>
      <c r="N48" s="11">
        <v>7.18483629443373</v>
      </c>
      <c r="O48" s="11">
        <v>7.23216763</v>
      </c>
      <c r="P48" s="11">
        <v>9.86643925438155</v>
      </c>
      <c r="Q48" s="13" t="s">
        <v>26</v>
      </c>
      <c r="S48" s="14">
        <v>0.463</v>
      </c>
      <c r="T48" s="14">
        <v>0.14622</v>
      </c>
      <c r="U48" s="14">
        <v>0.01903</v>
      </c>
    </row>
    <row r="49">
      <c r="A49" s="15" t="s">
        <v>33</v>
      </c>
      <c r="B49" s="16">
        <v>2022.0</v>
      </c>
      <c r="C49" s="16">
        <v>82.0</v>
      </c>
      <c r="D49" s="16">
        <v>5.399</v>
      </c>
      <c r="E49" s="16">
        <v>1.434</v>
      </c>
      <c r="F49" s="16">
        <v>0.82</v>
      </c>
      <c r="G49" s="16">
        <v>0.668</v>
      </c>
      <c r="H49" s="16">
        <v>0.558</v>
      </c>
      <c r="I49" s="16">
        <v>0.054</v>
      </c>
      <c r="J49" s="16">
        <v>0.21</v>
      </c>
      <c r="K49" s="16">
        <v>6.25101335831352</v>
      </c>
      <c r="L49" s="16">
        <v>12.1134906709789</v>
      </c>
      <c r="M49" s="16">
        <v>6.88316490017253</v>
      </c>
      <c r="N49" s="16">
        <v>8.64091108973845</v>
      </c>
      <c r="O49" s="16">
        <v>8.27819858</v>
      </c>
      <c r="P49" s="16">
        <v>2.68107717836368</v>
      </c>
      <c r="Q49" s="17" t="s">
        <v>26</v>
      </c>
      <c r="S49" s="14">
        <v>0.46475</v>
      </c>
      <c r="T49" s="14">
        <v>0.147062436</v>
      </c>
      <c r="U49" s="14">
        <v>0.02</v>
      </c>
    </row>
    <row r="50">
      <c r="A50" s="10" t="s">
        <v>33</v>
      </c>
      <c r="B50" s="11">
        <v>2023.0</v>
      </c>
      <c r="C50" s="11">
        <v>79.0</v>
      </c>
      <c r="D50" s="11">
        <v>5.342</v>
      </c>
      <c r="E50" s="11">
        <v>9.615</v>
      </c>
      <c r="F50" s="11">
        <v>0.79</v>
      </c>
      <c r="G50" s="11">
        <v>67.789</v>
      </c>
      <c r="H50" s="11">
        <v>0.796</v>
      </c>
      <c r="I50" s="11">
        <v>-0.155</v>
      </c>
      <c r="J50" s="11">
        <v>0.705</v>
      </c>
      <c r="K50" s="12"/>
      <c r="L50" s="11">
        <v>-0.494819884451163</v>
      </c>
      <c r="M50" s="11">
        <v>2.81873396931707</v>
      </c>
      <c r="N50" s="11">
        <v>1.98041877615554</v>
      </c>
      <c r="O50" s="11">
        <v>2.5</v>
      </c>
      <c r="P50" s="11">
        <v>1.58812264741169</v>
      </c>
      <c r="Q50" s="13" t="s">
        <v>26</v>
      </c>
      <c r="S50" s="14">
        <v>0.468671143</v>
      </c>
      <c r="T50" s="14">
        <v>0.148</v>
      </c>
      <c r="U50" s="14">
        <v>0.021</v>
      </c>
    </row>
    <row r="51">
      <c r="A51" s="15" t="s">
        <v>34</v>
      </c>
      <c r="B51" s="16">
        <v>2015.0</v>
      </c>
      <c r="C51" s="16">
        <v>10.0</v>
      </c>
      <c r="D51" s="16">
        <v>7.284</v>
      </c>
      <c r="E51" s="16">
        <v>1.33358</v>
      </c>
      <c r="F51" s="16">
        <v>1.30923</v>
      </c>
      <c r="G51" s="16">
        <v>0.93156</v>
      </c>
      <c r="H51" s="16">
        <v>0.65124</v>
      </c>
      <c r="I51" s="16">
        <v>0.43562</v>
      </c>
      <c r="J51" s="16">
        <v>0.35637</v>
      </c>
      <c r="K51" s="16">
        <v>2.53999996185302</v>
      </c>
      <c r="L51" s="16">
        <v>0.921209156513214</v>
      </c>
      <c r="M51" s="16">
        <v>-0.679918582997704</v>
      </c>
      <c r="N51" s="16">
        <v>1.50836789608001</v>
      </c>
      <c r="O51" s="16">
        <v>2.462425</v>
      </c>
      <c r="P51" s="16">
        <v>-4.94179139938216</v>
      </c>
      <c r="Q51" s="17" t="s">
        <v>35</v>
      </c>
      <c r="S51" s="14">
        <v>0.470366955</v>
      </c>
      <c r="T51" s="14">
        <v>0.15111</v>
      </c>
      <c r="U51" s="14">
        <v>0.022</v>
      </c>
    </row>
    <row r="52">
      <c r="A52" s="10" t="s">
        <v>34</v>
      </c>
      <c r="B52" s="11">
        <v>2016.0</v>
      </c>
      <c r="C52" s="11">
        <v>9.0</v>
      </c>
      <c r="D52" s="11">
        <v>7.313</v>
      </c>
      <c r="E52" s="11">
        <v>1.44443</v>
      </c>
      <c r="F52" s="11">
        <v>1.10476</v>
      </c>
      <c r="G52" s="11">
        <v>0.8512</v>
      </c>
      <c r="H52" s="11">
        <v>0.56837</v>
      </c>
      <c r="I52" s="11">
        <v>0.47407</v>
      </c>
      <c r="J52" s="11">
        <v>0.32331</v>
      </c>
      <c r="K52" s="11">
        <v>1.67999994754791</v>
      </c>
      <c r="L52" s="11">
        <v>0.816724598407745</v>
      </c>
      <c r="M52" s="11">
        <v>0.993067062004013</v>
      </c>
      <c r="N52" s="11">
        <v>1.27699279785156</v>
      </c>
      <c r="O52" s="11">
        <v>1.812424</v>
      </c>
      <c r="P52" s="11">
        <v>-1.43297508956068</v>
      </c>
      <c r="Q52" s="13" t="s">
        <v>35</v>
      </c>
      <c r="S52" s="14">
        <v>0.471</v>
      </c>
      <c r="T52" s="14">
        <v>0.15412</v>
      </c>
      <c r="U52" s="14">
        <v>0.022</v>
      </c>
    </row>
    <row r="53">
      <c r="A53" s="15" t="s">
        <v>34</v>
      </c>
      <c r="B53" s="16">
        <v>2017.0</v>
      </c>
      <c r="C53" s="16">
        <v>10.0</v>
      </c>
      <c r="D53" s="16">
        <v>7.28399992</v>
      </c>
      <c r="E53" s="16">
        <v>1.484414935</v>
      </c>
      <c r="F53" s="16">
        <v>1.510041952</v>
      </c>
      <c r="G53" s="16">
        <v>0.843886793</v>
      </c>
      <c r="H53" s="16">
        <v>0.601607382</v>
      </c>
      <c r="I53" s="16">
        <v>0.47769925</v>
      </c>
      <c r="J53" s="16">
        <v>0.30118373</v>
      </c>
      <c r="K53" s="16">
        <v>2.89000010490417</v>
      </c>
      <c r="L53" s="16">
        <v>0.714796245098114</v>
      </c>
      <c r="M53" s="16">
        <v>3.62774833507829</v>
      </c>
      <c r="N53" s="16">
        <v>1.972</v>
      </c>
      <c r="O53" s="16">
        <v>1.604483</v>
      </c>
      <c r="P53" s="16">
        <v>8.49463274448455</v>
      </c>
      <c r="Q53" s="17" t="s">
        <v>35</v>
      </c>
      <c r="S53" s="14">
        <v>0.474</v>
      </c>
      <c r="T53" s="14">
        <v>0.15718</v>
      </c>
      <c r="U53" s="14">
        <v>0.022794275</v>
      </c>
    </row>
    <row r="54">
      <c r="A54" s="10" t="s">
        <v>34</v>
      </c>
      <c r="B54" s="11">
        <v>2018.0</v>
      </c>
      <c r="C54" s="11">
        <v>10.0</v>
      </c>
      <c r="D54" s="11">
        <v>7.272</v>
      </c>
      <c r="E54" s="11">
        <v>1.34</v>
      </c>
      <c r="F54" s="11">
        <v>1.573</v>
      </c>
      <c r="G54" s="11">
        <v>0.91</v>
      </c>
      <c r="H54" s="11">
        <v>0.647</v>
      </c>
      <c r="I54" s="11">
        <v>0.361</v>
      </c>
      <c r="J54" s="11">
        <v>0.302</v>
      </c>
      <c r="K54" s="11">
        <v>2.34573221206665</v>
      </c>
      <c r="L54" s="11">
        <v>0.96994924545288</v>
      </c>
      <c r="M54" s="11">
        <v>2.25397883509707</v>
      </c>
      <c r="N54" s="11">
        <v>1.91</v>
      </c>
      <c r="O54" s="11">
        <v>1.269041</v>
      </c>
      <c r="P54" s="11">
        <v>5.21190401994359</v>
      </c>
      <c r="Q54" s="13" t="s">
        <v>35</v>
      </c>
      <c r="S54" s="14">
        <v>0.483</v>
      </c>
      <c r="T54" s="14">
        <v>0.162342027</v>
      </c>
      <c r="U54" s="14">
        <v>0.02299</v>
      </c>
    </row>
    <row r="55">
      <c r="A55" s="15" t="s">
        <v>34</v>
      </c>
      <c r="B55" s="16">
        <v>2019.0</v>
      </c>
      <c r="C55" s="16">
        <v>11.0</v>
      </c>
      <c r="D55" s="16">
        <v>7.228</v>
      </c>
      <c r="E55" s="16">
        <v>1.372</v>
      </c>
      <c r="F55" s="16">
        <v>1.548</v>
      </c>
      <c r="G55" s="16">
        <v>1.036</v>
      </c>
      <c r="H55" s="16">
        <v>0.557</v>
      </c>
      <c r="I55" s="16">
        <v>0.332</v>
      </c>
      <c r="J55" s="16">
        <v>0.29</v>
      </c>
      <c r="K55" s="16">
        <v>-1.21214294433593</v>
      </c>
      <c r="L55" s="16">
        <v>4.48289394378662</v>
      </c>
      <c r="M55" s="16">
        <v>3.3166279590922</v>
      </c>
      <c r="N55" s="16">
        <v>1.61000001430511</v>
      </c>
      <c r="O55" s="16">
        <v>0.6798787</v>
      </c>
      <c r="P55" s="16">
        <v>1.01443909663145</v>
      </c>
      <c r="Q55" s="17" t="s">
        <v>35</v>
      </c>
      <c r="S55" s="14">
        <v>0.489</v>
      </c>
      <c r="T55" s="14">
        <v>0.163</v>
      </c>
      <c r="U55" s="14">
        <v>0.023</v>
      </c>
    </row>
    <row r="56">
      <c r="A56" s="10" t="s">
        <v>34</v>
      </c>
      <c r="B56" s="11">
        <v>2020.0</v>
      </c>
      <c r="C56" s="11">
        <v>12.0</v>
      </c>
      <c r="D56" s="11">
        <v>7.222799778</v>
      </c>
      <c r="E56" s="11">
        <v>1.310396433</v>
      </c>
      <c r="F56" s="11">
        <v>0.944854617</v>
      </c>
      <c r="G56" s="11">
        <v>73.60453796</v>
      </c>
      <c r="H56" s="11">
        <v>0.915431738</v>
      </c>
      <c r="I56" s="11">
        <v>0.19046016</v>
      </c>
      <c r="J56" s="11">
        <v>0.41516912</v>
      </c>
      <c r="K56" s="11">
        <v>-0.123279227450179</v>
      </c>
      <c r="L56" s="11">
        <v>9.27921313065513</v>
      </c>
      <c r="M56" s="11">
        <v>0.851835784990342</v>
      </c>
      <c r="N56" s="11">
        <v>0.846905537459639</v>
      </c>
      <c r="O56" s="11">
        <v>-0.004077226</v>
      </c>
      <c r="P56" s="11">
        <v>-3.7091335581297</v>
      </c>
      <c r="Q56" s="13" t="s">
        <v>35</v>
      </c>
      <c r="S56" s="14">
        <v>0.49</v>
      </c>
      <c r="T56" s="14">
        <v>0.1643</v>
      </c>
      <c r="U56" s="14">
        <v>0.023029471</v>
      </c>
    </row>
    <row r="57">
      <c r="A57" s="15" t="s">
        <v>34</v>
      </c>
      <c r="B57" s="16">
        <v>2021.0</v>
      </c>
      <c r="C57" s="16">
        <v>11.0</v>
      </c>
      <c r="D57" s="16">
        <v>7.183</v>
      </c>
      <c r="E57" s="16">
        <v>10.796</v>
      </c>
      <c r="F57" s="16">
        <v>0.94</v>
      </c>
      <c r="G57" s="16">
        <v>73.9</v>
      </c>
      <c r="H57" s="16">
        <v>0.914</v>
      </c>
      <c r="I57" s="16">
        <v>0.159</v>
      </c>
      <c r="J57" s="16">
        <v>0.442</v>
      </c>
      <c r="K57" s="16">
        <v>10.93195</v>
      </c>
      <c r="L57" s="16">
        <v>7.91</v>
      </c>
      <c r="M57" s="16">
        <v>2.80089983637042</v>
      </c>
      <c r="N57" s="16">
        <v>2.82</v>
      </c>
      <c r="O57" s="16">
        <v>1.406068</v>
      </c>
      <c r="P57" s="16">
        <v>5.74</v>
      </c>
      <c r="Q57" s="17" t="s">
        <v>35</v>
      </c>
      <c r="S57" s="14">
        <v>0.490325719</v>
      </c>
      <c r="T57" s="14">
        <v>0.167</v>
      </c>
      <c r="U57" s="14">
        <v>0.024</v>
      </c>
    </row>
    <row r="58">
      <c r="A58" s="10" t="s">
        <v>34</v>
      </c>
      <c r="B58" s="11">
        <v>2022.0</v>
      </c>
      <c r="C58" s="11">
        <v>12.0</v>
      </c>
      <c r="D58" s="11">
        <v>7.162</v>
      </c>
      <c r="E58" s="11">
        <v>1.9</v>
      </c>
      <c r="F58" s="11">
        <v>1.203</v>
      </c>
      <c r="G58" s="11">
        <v>0.772</v>
      </c>
      <c r="H58" s="11">
        <v>0.676</v>
      </c>
      <c r="I58" s="11">
        <v>0.258</v>
      </c>
      <c r="J58" s="11">
        <v>0.341</v>
      </c>
      <c r="K58" s="11">
        <v>15.4573249190897</v>
      </c>
      <c r="L58" s="11">
        <v>8.1667</v>
      </c>
      <c r="M58" s="11">
        <v>7.3648045797676</v>
      </c>
      <c r="N58" s="11">
        <v>6.594097</v>
      </c>
      <c r="O58" s="11">
        <v>5.545571</v>
      </c>
      <c r="P58" s="11">
        <v>9.88278414769775</v>
      </c>
      <c r="Q58" s="13" t="s">
        <v>35</v>
      </c>
      <c r="S58" s="14">
        <v>0.49353</v>
      </c>
      <c r="T58" s="14">
        <v>0.174</v>
      </c>
      <c r="U58" s="14">
        <v>0.024210852</v>
      </c>
    </row>
    <row r="59">
      <c r="A59" s="15" t="s">
        <v>34</v>
      </c>
      <c r="B59" s="16">
        <v>2023.0</v>
      </c>
      <c r="C59" s="16">
        <v>12.0</v>
      </c>
      <c r="D59" s="16">
        <v>7.095</v>
      </c>
      <c r="E59" s="16">
        <v>10.821</v>
      </c>
      <c r="F59" s="16">
        <v>0.934</v>
      </c>
      <c r="G59" s="16">
        <v>71.05</v>
      </c>
      <c r="H59" s="16">
        <v>0.89</v>
      </c>
      <c r="I59" s="16">
        <v>0.198</v>
      </c>
      <c r="J59" s="16">
        <v>0.496</v>
      </c>
      <c r="K59" s="16">
        <v>7.15344632508758</v>
      </c>
      <c r="L59" s="16">
        <v>6.58103685701509</v>
      </c>
      <c r="M59" s="16">
        <v>3.71231747066776</v>
      </c>
      <c r="N59" s="16">
        <v>5.5970149253731</v>
      </c>
      <c r="O59" s="16">
        <v>5.309686</v>
      </c>
      <c r="P59" s="12"/>
      <c r="Q59" s="17" t="s">
        <v>35</v>
      </c>
      <c r="S59" s="14">
        <v>0.498</v>
      </c>
      <c r="T59" s="14">
        <v>0.175863519</v>
      </c>
      <c r="U59" s="14">
        <v>0.0243</v>
      </c>
    </row>
    <row r="60">
      <c r="A60" s="10" t="s">
        <v>36</v>
      </c>
      <c r="B60" s="11">
        <v>2015.0</v>
      </c>
      <c r="C60" s="11">
        <v>13.0</v>
      </c>
      <c r="D60" s="11">
        <v>7.2</v>
      </c>
      <c r="E60" s="11">
        <v>1.33723</v>
      </c>
      <c r="F60" s="11">
        <v>1.29704</v>
      </c>
      <c r="G60" s="11">
        <v>0.89042</v>
      </c>
      <c r="H60" s="11">
        <v>0.62433</v>
      </c>
      <c r="I60" s="11">
        <v>0.33088</v>
      </c>
      <c r="J60" s="11">
        <v>0.18676</v>
      </c>
      <c r="K60" s="11">
        <v>1.19000005722045</v>
      </c>
      <c r="L60" s="11">
        <v>0.831859767436981</v>
      </c>
      <c r="M60" s="11">
        <v>2.30074372640688</v>
      </c>
      <c r="N60" s="11">
        <v>0.896564722061157</v>
      </c>
      <c r="O60" s="11">
        <v>1.84561800956726</v>
      </c>
      <c r="P60" s="11">
        <v>-1.47798204421997</v>
      </c>
      <c r="Q60" s="13" t="s">
        <v>26</v>
      </c>
      <c r="S60" s="14">
        <v>0.50163</v>
      </c>
      <c r="T60" s="14">
        <v>0.178</v>
      </c>
      <c r="U60" s="14">
        <v>0.025</v>
      </c>
    </row>
    <row r="61">
      <c r="A61" s="15" t="s">
        <v>36</v>
      </c>
      <c r="B61" s="16">
        <v>2016.0</v>
      </c>
      <c r="C61" s="16">
        <v>12.0</v>
      </c>
      <c r="D61" s="16">
        <v>7.119</v>
      </c>
      <c r="E61" s="16">
        <v>1.45038</v>
      </c>
      <c r="F61" s="16">
        <v>1.08383</v>
      </c>
      <c r="G61" s="16">
        <v>0.80565</v>
      </c>
      <c r="H61" s="16">
        <v>0.54355</v>
      </c>
      <c r="I61" s="16">
        <v>0.32865</v>
      </c>
      <c r="J61" s="16">
        <v>0.21348</v>
      </c>
      <c r="K61" s="16">
        <v>0.829999983310699</v>
      </c>
      <c r="L61" s="16">
        <v>0.733329772949218</v>
      </c>
      <c r="M61" s="16">
        <v>1.84799999999999</v>
      </c>
      <c r="N61" s="16">
        <v>0.891595959663391</v>
      </c>
      <c r="O61" s="16">
        <v>1.46678900718688</v>
      </c>
      <c r="P61" s="16">
        <v>-1.82513415813446</v>
      </c>
      <c r="Q61" s="17" t="s">
        <v>26</v>
      </c>
      <c r="S61" s="14">
        <v>0.50353</v>
      </c>
      <c r="T61" s="14">
        <v>0.1826</v>
      </c>
      <c r="U61" s="14">
        <v>0.025</v>
      </c>
    </row>
    <row r="62">
      <c r="A62" s="10" t="s">
        <v>36</v>
      </c>
      <c r="B62" s="11">
        <v>2017.0</v>
      </c>
      <c r="C62" s="11">
        <v>13.0</v>
      </c>
      <c r="D62" s="11">
        <v>7.006000042</v>
      </c>
      <c r="E62" s="11">
        <v>1.487097263</v>
      </c>
      <c r="F62" s="11">
        <v>1.459944963</v>
      </c>
      <c r="G62" s="11">
        <v>0.815328419</v>
      </c>
      <c r="H62" s="11">
        <v>0.56776619</v>
      </c>
      <c r="I62" s="11">
        <v>0.316472322</v>
      </c>
      <c r="J62" s="11">
        <v>0.221060365</v>
      </c>
      <c r="K62" s="11">
        <v>1.73000001907348</v>
      </c>
      <c r="L62" s="11">
        <v>2.36598849296569</v>
      </c>
      <c r="M62" s="11">
        <v>0.861087110203435</v>
      </c>
      <c r="N62" s="11">
        <v>2.23</v>
      </c>
      <c r="O62" s="11">
        <v>1.97125303745269</v>
      </c>
      <c r="P62" s="11">
        <v>1.96096312999725</v>
      </c>
      <c r="Q62" s="13" t="s">
        <v>26</v>
      </c>
      <c r="S62" s="14">
        <v>0.512568831</v>
      </c>
      <c r="T62" s="14">
        <v>0.18827</v>
      </c>
      <c r="U62" s="14">
        <v>0.025</v>
      </c>
    </row>
    <row r="63">
      <c r="A63" s="15" t="s">
        <v>36</v>
      </c>
      <c r="B63" s="16">
        <v>2018.0</v>
      </c>
      <c r="C63" s="16">
        <v>12.0</v>
      </c>
      <c r="D63" s="16">
        <v>7.139</v>
      </c>
      <c r="E63" s="16">
        <v>1.341</v>
      </c>
      <c r="F63" s="16">
        <v>1.504</v>
      </c>
      <c r="G63" s="16">
        <v>0.891</v>
      </c>
      <c r="H63" s="16">
        <v>0.617</v>
      </c>
      <c r="I63" s="16">
        <v>0.242</v>
      </c>
      <c r="J63" s="16">
        <v>0.224</v>
      </c>
      <c r="K63" s="16">
        <v>2.27999997138977</v>
      </c>
      <c r="L63" s="16">
        <v>1.51931369304656</v>
      </c>
      <c r="M63" s="16">
        <v>1.71331224142127</v>
      </c>
      <c r="N63" s="16">
        <v>2.0</v>
      </c>
      <c r="O63" s="16">
        <v>1.81232404708862</v>
      </c>
      <c r="P63" s="16">
        <v>2.38113951683044</v>
      </c>
      <c r="Q63" s="17" t="s">
        <v>26</v>
      </c>
      <c r="S63" s="14">
        <v>0.517</v>
      </c>
      <c r="T63" s="14">
        <v>0.189</v>
      </c>
      <c r="U63" s="14">
        <v>0.02533637</v>
      </c>
    </row>
    <row r="64">
      <c r="A64" s="10" t="s">
        <v>36</v>
      </c>
      <c r="B64" s="11">
        <v>2019.0</v>
      </c>
      <c r="C64" s="11">
        <v>10.0</v>
      </c>
      <c r="D64" s="11">
        <v>7.246</v>
      </c>
      <c r="E64" s="11">
        <v>1.376</v>
      </c>
      <c r="F64" s="11">
        <v>1.475</v>
      </c>
      <c r="G64" s="11">
        <v>1.016</v>
      </c>
      <c r="H64" s="11">
        <v>0.532</v>
      </c>
      <c r="I64" s="11">
        <v>0.244</v>
      </c>
      <c r="J64" s="11">
        <v>0.226</v>
      </c>
      <c r="K64" s="11">
        <v>0.896824777126312</v>
      </c>
      <c r="L64" s="11">
        <v>1.01894605159759</v>
      </c>
      <c r="M64" s="11">
        <v>1.72656362157247</v>
      </c>
      <c r="N64" s="11">
        <v>1.49000000953674</v>
      </c>
      <c r="O64" s="11">
        <v>1.65348100662231</v>
      </c>
      <c r="P64" s="11">
        <v>0.105698861181735</v>
      </c>
      <c r="Q64" s="13" t="s">
        <v>26</v>
      </c>
      <c r="S64" s="14">
        <v>0.53</v>
      </c>
      <c r="T64" s="14">
        <v>0.189196765</v>
      </c>
      <c r="U64" s="14">
        <v>0.02556</v>
      </c>
    </row>
    <row r="65">
      <c r="A65" s="15" t="s">
        <v>36</v>
      </c>
      <c r="B65" s="16">
        <v>2020.0</v>
      </c>
      <c r="C65" s="16">
        <v>9.0</v>
      </c>
      <c r="D65" s="16">
        <v>7.294199944</v>
      </c>
      <c r="E65" s="16">
        <v>1.317285538</v>
      </c>
      <c r="F65" s="16">
        <v>0.928045869</v>
      </c>
      <c r="G65" s="16">
        <v>73.00250244</v>
      </c>
      <c r="H65" s="16">
        <v>0.899989486</v>
      </c>
      <c r="I65" s="16">
        <v>0.085429221</v>
      </c>
      <c r="J65" s="16">
        <v>0.499954879</v>
      </c>
      <c r="K65" s="16">
        <v>2.4005304074407</v>
      </c>
      <c r="L65" s="16">
        <v>2.33241237202166</v>
      </c>
      <c r="M65" s="16">
        <v>1.12711569400407</v>
      </c>
      <c r="N65" s="16">
        <v>1.38191063351896</v>
      </c>
      <c r="O65" s="16">
        <v>1.899783</v>
      </c>
      <c r="P65" s="16">
        <v>-1.59232577549424</v>
      </c>
      <c r="Q65" s="17" t="s">
        <v>26</v>
      </c>
      <c r="S65" s="14">
        <v>0.53</v>
      </c>
      <c r="T65" s="14">
        <v>0.18929</v>
      </c>
      <c r="U65" s="14">
        <v>0.026</v>
      </c>
    </row>
    <row r="66">
      <c r="A66" s="10" t="s">
        <v>36</v>
      </c>
      <c r="B66" s="11">
        <v>2021.0</v>
      </c>
      <c r="C66" s="11">
        <v>10.0</v>
      </c>
      <c r="D66" s="11">
        <v>7.268</v>
      </c>
      <c r="E66" s="11">
        <v>10.906</v>
      </c>
      <c r="F66" s="11">
        <v>0.934</v>
      </c>
      <c r="G66" s="11">
        <v>73.3</v>
      </c>
      <c r="H66" s="11">
        <v>0.908</v>
      </c>
      <c r="I66" s="11">
        <v>0.042</v>
      </c>
      <c r="J66" s="11">
        <v>0.481</v>
      </c>
      <c r="K66" s="11">
        <v>12.25</v>
      </c>
      <c r="L66" s="11">
        <v>0.783</v>
      </c>
      <c r="M66" s="11">
        <v>1.94340746030798</v>
      </c>
      <c r="N66" s="11">
        <v>2.766667</v>
      </c>
      <c r="O66" s="11">
        <v>2.15</v>
      </c>
      <c r="P66" s="11">
        <v>7.94947994056506</v>
      </c>
      <c r="Q66" s="13" t="s">
        <v>26</v>
      </c>
      <c r="S66" s="14">
        <v>0.531</v>
      </c>
      <c r="T66" s="14">
        <v>0.19184</v>
      </c>
      <c r="U66" s="14">
        <v>0.026121566</v>
      </c>
    </row>
    <row r="67">
      <c r="A67" s="15" t="s">
        <v>36</v>
      </c>
      <c r="B67" s="16">
        <v>2022.0</v>
      </c>
      <c r="C67" s="16">
        <v>11.0</v>
      </c>
      <c r="D67" s="16">
        <v>7.163</v>
      </c>
      <c r="E67" s="16">
        <v>1.931</v>
      </c>
      <c r="F67" s="16">
        <v>1.165</v>
      </c>
      <c r="G67" s="16">
        <v>0.774</v>
      </c>
      <c r="H67" s="16">
        <v>0.623</v>
      </c>
      <c r="I67" s="16">
        <v>0.193</v>
      </c>
      <c r="J67" s="16">
        <v>0.329</v>
      </c>
      <c r="K67" s="16">
        <v>39.0574838499425</v>
      </c>
      <c r="L67" s="16">
        <v>10.74824</v>
      </c>
      <c r="M67" s="16">
        <v>4.73782797998789</v>
      </c>
      <c r="N67" s="16">
        <v>8.54687</v>
      </c>
      <c r="O67" s="16">
        <v>5.47947970396949</v>
      </c>
      <c r="P67" s="16">
        <v>9.52817924600438</v>
      </c>
      <c r="Q67" s="17" t="s">
        <v>26</v>
      </c>
      <c r="S67" s="14">
        <v>0.537</v>
      </c>
      <c r="T67" s="14">
        <v>0.194989055</v>
      </c>
      <c r="U67" s="14">
        <v>0.02617</v>
      </c>
    </row>
    <row r="68">
      <c r="A68" s="10" t="s">
        <v>36</v>
      </c>
      <c r="B68" s="11">
        <v>2023.0</v>
      </c>
      <c r="C68" s="11">
        <v>11.0</v>
      </c>
      <c r="D68" s="11">
        <v>7.097</v>
      </c>
      <c r="E68" s="11">
        <v>10.899</v>
      </c>
      <c r="F68" s="11">
        <v>0.888</v>
      </c>
      <c r="G68" s="11">
        <v>71.15</v>
      </c>
      <c r="H68" s="11">
        <v>0.855</v>
      </c>
      <c r="I68" s="11">
        <v>0.102</v>
      </c>
      <c r="J68" s="11">
        <v>0.497</v>
      </c>
      <c r="K68" s="11">
        <v>6.19527294229444</v>
      </c>
      <c r="L68" s="11">
        <v>10.9742295652548</v>
      </c>
      <c r="M68" s="11">
        <v>7.61521169577138</v>
      </c>
      <c r="N68" s="11">
        <v>7.81413417002832</v>
      </c>
      <c r="O68" s="11">
        <v>7.74055499377888</v>
      </c>
      <c r="P68" s="11">
        <v>1.82224394330803</v>
      </c>
      <c r="Q68" s="13" t="s">
        <v>26</v>
      </c>
      <c r="S68" s="14">
        <v>0.537</v>
      </c>
      <c r="T68" s="14">
        <v>0.195</v>
      </c>
      <c r="U68" s="14">
        <v>0.02652</v>
      </c>
    </row>
    <row r="69">
      <c r="A69" s="15" t="s">
        <v>37</v>
      </c>
      <c r="B69" s="16">
        <v>2015.0</v>
      </c>
      <c r="C69" s="16">
        <v>80.0</v>
      </c>
      <c r="D69" s="16">
        <v>5.212</v>
      </c>
      <c r="E69" s="16">
        <v>1.02389</v>
      </c>
      <c r="F69" s="16">
        <v>0.93793</v>
      </c>
      <c r="G69" s="16">
        <v>0.64045</v>
      </c>
      <c r="H69" s="16">
        <v>0.3703</v>
      </c>
      <c r="I69" s="16">
        <v>0.07799</v>
      </c>
      <c r="J69" s="16">
        <v>0.16065</v>
      </c>
      <c r="K69" s="16">
        <v>-1.62303245067596</v>
      </c>
      <c r="L69" s="16">
        <v>6.07079982757568</v>
      </c>
      <c r="M69" s="16">
        <v>-8.80963850634935</v>
      </c>
      <c r="N69" s="16">
        <v>4.03293752670288</v>
      </c>
      <c r="O69" s="16">
        <v>3.98318161</v>
      </c>
      <c r="P69" s="16">
        <v>-30.5796451568603</v>
      </c>
      <c r="Q69" s="17" t="s">
        <v>26</v>
      </c>
      <c r="S69" s="14">
        <v>0.5375</v>
      </c>
      <c r="T69" s="14">
        <v>0.19662</v>
      </c>
      <c r="U69" s="14">
        <v>0.02666</v>
      </c>
    </row>
    <row r="70">
      <c r="A70" s="10" t="s">
        <v>37</v>
      </c>
      <c r="B70" s="11">
        <v>2016.0</v>
      </c>
      <c r="C70" s="11">
        <v>81.0</v>
      </c>
      <c r="D70" s="11">
        <v>5.291</v>
      </c>
      <c r="E70" s="11">
        <v>1.12373</v>
      </c>
      <c r="F70" s="11">
        <v>0.76042</v>
      </c>
      <c r="G70" s="11">
        <v>0.54504</v>
      </c>
      <c r="H70" s="11">
        <v>0.35327</v>
      </c>
      <c r="I70" s="11">
        <v>0.0564</v>
      </c>
      <c r="J70" s="11">
        <v>0.17914</v>
      </c>
      <c r="K70" s="11">
        <v>7.26000022888183</v>
      </c>
      <c r="L70" s="11">
        <v>14.7491998672485</v>
      </c>
      <c r="M70" s="11">
        <v>14.6285807646225</v>
      </c>
      <c r="N70" s="11">
        <v>12.4405546188354</v>
      </c>
      <c r="O70" s="11">
        <v>4.13967686</v>
      </c>
      <c r="P70" s="11">
        <v>27.5422267913818</v>
      </c>
      <c r="Q70" s="13" t="s">
        <v>26</v>
      </c>
      <c r="S70" s="14">
        <v>0.54</v>
      </c>
      <c r="T70" s="14">
        <v>0.197</v>
      </c>
      <c r="U70" s="14">
        <v>0.026674422</v>
      </c>
    </row>
    <row r="71">
      <c r="A71" s="15" t="s">
        <v>37</v>
      </c>
      <c r="B71" s="16">
        <v>2017.0</v>
      </c>
      <c r="C71" s="16">
        <v>85.0</v>
      </c>
      <c r="D71" s="16">
        <v>5.234000206</v>
      </c>
      <c r="E71" s="16">
        <v>1.153601766</v>
      </c>
      <c r="F71" s="16">
        <v>1.152400255</v>
      </c>
      <c r="G71" s="16">
        <v>0.540775776</v>
      </c>
      <c r="H71" s="16">
        <v>0.398155838</v>
      </c>
      <c r="I71" s="16">
        <v>0.04526934</v>
      </c>
      <c r="J71" s="16">
        <v>0.180987507</v>
      </c>
      <c r="K71" s="16">
        <v>19.5620853246483</v>
      </c>
      <c r="L71" s="16">
        <v>16.520917892456</v>
      </c>
      <c r="M71" s="16">
        <v>16.2261676825936</v>
      </c>
      <c r="N71" s="16">
        <v>12.844</v>
      </c>
      <c r="O71" s="16">
        <v>-0.09196416</v>
      </c>
      <c r="P71" s="16">
        <v>36.8018417358398</v>
      </c>
      <c r="Q71" s="17" t="s">
        <v>26</v>
      </c>
      <c r="S71" s="14">
        <v>0.54083544</v>
      </c>
      <c r="T71" s="14">
        <v>0.1977</v>
      </c>
      <c r="U71" s="14">
        <v>0.027</v>
      </c>
    </row>
    <row r="72">
      <c r="A72" s="10" t="s">
        <v>37</v>
      </c>
      <c r="B72" s="11">
        <v>2018.0</v>
      </c>
      <c r="C72" s="11">
        <v>87.0</v>
      </c>
      <c r="D72" s="11">
        <v>5.201</v>
      </c>
      <c r="E72" s="11">
        <v>1.024</v>
      </c>
      <c r="F72" s="11">
        <v>1.161</v>
      </c>
      <c r="G72" s="11">
        <v>0.603</v>
      </c>
      <c r="H72" s="11">
        <v>0.43</v>
      </c>
      <c r="I72" s="11">
        <v>0.031</v>
      </c>
      <c r="J72" s="11">
        <v>0.176</v>
      </c>
      <c r="K72" s="11">
        <v>4.41208298058518</v>
      </c>
      <c r="L72" s="11">
        <v>1.78152251243591</v>
      </c>
      <c r="M72" s="11">
        <v>12.1843243375818</v>
      </c>
      <c r="N72" s="11">
        <v>2.33</v>
      </c>
      <c r="O72" s="11">
        <v>-0.09204881</v>
      </c>
      <c r="P72" s="11">
        <v>26.0311489105224</v>
      </c>
      <c r="Q72" s="13" t="s">
        <v>26</v>
      </c>
      <c r="S72" s="14">
        <v>0.541</v>
      </c>
      <c r="T72" s="14">
        <v>0.198303267</v>
      </c>
      <c r="U72" s="14">
        <v>0.027</v>
      </c>
    </row>
    <row r="73">
      <c r="A73" s="15" t="s">
        <v>37</v>
      </c>
      <c r="B73" s="16">
        <v>2019.0</v>
      </c>
      <c r="C73" s="16">
        <v>90.0</v>
      </c>
      <c r="D73" s="16">
        <v>5.208</v>
      </c>
      <c r="E73" s="16">
        <v>1.043</v>
      </c>
      <c r="F73" s="16">
        <v>1.147</v>
      </c>
      <c r="G73" s="16">
        <v>0.769</v>
      </c>
      <c r="H73" s="16">
        <v>0.351</v>
      </c>
      <c r="I73" s="16">
        <v>0.035</v>
      </c>
      <c r="J73" s="16">
        <v>0.182</v>
      </c>
      <c r="K73" s="16">
        <v>-0.146273248155444</v>
      </c>
      <c r="L73" s="16">
        <v>3.69214367866516</v>
      </c>
      <c r="M73" s="16">
        <v>-0.229557536956939</v>
      </c>
      <c r="N73" s="16">
        <v>2.71199989318847</v>
      </c>
      <c r="O73" s="16">
        <v>-1.84267232</v>
      </c>
      <c r="P73" s="16">
        <v>3.22801184654235</v>
      </c>
      <c r="Q73" s="17" t="s">
        <v>26</v>
      </c>
      <c r="S73" s="14">
        <v>0.544</v>
      </c>
      <c r="T73" s="14">
        <v>0.19847</v>
      </c>
      <c r="U73" s="14">
        <v>0.027</v>
      </c>
    </row>
    <row r="74">
      <c r="A74" s="10" t="s">
        <v>37</v>
      </c>
      <c r="B74" s="11">
        <v>2020.0</v>
      </c>
      <c r="C74" s="11">
        <v>89.0</v>
      </c>
      <c r="D74" s="11">
        <v>5.164800167</v>
      </c>
      <c r="E74" s="11">
        <v>0.990272701</v>
      </c>
      <c r="F74" s="11">
        <v>0.819308281</v>
      </c>
      <c r="G74" s="11">
        <v>65.50839996</v>
      </c>
      <c r="H74" s="11">
        <v>0.786824107</v>
      </c>
      <c r="I74" s="11">
        <v>-0.240255281</v>
      </c>
      <c r="J74" s="11">
        <v>0.55253756</v>
      </c>
      <c r="K74" s="11">
        <v>1.51732887891399</v>
      </c>
      <c r="L74" s="11">
        <v>4.81472063064575</v>
      </c>
      <c r="M74" s="11">
        <v>-7.34813429701508</v>
      </c>
      <c r="N74" s="11">
        <v>2.75980947008128</v>
      </c>
      <c r="O74" s="12"/>
      <c r="P74" s="11">
        <v>-24.7999954223632</v>
      </c>
      <c r="Q74" s="13" t="s">
        <v>26</v>
      </c>
      <c r="S74" s="14">
        <v>0.544007301</v>
      </c>
      <c r="T74" s="14">
        <v>0.199</v>
      </c>
      <c r="U74" s="14">
        <v>0.02745</v>
      </c>
    </row>
    <row r="75">
      <c r="A75" s="15" t="s">
        <v>37</v>
      </c>
      <c r="B75" s="16">
        <v>2021.0</v>
      </c>
      <c r="C75" s="16">
        <v>90.0</v>
      </c>
      <c r="D75" s="16">
        <v>5.171</v>
      </c>
      <c r="E75" s="16">
        <v>9.569</v>
      </c>
      <c r="F75" s="16">
        <v>0.836</v>
      </c>
      <c r="G75" s="16">
        <v>65.656</v>
      </c>
      <c r="H75" s="16">
        <v>0.814</v>
      </c>
      <c r="I75" s="16">
        <v>-0.223</v>
      </c>
      <c r="J75" s="16">
        <v>0.506</v>
      </c>
      <c r="K75" s="16">
        <v>15.68</v>
      </c>
      <c r="L75" s="16">
        <v>8.16</v>
      </c>
      <c r="M75" s="16">
        <v>21.1569288713012</v>
      </c>
      <c r="N75" s="16">
        <v>6.65029912708779</v>
      </c>
      <c r="O75" s="12"/>
      <c r="P75" s="16">
        <v>69.5989703334361</v>
      </c>
      <c r="Q75" s="17" t="s">
        <v>26</v>
      </c>
      <c r="S75" s="14">
        <v>0.551312625</v>
      </c>
      <c r="T75" s="14">
        <v>0.20107</v>
      </c>
      <c r="U75" s="14">
        <v>0.02758</v>
      </c>
    </row>
    <row r="76">
      <c r="A76" s="10" t="s">
        <v>38</v>
      </c>
      <c r="B76" s="11">
        <v>2015.0</v>
      </c>
      <c r="C76" s="11">
        <v>49.0</v>
      </c>
      <c r="D76" s="11">
        <v>5.96</v>
      </c>
      <c r="E76" s="11">
        <v>1.32376</v>
      </c>
      <c r="F76" s="11">
        <v>1.21624</v>
      </c>
      <c r="G76" s="11">
        <v>0.74716</v>
      </c>
      <c r="H76" s="11">
        <v>0.45492</v>
      </c>
      <c r="I76" s="11">
        <v>0.17362</v>
      </c>
      <c r="J76" s="11">
        <v>0.306</v>
      </c>
      <c r="K76" s="11">
        <v>4.6100001335144</v>
      </c>
      <c r="L76" s="11">
        <v>2.41981554031372</v>
      </c>
      <c r="M76" s="11">
        <v>-9.25499404031079</v>
      </c>
      <c r="N76" s="11">
        <v>1.83589649200439</v>
      </c>
      <c r="O76" s="12"/>
      <c r="P76" s="12"/>
      <c r="Q76" s="13" t="s">
        <v>24</v>
      </c>
      <c r="S76" s="14">
        <v>0.552</v>
      </c>
      <c r="T76" s="14">
        <v>0.204403177</v>
      </c>
      <c r="U76" s="14">
        <v>0.02781</v>
      </c>
    </row>
    <row r="77">
      <c r="A77" s="15" t="s">
        <v>38</v>
      </c>
      <c r="B77" s="16">
        <v>2016.0</v>
      </c>
      <c r="C77" s="16">
        <v>42.0</v>
      </c>
      <c r="D77" s="16">
        <v>6.218</v>
      </c>
      <c r="E77" s="16">
        <v>1.44024</v>
      </c>
      <c r="F77" s="16">
        <v>0.94397</v>
      </c>
      <c r="G77" s="16">
        <v>0.65696</v>
      </c>
      <c r="H77" s="16">
        <v>0.47375</v>
      </c>
      <c r="I77" s="16">
        <v>0.17147</v>
      </c>
      <c r="J77" s="16">
        <v>0.25772</v>
      </c>
      <c r="K77" s="16">
        <v>3.02999997138977</v>
      </c>
      <c r="L77" s="16">
        <v>1.29120540618896</v>
      </c>
      <c r="M77" s="16">
        <v>0.246898949198072</v>
      </c>
      <c r="N77" s="16">
        <v>2.79971241950988</v>
      </c>
      <c r="O77" s="12"/>
      <c r="P77" s="12"/>
      <c r="Q77" s="17" t="s">
        <v>24</v>
      </c>
      <c r="S77" s="14">
        <v>0.553</v>
      </c>
      <c r="T77" s="14">
        <v>0.208715528</v>
      </c>
      <c r="U77" s="14">
        <v>0.028</v>
      </c>
    </row>
    <row r="78">
      <c r="A78" s="10" t="s">
        <v>38</v>
      </c>
      <c r="B78" s="11">
        <v>2017.0</v>
      </c>
      <c r="C78" s="11">
        <v>41.0</v>
      </c>
      <c r="D78" s="11">
        <v>6.086999893</v>
      </c>
      <c r="E78" s="11">
        <v>1.488412261</v>
      </c>
      <c r="F78" s="11">
        <v>1.323110461</v>
      </c>
      <c r="G78" s="11">
        <v>0.653133035</v>
      </c>
      <c r="H78" s="11">
        <v>0.536746919</v>
      </c>
      <c r="I78" s="11">
        <v>0.172668487</v>
      </c>
      <c r="J78" s="11">
        <v>0.25704217</v>
      </c>
      <c r="K78" s="11">
        <v>3.48000001907348</v>
      </c>
      <c r="L78" s="11">
        <v>1.00895237922668</v>
      </c>
      <c r="M78" s="11">
        <v>5.51888558311824</v>
      </c>
      <c r="N78" s="11">
        <v>1.387</v>
      </c>
      <c r="O78" s="12"/>
      <c r="P78" s="12"/>
      <c r="Q78" s="13" t="s">
        <v>24</v>
      </c>
      <c r="S78" s="14">
        <v>0.553707123</v>
      </c>
      <c r="T78" s="14">
        <v>0.209</v>
      </c>
      <c r="U78" s="14">
        <v>0.028</v>
      </c>
    </row>
    <row r="79">
      <c r="A79" s="15" t="s">
        <v>38</v>
      </c>
      <c r="B79" s="16">
        <v>2018.0</v>
      </c>
      <c r="C79" s="16">
        <v>43.0</v>
      </c>
      <c r="D79" s="16">
        <v>6.105</v>
      </c>
      <c r="E79" s="16">
        <v>1.338</v>
      </c>
      <c r="F79" s="16">
        <v>1.366</v>
      </c>
      <c r="G79" s="16">
        <v>0.698</v>
      </c>
      <c r="H79" s="16">
        <v>0.594</v>
      </c>
      <c r="I79" s="16">
        <v>0.243</v>
      </c>
      <c r="J79" s="16">
        <v>0.123</v>
      </c>
      <c r="K79" s="16">
        <v>1.24000000953674</v>
      </c>
      <c r="L79" s="16">
        <v>2.12125444412231</v>
      </c>
      <c r="M79" s="16">
        <v>4.35074877693542</v>
      </c>
      <c r="N79" s="16">
        <v>2.08</v>
      </c>
      <c r="O79" s="12"/>
      <c r="P79" s="12"/>
      <c r="Q79" s="17" t="s">
        <v>24</v>
      </c>
      <c r="S79" s="14">
        <v>0.555</v>
      </c>
      <c r="T79" s="14">
        <v>0.21006</v>
      </c>
      <c r="U79" s="14">
        <v>0.028</v>
      </c>
    </row>
    <row r="80">
      <c r="A80" s="10" t="s">
        <v>38</v>
      </c>
      <c r="B80" s="11">
        <v>2019.0</v>
      </c>
      <c r="C80" s="11">
        <v>37.0</v>
      </c>
      <c r="D80" s="11">
        <v>6.199</v>
      </c>
      <c r="E80" s="11">
        <v>1.362</v>
      </c>
      <c r="F80" s="11">
        <v>1.368</v>
      </c>
      <c r="G80" s="11">
        <v>0.871</v>
      </c>
      <c r="H80" s="11">
        <v>0.536</v>
      </c>
      <c r="I80" s="11">
        <v>0.255</v>
      </c>
      <c r="J80" s="11">
        <v>0.11</v>
      </c>
      <c r="K80" s="11">
        <v>2.8731575012207</v>
      </c>
      <c r="L80" s="11">
        <v>2.37875795364379</v>
      </c>
      <c r="M80" s="11">
        <v>0.184310357168423</v>
      </c>
      <c r="N80" s="11">
        <v>1.0</v>
      </c>
      <c r="O80" s="12"/>
      <c r="P80" s="12"/>
      <c r="Q80" s="13" t="s">
        <v>24</v>
      </c>
      <c r="S80" s="14">
        <v>0.56</v>
      </c>
      <c r="T80" s="14">
        <v>0.212</v>
      </c>
      <c r="U80" s="14">
        <v>0.028</v>
      </c>
    </row>
    <row r="81">
      <c r="A81" s="15" t="s">
        <v>38</v>
      </c>
      <c r="B81" s="16">
        <v>2020.0</v>
      </c>
      <c r="C81" s="16">
        <v>40.0</v>
      </c>
      <c r="D81" s="16">
        <v>6.227300167</v>
      </c>
      <c r="E81" s="16">
        <v>1.296692252</v>
      </c>
      <c r="F81" s="16">
        <v>0.876342118</v>
      </c>
      <c r="G81" s="16">
        <v>68.5</v>
      </c>
      <c r="H81" s="16">
        <v>0.905855775</v>
      </c>
      <c r="I81" s="16">
        <v>0.13372919</v>
      </c>
      <c r="J81" s="16">
        <v>0.7393471</v>
      </c>
      <c r="K81" s="16">
        <v>-2.61258769389393</v>
      </c>
      <c r="L81" s="16">
        <v>3.54620385169982</v>
      </c>
      <c r="M81" s="16">
        <v>-6.85248361226713</v>
      </c>
      <c r="N81" s="16">
        <v>-2.31770629331354</v>
      </c>
      <c r="O81" s="12"/>
      <c r="P81" s="12"/>
      <c r="Q81" s="17" t="s">
        <v>24</v>
      </c>
      <c r="S81" s="14">
        <v>0.56</v>
      </c>
      <c r="T81" s="14">
        <v>0.21219</v>
      </c>
      <c r="U81" s="14">
        <v>0.028</v>
      </c>
    </row>
    <row r="82">
      <c r="A82" s="10" t="s">
        <v>38</v>
      </c>
      <c r="B82" s="11">
        <v>2021.0</v>
      </c>
      <c r="C82" s="11">
        <v>22.0</v>
      </c>
      <c r="D82" s="11">
        <v>6.647</v>
      </c>
      <c r="E82" s="11">
        <v>10.669</v>
      </c>
      <c r="F82" s="11">
        <v>0.862</v>
      </c>
      <c r="G82" s="11">
        <v>69.495</v>
      </c>
      <c r="H82" s="11">
        <v>0.925</v>
      </c>
      <c r="I82" s="11">
        <v>0.089</v>
      </c>
      <c r="J82" s="11">
        <v>0.722</v>
      </c>
      <c r="K82" s="11">
        <v>-1.26</v>
      </c>
      <c r="L82" s="11">
        <v>-0.08</v>
      </c>
      <c r="M82" s="11">
        <v>9.50130120883527</v>
      </c>
      <c r="N82" s="11">
        <v>-0.606319385140896</v>
      </c>
      <c r="O82" s="12"/>
      <c r="P82" s="12"/>
      <c r="Q82" s="13" t="s">
        <v>24</v>
      </c>
      <c r="S82" s="14">
        <v>0.565</v>
      </c>
      <c r="T82" s="14">
        <v>0.21342</v>
      </c>
      <c r="U82" s="14">
        <v>0.028</v>
      </c>
    </row>
    <row r="83">
      <c r="A83" s="15" t="s">
        <v>38</v>
      </c>
      <c r="B83" s="16">
        <v>2022.0</v>
      </c>
      <c r="C83" s="16">
        <v>21.0</v>
      </c>
      <c r="D83" s="16">
        <v>6.647</v>
      </c>
      <c r="E83" s="16">
        <v>1.854</v>
      </c>
      <c r="F83" s="16">
        <v>1.029</v>
      </c>
      <c r="G83" s="16">
        <v>0.625</v>
      </c>
      <c r="H83" s="16">
        <v>0.693</v>
      </c>
      <c r="I83" s="16">
        <v>0.199</v>
      </c>
      <c r="J83" s="16">
        <v>0.155</v>
      </c>
      <c r="K83" s="16">
        <v>-0.942204926518002</v>
      </c>
      <c r="L83" s="16">
        <v>9.98565252159711</v>
      </c>
      <c r="M83" s="16">
        <v>7.79586563307495</v>
      </c>
      <c r="N83" s="16">
        <v>3.62574104304492</v>
      </c>
      <c r="O83" s="12"/>
      <c r="P83" s="12"/>
      <c r="Q83" s="17" t="s">
        <v>24</v>
      </c>
      <c r="S83" s="14">
        <v>0.566</v>
      </c>
      <c r="T83" s="14">
        <v>0.216</v>
      </c>
      <c r="U83" s="14">
        <v>0.028</v>
      </c>
    </row>
    <row r="84">
      <c r="A84" s="10" t="s">
        <v>38</v>
      </c>
      <c r="B84" s="11">
        <v>2023.0</v>
      </c>
      <c r="C84" s="11">
        <v>42.0</v>
      </c>
      <c r="D84" s="11">
        <v>6.173</v>
      </c>
      <c r="E84" s="11">
        <v>10.776</v>
      </c>
      <c r="F84" s="11">
        <v>0.844</v>
      </c>
      <c r="G84" s="11">
        <v>65.825</v>
      </c>
      <c r="H84" s="11">
        <v>0.944</v>
      </c>
      <c r="I84" s="11">
        <v>0.117</v>
      </c>
      <c r="J84" s="11">
        <v>0.737</v>
      </c>
      <c r="K84" s="11">
        <v>0.258153272544227</v>
      </c>
      <c r="L84" s="11">
        <v>6.04844489035461</v>
      </c>
      <c r="M84" s="11">
        <v>-6.3234394510935</v>
      </c>
      <c r="N84" s="11">
        <v>0.178293829992012</v>
      </c>
      <c r="O84" s="12"/>
      <c r="P84" s="12"/>
      <c r="Q84" s="13" t="s">
        <v>24</v>
      </c>
      <c r="S84" s="14">
        <v>0.569</v>
      </c>
      <c r="T84" s="14">
        <v>0.22</v>
      </c>
      <c r="U84" s="14">
        <v>0.028</v>
      </c>
    </row>
    <row r="85">
      <c r="A85" s="15" t="s">
        <v>39</v>
      </c>
      <c r="B85" s="16">
        <v>2015.0</v>
      </c>
      <c r="C85" s="16">
        <v>109.0</v>
      </c>
      <c r="D85" s="16">
        <v>4.694</v>
      </c>
      <c r="E85" s="16">
        <v>0.39753</v>
      </c>
      <c r="F85" s="16">
        <v>0.43106</v>
      </c>
      <c r="G85" s="16">
        <v>0.60164</v>
      </c>
      <c r="H85" s="16">
        <v>0.4082</v>
      </c>
      <c r="I85" s="16">
        <v>0.21222</v>
      </c>
      <c r="J85" s="16">
        <v>0.12569</v>
      </c>
      <c r="K85" s="16">
        <v>3.30782222747802</v>
      </c>
      <c r="L85" s="16">
        <v>6.05000019073486</v>
      </c>
      <c r="M85" s="16">
        <v>5.87252478812705</v>
      </c>
      <c r="N85" s="16">
        <v>6.1859426498413</v>
      </c>
      <c r="O85" s="12"/>
      <c r="P85" s="12"/>
      <c r="Q85" s="17" t="s">
        <v>24</v>
      </c>
      <c r="S85" s="14">
        <v>0.570614934</v>
      </c>
      <c r="T85" s="14">
        <v>0.221</v>
      </c>
      <c r="U85" s="14">
        <v>0.028028091</v>
      </c>
    </row>
    <row r="86">
      <c r="A86" s="10" t="s">
        <v>39</v>
      </c>
      <c r="B86" s="11">
        <v>2016.0</v>
      </c>
      <c r="C86" s="11">
        <v>110.0</v>
      </c>
      <c r="D86" s="11">
        <v>4.643</v>
      </c>
      <c r="E86" s="11">
        <v>0.54177</v>
      </c>
      <c r="F86" s="11">
        <v>0.24749</v>
      </c>
      <c r="G86" s="11">
        <v>0.52989</v>
      </c>
      <c r="H86" s="11">
        <v>0.39778</v>
      </c>
      <c r="I86" s="11">
        <v>0.19132</v>
      </c>
      <c r="J86" s="11">
        <v>0.12583</v>
      </c>
      <c r="K86" s="11">
        <v>9.19092369079589</v>
      </c>
      <c r="L86" s="11">
        <v>4.51000022888183</v>
      </c>
      <c r="M86" s="11">
        <v>6.728194858623</v>
      </c>
      <c r="N86" s="11">
        <v>5.50575304031372</v>
      </c>
      <c r="O86" s="12"/>
      <c r="P86" s="12"/>
      <c r="Q86" s="13" t="s">
        <v>24</v>
      </c>
      <c r="S86" s="14">
        <v>0.572</v>
      </c>
      <c r="T86" s="14">
        <v>0.225</v>
      </c>
      <c r="U86" s="14">
        <v>0.02833</v>
      </c>
    </row>
    <row r="87">
      <c r="A87" s="15" t="s">
        <v>39</v>
      </c>
      <c r="B87" s="16">
        <v>2017.0</v>
      </c>
      <c r="C87" s="16">
        <v>110.0</v>
      </c>
      <c r="D87" s="16">
        <v>4.607999802</v>
      </c>
      <c r="E87" s="16">
        <v>0.586682975</v>
      </c>
      <c r="F87" s="16">
        <v>0.735131741</v>
      </c>
      <c r="G87" s="16">
        <v>0.533241034</v>
      </c>
      <c r="H87" s="16">
        <v>0.478356659</v>
      </c>
      <c r="I87" s="16">
        <v>0.172255352</v>
      </c>
      <c r="J87" s="16">
        <v>0.123717859</v>
      </c>
      <c r="K87" s="16">
        <v>4.24190616607666</v>
      </c>
      <c r="L87" s="16">
        <v>7.17000007629394</v>
      </c>
      <c r="M87" s="16">
        <v>6.27855278185675</v>
      </c>
      <c r="N87" s="16">
        <v>5.611</v>
      </c>
      <c r="O87" s="12"/>
      <c r="P87" s="16">
        <v>3.56819033622741</v>
      </c>
      <c r="Q87" s="17" t="s">
        <v>24</v>
      </c>
      <c r="S87" s="14">
        <v>0.575</v>
      </c>
      <c r="T87" s="14">
        <v>0.22815</v>
      </c>
      <c r="U87" s="14">
        <v>0.029</v>
      </c>
    </row>
    <row r="88">
      <c r="A88" s="10" t="s">
        <v>39</v>
      </c>
      <c r="B88" s="11">
        <v>2018.0</v>
      </c>
      <c r="C88" s="11">
        <v>115.0</v>
      </c>
      <c r="D88" s="11">
        <v>4.5</v>
      </c>
      <c r="E88" s="11">
        <v>0.532</v>
      </c>
      <c r="F88" s="11">
        <v>0.85</v>
      </c>
      <c r="G88" s="11">
        <v>0.579</v>
      </c>
      <c r="H88" s="11">
        <v>0.58</v>
      </c>
      <c r="I88" s="11">
        <v>0.153</v>
      </c>
      <c r="J88" s="11">
        <v>0.144</v>
      </c>
      <c r="K88" s="11">
        <v>2.02079176902771</v>
      </c>
      <c r="L88" s="11">
        <v>6.21000003814697</v>
      </c>
      <c r="M88" s="11">
        <v>5.59724047936596</v>
      </c>
      <c r="N88" s="11">
        <v>5.55</v>
      </c>
      <c r="O88" s="12"/>
      <c r="P88" s="11">
        <v>4.44665813446044</v>
      </c>
      <c r="Q88" s="13" t="s">
        <v>24</v>
      </c>
      <c r="S88" s="14">
        <v>0.577</v>
      </c>
      <c r="T88" s="14">
        <v>0.22917</v>
      </c>
      <c r="U88" s="14">
        <v>0.029</v>
      </c>
    </row>
    <row r="89">
      <c r="A89" s="15" t="s">
        <v>39</v>
      </c>
      <c r="B89" s="16">
        <v>2019.0</v>
      </c>
      <c r="C89" s="16">
        <v>125.0</v>
      </c>
      <c r="D89" s="16">
        <v>4.456</v>
      </c>
      <c r="E89" s="16">
        <v>0.562</v>
      </c>
      <c r="F89" s="16">
        <v>0.928</v>
      </c>
      <c r="G89" s="16">
        <v>0.723</v>
      </c>
      <c r="H89" s="16">
        <v>0.527</v>
      </c>
      <c r="I89" s="16">
        <v>0.166</v>
      </c>
      <c r="J89" s="16">
        <v>0.143</v>
      </c>
      <c r="K89" s="16">
        <v>5.12719202041626</v>
      </c>
      <c r="L89" s="16">
        <v>5.55988216400146</v>
      </c>
      <c r="M89" s="16">
        <v>4.4591543280829</v>
      </c>
      <c r="N89" s="16">
        <v>5.47499990463256</v>
      </c>
      <c r="O89" s="12"/>
      <c r="P89" s="16">
        <v>0.985386610031128</v>
      </c>
      <c r="Q89" s="17" t="s">
        <v>24</v>
      </c>
      <c r="S89" s="14">
        <v>0.581543326</v>
      </c>
      <c r="T89" s="14">
        <v>0.231</v>
      </c>
      <c r="U89" s="14">
        <v>0.029</v>
      </c>
    </row>
    <row r="90">
      <c r="A90" s="10" t="s">
        <v>39</v>
      </c>
      <c r="B90" s="11">
        <v>2020.0</v>
      </c>
      <c r="C90" s="11">
        <v>107.0</v>
      </c>
      <c r="D90" s="11">
        <v>4.832799911</v>
      </c>
      <c r="E90" s="11">
        <v>0.556156278</v>
      </c>
      <c r="F90" s="11">
        <v>0.687292993</v>
      </c>
      <c r="G90" s="11">
        <v>64.50306702</v>
      </c>
      <c r="H90" s="11">
        <v>0.90062499</v>
      </c>
      <c r="I90" s="11">
        <v>-0.033664726</v>
      </c>
      <c r="J90" s="11">
        <v>0.661843538</v>
      </c>
      <c r="K90" s="11">
        <v>6.66181146141678</v>
      </c>
      <c r="L90" s="11">
        <v>5.77308225631713</v>
      </c>
      <c r="M90" s="11">
        <v>5.1495276700127</v>
      </c>
      <c r="N90" s="11">
        <v>5.69107474746199</v>
      </c>
      <c r="O90" s="12"/>
      <c r="P90" s="11">
        <v>1.10534720285061</v>
      </c>
      <c r="Q90" s="13" t="s">
        <v>24</v>
      </c>
      <c r="S90" s="14">
        <v>0.59</v>
      </c>
      <c r="T90" s="14">
        <v>0.232</v>
      </c>
      <c r="U90" s="14">
        <v>0.02901</v>
      </c>
    </row>
    <row r="91">
      <c r="A91" s="15" t="s">
        <v>39</v>
      </c>
      <c r="B91" s="16">
        <v>2021.0</v>
      </c>
      <c r="C91" s="16">
        <v>101.0</v>
      </c>
      <c r="D91" s="16">
        <v>5.025</v>
      </c>
      <c r="E91" s="16">
        <v>8.454</v>
      </c>
      <c r="F91" s="16">
        <v>0.693</v>
      </c>
      <c r="G91" s="16">
        <v>64.8</v>
      </c>
      <c r="H91" s="16">
        <v>0.877</v>
      </c>
      <c r="I91" s="16">
        <v>-0.041</v>
      </c>
      <c r="J91" s="16">
        <v>0.682</v>
      </c>
      <c r="K91" s="16">
        <v>1.08</v>
      </c>
      <c r="L91" s="16">
        <v>5.3</v>
      </c>
      <c r="M91" s="16">
        <v>4.12117535170703</v>
      </c>
      <c r="N91" s="16">
        <v>5.30667640502107</v>
      </c>
      <c r="O91" s="12"/>
      <c r="P91" s="16">
        <v>5.50352809297386</v>
      </c>
      <c r="Q91" s="17" t="s">
        <v>24</v>
      </c>
      <c r="S91" s="14">
        <v>0.592</v>
      </c>
      <c r="T91" s="14">
        <v>0.233335808</v>
      </c>
      <c r="U91" s="14">
        <v>0.02947</v>
      </c>
    </row>
    <row r="92">
      <c r="A92" s="10" t="s">
        <v>39</v>
      </c>
      <c r="B92" s="11">
        <v>2022.0</v>
      </c>
      <c r="C92" s="11">
        <v>94.0</v>
      </c>
      <c r="D92" s="11">
        <v>5.155</v>
      </c>
      <c r="E92" s="11">
        <v>1.06</v>
      </c>
      <c r="F92" s="11">
        <v>0.614</v>
      </c>
      <c r="G92" s="11">
        <v>0.581</v>
      </c>
      <c r="H92" s="11">
        <v>0.622</v>
      </c>
      <c r="I92" s="11">
        <v>0.125</v>
      </c>
      <c r="J92" s="11">
        <v>0.187</v>
      </c>
      <c r="K92" s="11">
        <v>4.7540394866631</v>
      </c>
      <c r="L92" s="11">
        <v>7.36787090106587</v>
      </c>
      <c r="M92" s="11">
        <v>4.12163461136604</v>
      </c>
      <c r="N92" s="11">
        <v>7.69695437176892</v>
      </c>
      <c r="O92" s="12"/>
      <c r="P92" s="11">
        <v>5.00080803676321</v>
      </c>
      <c r="Q92" s="13" t="s">
        <v>24</v>
      </c>
      <c r="S92" s="14">
        <v>0.59205</v>
      </c>
      <c r="T92" s="14">
        <v>0.23391</v>
      </c>
      <c r="U92" s="14">
        <v>0.02961</v>
      </c>
    </row>
    <row r="93">
      <c r="A93" s="15" t="s">
        <v>39</v>
      </c>
      <c r="B93" s="16">
        <v>2023.0</v>
      </c>
      <c r="C93" s="16">
        <v>118.0</v>
      </c>
      <c r="D93" s="16">
        <v>4.282</v>
      </c>
      <c r="E93" s="16">
        <v>8.685</v>
      </c>
      <c r="F93" s="16">
        <v>0.544</v>
      </c>
      <c r="G93" s="16">
        <v>64.548</v>
      </c>
      <c r="H93" s="16">
        <v>0.845</v>
      </c>
      <c r="I93" s="16">
        <v>0.005</v>
      </c>
      <c r="J93" s="16">
        <v>0.698</v>
      </c>
      <c r="K93" s="16">
        <v>8.43668917224564</v>
      </c>
      <c r="L93" s="16">
        <v>10.5079808895779</v>
      </c>
      <c r="M93" s="16">
        <v>5.42042076465148</v>
      </c>
      <c r="N93" s="16">
        <v>9.78333407218278</v>
      </c>
      <c r="O93" s="12"/>
      <c r="P93" s="16">
        <v>5.99049014532521</v>
      </c>
      <c r="Q93" s="17" t="s">
        <v>24</v>
      </c>
      <c r="S93" s="14">
        <v>0.59207</v>
      </c>
      <c r="T93" s="14">
        <v>0.23414</v>
      </c>
      <c r="U93" s="14">
        <v>0.03</v>
      </c>
    </row>
    <row r="94">
      <c r="A94" s="10" t="s">
        <v>40</v>
      </c>
      <c r="B94" s="11">
        <v>2015.0</v>
      </c>
      <c r="C94" s="11">
        <v>59.0</v>
      </c>
      <c r="D94" s="11">
        <v>5.813</v>
      </c>
      <c r="E94" s="11">
        <v>1.03192</v>
      </c>
      <c r="F94" s="11">
        <v>1.23289</v>
      </c>
      <c r="G94" s="11">
        <v>0.73608</v>
      </c>
      <c r="H94" s="11">
        <v>0.37938</v>
      </c>
      <c r="I94" s="11">
        <v>0.11046</v>
      </c>
      <c r="J94" s="11">
        <v>0.1909</v>
      </c>
      <c r="K94" s="11">
        <v>-1.60000002384185</v>
      </c>
      <c r="L94" s="11">
        <v>12.2070999145507</v>
      </c>
      <c r="M94" s="11">
        <v>16.0224801690606</v>
      </c>
      <c r="N94" s="11">
        <v>13.4760866165161</v>
      </c>
      <c r="O94" s="11">
        <v>12.1765546798706</v>
      </c>
      <c r="P94" s="11">
        <v>-0.538748445918236</v>
      </c>
      <c r="Q94" s="13" t="s">
        <v>26</v>
      </c>
      <c r="S94" s="14">
        <v>0.592200935</v>
      </c>
      <c r="T94" s="14">
        <v>0.234231785</v>
      </c>
      <c r="U94" s="14">
        <v>0.03</v>
      </c>
    </row>
    <row r="95">
      <c r="A95" s="15" t="s">
        <v>40</v>
      </c>
      <c r="B95" s="16">
        <v>2016.0</v>
      </c>
      <c r="C95" s="16">
        <v>61.0</v>
      </c>
      <c r="D95" s="16">
        <v>5.802</v>
      </c>
      <c r="E95" s="16">
        <v>1.13062</v>
      </c>
      <c r="F95" s="16">
        <v>1.04993</v>
      </c>
      <c r="G95" s="16">
        <v>0.63104</v>
      </c>
      <c r="H95" s="16">
        <v>0.29091</v>
      </c>
      <c r="I95" s="16">
        <v>0.13942</v>
      </c>
      <c r="J95" s="16">
        <v>0.17457</v>
      </c>
      <c r="K95" s="16">
        <v>4.55000019073486</v>
      </c>
      <c r="L95" s="16">
        <v>10.5908002853393</v>
      </c>
      <c r="M95" s="16">
        <v>8.35214149013397</v>
      </c>
      <c r="N95" s="16">
        <v>11.8027362823486</v>
      </c>
      <c r="O95" s="16">
        <v>10.9236078262329</v>
      </c>
      <c r="P95" s="16">
        <v>-1.24166666666623</v>
      </c>
      <c r="Q95" s="17" t="s">
        <v>26</v>
      </c>
      <c r="S95" s="14">
        <v>0.592628479</v>
      </c>
      <c r="T95" s="14">
        <v>0.235</v>
      </c>
      <c r="U95" s="14">
        <v>0.0305</v>
      </c>
    </row>
    <row r="96">
      <c r="A96" s="10" t="s">
        <v>40</v>
      </c>
      <c r="B96" s="11">
        <v>2017.0</v>
      </c>
      <c r="C96" s="11">
        <v>67.0</v>
      </c>
      <c r="D96" s="11">
        <v>5.568999767</v>
      </c>
      <c r="E96" s="11">
        <v>1.15655756</v>
      </c>
      <c r="F96" s="11">
        <v>1.444945216</v>
      </c>
      <c r="G96" s="11">
        <v>0.637714267</v>
      </c>
      <c r="H96" s="11">
        <v>0.295400262</v>
      </c>
      <c r="I96" s="11">
        <v>0.155137509</v>
      </c>
      <c r="J96" s="11">
        <v>0.156313822</v>
      </c>
      <c r="K96" s="11">
        <v>8.51301416577384</v>
      </c>
      <c r="L96" s="11">
        <v>7.01569652557373</v>
      </c>
      <c r="M96" s="11">
        <v>8.61462000414164</v>
      </c>
      <c r="N96" s="11">
        <v>6.032</v>
      </c>
      <c r="O96" s="11">
        <v>5.36906147003173</v>
      </c>
      <c r="P96" s="11">
        <v>1.94076449244774</v>
      </c>
      <c r="Q96" s="13" t="s">
        <v>26</v>
      </c>
      <c r="S96" s="14">
        <v>0.593</v>
      </c>
      <c r="T96" s="14">
        <v>0.23501</v>
      </c>
      <c r="U96" s="14">
        <v>0.0306</v>
      </c>
    </row>
    <row r="97">
      <c r="A97" s="15" t="s">
        <v>40</v>
      </c>
      <c r="B97" s="16">
        <v>2018.0</v>
      </c>
      <c r="C97" s="16">
        <v>73.0</v>
      </c>
      <c r="D97" s="16">
        <v>5.483</v>
      </c>
      <c r="E97" s="16">
        <v>1.039</v>
      </c>
      <c r="F97" s="16">
        <v>1.498</v>
      </c>
      <c r="G97" s="16">
        <v>0.7</v>
      </c>
      <c r="H97" s="16">
        <v>0.307</v>
      </c>
      <c r="I97" s="16">
        <v>0.101</v>
      </c>
      <c r="J97" s="16">
        <v>0.154</v>
      </c>
      <c r="K97" s="16">
        <v>12.4535307045084</v>
      </c>
      <c r="L97" s="16">
        <v>4.05693054199218</v>
      </c>
      <c r="M97" s="16">
        <v>12.1516290024112</v>
      </c>
      <c r="N97" s="16">
        <v>4.87</v>
      </c>
      <c r="O97" s="16">
        <v>3.58383250236511</v>
      </c>
      <c r="P97" s="16">
        <v>1.86242860690272</v>
      </c>
      <c r="Q97" s="17" t="s">
        <v>26</v>
      </c>
      <c r="S97" s="14">
        <v>0.593247831</v>
      </c>
      <c r="T97" s="14">
        <v>0.235215262</v>
      </c>
      <c r="U97" s="14">
        <v>0.03061</v>
      </c>
    </row>
    <row r="98">
      <c r="A98" s="10" t="s">
        <v>40</v>
      </c>
      <c r="B98" s="11">
        <v>2019.0</v>
      </c>
      <c r="C98" s="11">
        <v>81.0</v>
      </c>
      <c r="D98" s="11">
        <v>5.323</v>
      </c>
      <c r="E98" s="11">
        <v>1.067</v>
      </c>
      <c r="F98" s="11">
        <v>1.465</v>
      </c>
      <c r="G98" s="11">
        <v>0.789</v>
      </c>
      <c r="H98" s="11">
        <v>0.235</v>
      </c>
      <c r="I98" s="11">
        <v>0.094</v>
      </c>
      <c r="J98" s="11">
        <v>0.142</v>
      </c>
      <c r="K98" s="11">
        <v>10.1594901385948</v>
      </c>
      <c r="L98" s="11">
        <v>6.36250013487622</v>
      </c>
      <c r="M98" s="11">
        <v>8.57699999999999</v>
      </c>
      <c r="N98" s="11">
        <v>5.59999990463256</v>
      </c>
      <c r="O98" s="11">
        <v>4.6294240951538</v>
      </c>
      <c r="P98" s="11">
        <v>0.942629611571815</v>
      </c>
      <c r="Q98" s="13" t="s">
        <v>26</v>
      </c>
      <c r="S98" s="14">
        <v>0.595</v>
      </c>
      <c r="T98" s="14">
        <v>0.23553</v>
      </c>
      <c r="U98" s="14">
        <v>0.031</v>
      </c>
    </row>
    <row r="99">
      <c r="A99" s="15" t="s">
        <v>40</v>
      </c>
      <c r="B99" s="16">
        <v>2020.0</v>
      </c>
      <c r="C99" s="16">
        <v>75.0</v>
      </c>
      <c r="D99" s="16">
        <v>5.539899826</v>
      </c>
      <c r="E99" s="16">
        <v>1.018854499</v>
      </c>
      <c r="F99" s="16">
        <v>0.90674746</v>
      </c>
      <c r="G99" s="16">
        <v>66.10433197</v>
      </c>
      <c r="H99" s="16">
        <v>0.639163077</v>
      </c>
      <c r="I99" s="16">
        <v>-0.164926544</v>
      </c>
      <c r="J99" s="16">
        <v>0.63571167</v>
      </c>
      <c r="K99" s="16">
        <v>7.98996878315829</v>
      </c>
      <c r="L99" s="16">
        <v>4.27193412166511</v>
      </c>
      <c r="M99" s="16">
        <v>10.1006658868821</v>
      </c>
      <c r="N99" s="16">
        <v>5.54814357456507</v>
      </c>
      <c r="O99" s="16">
        <v>4.61970901489257</v>
      </c>
      <c r="P99" s="16">
        <v>-0.756721944935812</v>
      </c>
      <c r="Q99" s="17" t="s">
        <v>26</v>
      </c>
      <c r="S99" s="14">
        <v>0.595</v>
      </c>
      <c r="T99" s="14">
        <v>0.23889</v>
      </c>
      <c r="U99" s="14">
        <v>0.031</v>
      </c>
    </row>
    <row r="100">
      <c r="A100" s="10" t="s">
        <v>40</v>
      </c>
      <c r="B100" s="11">
        <v>2021.0</v>
      </c>
      <c r="C100" s="11">
        <v>75.0</v>
      </c>
      <c r="D100" s="11">
        <v>5.534</v>
      </c>
      <c r="E100" s="11">
        <v>9.853</v>
      </c>
      <c r="F100" s="11">
        <v>0.91</v>
      </c>
      <c r="G100" s="11">
        <v>66.253</v>
      </c>
      <c r="H100" s="11">
        <v>0.65</v>
      </c>
      <c r="I100" s="11">
        <v>-0.18</v>
      </c>
      <c r="J100" s="11">
        <v>0.627</v>
      </c>
      <c r="K100" s="11">
        <v>10.24</v>
      </c>
      <c r="L100" s="11">
        <v>9.62</v>
      </c>
      <c r="M100" s="11">
        <v>13.05041982713</v>
      </c>
      <c r="N100" s="11">
        <v>9.46028389623105</v>
      </c>
      <c r="O100" s="11">
        <v>9.34246419933893</v>
      </c>
      <c r="P100" s="11">
        <v>12.2422522938945</v>
      </c>
      <c r="Q100" s="13" t="s">
        <v>26</v>
      </c>
      <c r="S100" s="14">
        <v>0.596</v>
      </c>
      <c r="T100" s="14">
        <v>0.23907</v>
      </c>
      <c r="U100" s="14">
        <v>0.031612735</v>
      </c>
    </row>
    <row r="101">
      <c r="A101" s="15" t="s">
        <v>41</v>
      </c>
      <c r="B101" s="16">
        <v>2015.0</v>
      </c>
      <c r="C101" s="16">
        <v>19.0</v>
      </c>
      <c r="D101" s="16">
        <v>6.937</v>
      </c>
      <c r="E101" s="16">
        <v>1.30782</v>
      </c>
      <c r="F101" s="16">
        <v>1.28566</v>
      </c>
      <c r="G101" s="16">
        <v>0.89667</v>
      </c>
      <c r="H101" s="16">
        <v>0.5845</v>
      </c>
      <c r="I101" s="16">
        <v>0.2225</v>
      </c>
      <c r="J101" s="16">
        <v>0.2254</v>
      </c>
      <c r="K101" s="16">
        <v>0.399857312440872</v>
      </c>
      <c r="L101" s="16">
        <v>1.20285677909851</v>
      </c>
      <c r="M101" s="16">
        <v>1.33046905874127</v>
      </c>
      <c r="N101" s="16">
        <v>0.561430633068084</v>
      </c>
      <c r="O101" s="16">
        <v>1.36930096149444</v>
      </c>
      <c r="P101" s="16">
        <v>-1.99968321849972</v>
      </c>
      <c r="Q101" s="17" t="s">
        <v>26</v>
      </c>
      <c r="S101" s="14">
        <v>0.596</v>
      </c>
      <c r="T101" s="14">
        <v>0.240729049</v>
      </c>
      <c r="U101" s="14">
        <v>0.03187</v>
      </c>
    </row>
    <row r="102">
      <c r="A102" s="10" t="s">
        <v>41</v>
      </c>
      <c r="B102" s="11">
        <v>2016.0</v>
      </c>
      <c r="C102" s="11">
        <v>18.0</v>
      </c>
      <c r="D102" s="11">
        <v>6.929</v>
      </c>
      <c r="E102" s="11">
        <v>1.42539</v>
      </c>
      <c r="F102" s="11">
        <v>1.05249</v>
      </c>
      <c r="G102" s="11">
        <v>0.81959</v>
      </c>
      <c r="H102" s="11">
        <v>0.51354</v>
      </c>
      <c r="I102" s="11">
        <v>0.2424</v>
      </c>
      <c r="J102" s="11">
        <v>0.26248</v>
      </c>
      <c r="K102" s="11">
        <v>2.14200401306152</v>
      </c>
      <c r="L102" s="11">
        <v>2.2407591342926</v>
      </c>
      <c r="M102" s="11">
        <v>1.921</v>
      </c>
      <c r="N102" s="11">
        <v>1.9738540649414</v>
      </c>
      <c r="O102" s="11">
        <v>1.9594349861145</v>
      </c>
      <c r="P102" s="11">
        <v>-1.42066346115011</v>
      </c>
      <c r="Q102" s="13" t="s">
        <v>26</v>
      </c>
      <c r="S102" s="14">
        <v>0.597</v>
      </c>
      <c r="T102" s="14">
        <v>0.241</v>
      </c>
      <c r="U102" s="14">
        <v>0.032</v>
      </c>
    </row>
    <row r="103">
      <c r="A103" s="15" t="s">
        <v>41</v>
      </c>
      <c r="B103" s="16">
        <v>2017.0</v>
      </c>
      <c r="C103" s="16">
        <v>17.0</v>
      </c>
      <c r="D103" s="16">
        <v>6.890999794</v>
      </c>
      <c r="E103" s="16">
        <v>1.463780761</v>
      </c>
      <c r="F103" s="16">
        <v>1.462312698</v>
      </c>
      <c r="G103" s="16">
        <v>0.818091869</v>
      </c>
      <c r="H103" s="16">
        <v>0.539770722</v>
      </c>
      <c r="I103" s="16">
        <v>0.231503338</v>
      </c>
      <c r="J103" s="16">
        <v>0.251343131</v>
      </c>
      <c r="K103" s="16">
        <v>3.74162411689758</v>
      </c>
      <c r="L103" s="16">
        <v>1.26033496856689</v>
      </c>
      <c r="M103" s="16">
        <v>1.82788630409827</v>
      </c>
      <c r="N103" s="16">
        <v>2.224</v>
      </c>
      <c r="O103" s="16">
        <v>1.51535594463348</v>
      </c>
      <c r="P103" s="16">
        <v>8.49188847991948</v>
      </c>
      <c r="Q103" s="17" t="s">
        <v>26</v>
      </c>
      <c r="S103" s="14">
        <v>0.601</v>
      </c>
      <c r="T103" s="14">
        <v>0.24232</v>
      </c>
      <c r="U103" s="14">
        <v>0.032</v>
      </c>
    </row>
    <row r="104">
      <c r="A104" s="10" t="s">
        <v>41</v>
      </c>
      <c r="B104" s="11">
        <v>2018.0</v>
      </c>
      <c r="C104" s="11">
        <v>16.0</v>
      </c>
      <c r="D104" s="11">
        <v>6.927</v>
      </c>
      <c r="E104" s="11">
        <v>1.324</v>
      </c>
      <c r="F104" s="11">
        <v>1.483</v>
      </c>
      <c r="G104" s="11">
        <v>0.894</v>
      </c>
      <c r="H104" s="11">
        <v>0.583</v>
      </c>
      <c r="I104" s="11">
        <v>0.188</v>
      </c>
      <c r="J104" s="11">
        <v>0.24</v>
      </c>
      <c r="K104" s="11">
        <v>3.04409742355346</v>
      </c>
      <c r="L104" s="11">
        <v>2.15957617759704</v>
      </c>
      <c r="M104" s="11">
        <v>1.62549140522623</v>
      </c>
      <c r="N104" s="11">
        <v>2.05</v>
      </c>
      <c r="O104" s="11">
        <v>1.31288802623748</v>
      </c>
      <c r="P104" s="11">
        <v>5.21360675804358</v>
      </c>
      <c r="Q104" s="13" t="s">
        <v>26</v>
      </c>
      <c r="S104" s="14">
        <v>0.601323128</v>
      </c>
      <c r="T104" s="14">
        <v>0.24425</v>
      </c>
      <c r="U104" s="14">
        <v>0.032</v>
      </c>
    </row>
    <row r="105">
      <c r="A105" s="15" t="s">
        <v>41</v>
      </c>
      <c r="B105" s="16">
        <v>2019.0</v>
      </c>
      <c r="C105" s="16">
        <v>18.0</v>
      </c>
      <c r="D105" s="16">
        <v>6.923</v>
      </c>
      <c r="E105" s="16">
        <v>1.356</v>
      </c>
      <c r="F105" s="16">
        <v>1.504</v>
      </c>
      <c r="G105" s="16">
        <v>0.986</v>
      </c>
      <c r="H105" s="16">
        <v>0.473</v>
      </c>
      <c r="I105" s="16">
        <v>0.16</v>
      </c>
      <c r="J105" s="16">
        <v>0.21</v>
      </c>
      <c r="K105" s="16">
        <v>0.867344081401825</v>
      </c>
      <c r="L105" s="16">
        <v>4.46456003189086</v>
      </c>
      <c r="M105" s="16">
        <v>1.65543135079784</v>
      </c>
      <c r="N105" s="16">
        <v>1.24899995326995</v>
      </c>
      <c r="O105" s="16">
        <v>3.76876759529113</v>
      </c>
      <c r="P105" s="16">
        <v>1.02193240739444</v>
      </c>
      <c r="Q105" s="17" t="s">
        <v>26</v>
      </c>
      <c r="S105" s="14">
        <v>0.603</v>
      </c>
      <c r="T105" s="14">
        <v>0.245</v>
      </c>
      <c r="U105" s="14">
        <v>0.0326</v>
      </c>
    </row>
    <row r="106">
      <c r="A106" s="10" t="s">
        <v>41</v>
      </c>
      <c r="B106" s="11">
        <v>2020.0</v>
      </c>
      <c r="C106" s="11">
        <v>20.0</v>
      </c>
      <c r="D106" s="11">
        <v>6.863500118</v>
      </c>
      <c r="E106" s="11">
        <v>1.295842767</v>
      </c>
      <c r="F106" s="11">
        <v>0.911632538</v>
      </c>
      <c r="G106" s="11">
        <v>72.00164795</v>
      </c>
      <c r="H106" s="11">
        <v>0.813582063</v>
      </c>
      <c r="I106" s="11">
        <v>-0.078691199</v>
      </c>
      <c r="J106" s="11">
        <v>0.612297952</v>
      </c>
      <c r="K106" s="11">
        <v>-1.81643777216113</v>
      </c>
      <c r="L106" s="11">
        <v>2.88057458397705</v>
      </c>
      <c r="M106" s="11">
        <v>0.888851581372359</v>
      </c>
      <c r="N106" s="11">
        <v>0.740791812220093</v>
      </c>
      <c r="O106" s="11">
        <v>1.479317</v>
      </c>
      <c r="P106" s="11">
        <v>-3.71226069709783</v>
      </c>
      <c r="Q106" s="13" t="s">
        <v>26</v>
      </c>
      <c r="S106" s="14">
        <v>0.60323</v>
      </c>
      <c r="T106" s="14">
        <v>0.24749</v>
      </c>
      <c r="U106" s="14">
        <v>0.03285</v>
      </c>
    </row>
    <row r="107">
      <c r="A107" s="15" t="s">
        <v>41</v>
      </c>
      <c r="B107" s="16">
        <v>2021.0</v>
      </c>
      <c r="C107" s="16">
        <v>20.0</v>
      </c>
      <c r="D107" s="16">
        <v>6.834</v>
      </c>
      <c r="E107" s="16">
        <v>10.823</v>
      </c>
      <c r="F107" s="16">
        <v>0.906</v>
      </c>
      <c r="G107" s="16">
        <v>72.199</v>
      </c>
      <c r="H107" s="16">
        <v>0.783</v>
      </c>
      <c r="I107" s="16">
        <v>-0.153</v>
      </c>
      <c r="J107" s="16">
        <v>0.646</v>
      </c>
      <c r="K107" s="16">
        <v>12.33115</v>
      </c>
      <c r="L107" s="16">
        <v>-0.394</v>
      </c>
      <c r="M107" s="16">
        <v>2.92607611865446</v>
      </c>
      <c r="N107" s="16">
        <v>2.440248</v>
      </c>
      <c r="O107" s="16">
        <v>1.613</v>
      </c>
      <c r="P107" s="16">
        <v>17.3416565164432</v>
      </c>
      <c r="Q107" s="17" t="s">
        <v>26</v>
      </c>
      <c r="S107" s="14">
        <v>0.60406</v>
      </c>
      <c r="T107" s="14">
        <v>0.24856</v>
      </c>
      <c r="U107" s="14">
        <v>0.032902289</v>
      </c>
    </row>
    <row r="108">
      <c r="A108" s="10" t="s">
        <v>41</v>
      </c>
      <c r="B108" s="11">
        <v>2022.0</v>
      </c>
      <c r="C108" s="11">
        <v>19.0</v>
      </c>
      <c r="D108" s="11">
        <v>6.805</v>
      </c>
      <c r="E108" s="11">
        <v>1.907</v>
      </c>
      <c r="F108" s="11">
        <v>1.106</v>
      </c>
      <c r="G108" s="11">
        <v>0.764</v>
      </c>
      <c r="H108" s="11">
        <v>0.492</v>
      </c>
      <c r="I108" s="11">
        <v>0.049</v>
      </c>
      <c r="J108" s="11">
        <v>0.204</v>
      </c>
      <c r="K108" s="11">
        <v>52.9877875794879</v>
      </c>
      <c r="L108" s="11">
        <v>8.794951</v>
      </c>
      <c r="M108" s="11">
        <v>6.26448673614205</v>
      </c>
      <c r="N108" s="11">
        <v>9.597511</v>
      </c>
      <c r="O108" s="11">
        <v>4.5643474306503</v>
      </c>
      <c r="P108" s="11">
        <v>34.2286233294409</v>
      </c>
      <c r="Q108" s="13" t="s">
        <v>26</v>
      </c>
      <c r="S108" s="14">
        <v>0.60429</v>
      </c>
      <c r="T108" s="14">
        <v>0.249</v>
      </c>
      <c r="U108" s="14">
        <v>0.033</v>
      </c>
    </row>
    <row r="109">
      <c r="A109" s="15" t="s">
        <v>41</v>
      </c>
      <c r="B109" s="16">
        <v>2023.0</v>
      </c>
      <c r="C109" s="16">
        <v>17.0</v>
      </c>
      <c r="D109" s="16">
        <v>6.859</v>
      </c>
      <c r="E109" s="16">
        <v>10.844</v>
      </c>
      <c r="F109" s="16">
        <v>0.915</v>
      </c>
      <c r="G109" s="16">
        <v>70.899</v>
      </c>
      <c r="H109" s="16">
        <v>0.825</v>
      </c>
      <c r="I109" s="16">
        <v>0.001</v>
      </c>
      <c r="J109" s="16">
        <v>0.549</v>
      </c>
      <c r="K109" s="16">
        <v>-20.8235104682335</v>
      </c>
      <c r="L109" s="16">
        <v>13.5456447353583</v>
      </c>
      <c r="M109" s="16">
        <v>3.75623730321188</v>
      </c>
      <c r="N109" s="16">
        <v>4.04901077613941</v>
      </c>
      <c r="O109" s="16">
        <v>6.62592865107072</v>
      </c>
      <c r="P109" s="16">
        <v>-5.48574190430172</v>
      </c>
      <c r="Q109" s="17" t="s">
        <v>26</v>
      </c>
      <c r="S109" s="14">
        <v>0.605</v>
      </c>
      <c r="T109" s="14">
        <v>0.25123</v>
      </c>
      <c r="U109" s="14">
        <v>0.034</v>
      </c>
    </row>
    <row r="110">
      <c r="A110" s="10" t="s">
        <v>42</v>
      </c>
      <c r="B110" s="11">
        <v>2016.0</v>
      </c>
      <c r="C110" s="11">
        <v>52.0</v>
      </c>
      <c r="D110" s="11">
        <v>5.956</v>
      </c>
      <c r="E110" s="11">
        <v>0.87616</v>
      </c>
      <c r="F110" s="11">
        <v>0.68655</v>
      </c>
      <c r="G110" s="11">
        <v>0.45569</v>
      </c>
      <c r="H110" s="11">
        <v>0.51231</v>
      </c>
      <c r="I110" s="11">
        <v>0.23684</v>
      </c>
      <c r="J110" s="11">
        <v>0.10771</v>
      </c>
      <c r="K110" s="11">
        <v>0.561756491661071</v>
      </c>
      <c r="L110" s="11">
        <v>0.0704417154192924</v>
      </c>
      <c r="M110" s="11">
        <v>2.88949353490524</v>
      </c>
      <c r="N110" s="11">
        <v>0.664506673812866</v>
      </c>
      <c r="O110" s="12"/>
      <c r="P110" s="12"/>
      <c r="Q110" s="13" t="s">
        <v>43</v>
      </c>
      <c r="S110" s="14">
        <v>0.6053</v>
      </c>
      <c r="T110" s="14">
        <v>0.25202</v>
      </c>
      <c r="U110" s="14">
        <v>0.034</v>
      </c>
    </row>
    <row r="111">
      <c r="A111" s="15" t="s">
        <v>42</v>
      </c>
      <c r="B111" s="16">
        <v>2017.0</v>
      </c>
      <c r="C111" s="16">
        <v>50.0</v>
      </c>
      <c r="D111" s="16">
        <v>5.955999851</v>
      </c>
      <c r="E111" s="16">
        <v>0.907975316</v>
      </c>
      <c r="F111" s="16">
        <v>1.081417799</v>
      </c>
      <c r="G111" s="16">
        <v>0.450191766</v>
      </c>
      <c r="H111" s="16">
        <v>0.547509372</v>
      </c>
      <c r="I111" s="16">
        <v>0.240015641</v>
      </c>
      <c r="J111" s="16">
        <v>0.096581072</v>
      </c>
      <c r="K111" s="16">
        <v>0.761009871959686</v>
      </c>
      <c r="L111" s="16">
        <v>-1.11849725246429</v>
      </c>
      <c r="M111" s="16">
        <v>1.56535788318497</v>
      </c>
      <c r="N111" s="16">
        <v>1.148</v>
      </c>
      <c r="O111" s="12"/>
      <c r="P111" s="12"/>
      <c r="Q111" s="17" t="s">
        <v>43</v>
      </c>
      <c r="S111" s="14">
        <v>0.608</v>
      </c>
      <c r="T111" s="14">
        <v>0.25429</v>
      </c>
      <c r="U111" s="14">
        <v>0.034</v>
      </c>
    </row>
    <row r="112">
      <c r="A112" s="10" t="s">
        <v>42</v>
      </c>
      <c r="B112" s="11">
        <v>2018.0</v>
      </c>
      <c r="C112" s="11">
        <v>49.0</v>
      </c>
      <c r="D112" s="11">
        <v>5.956</v>
      </c>
      <c r="E112" s="11">
        <v>0.807</v>
      </c>
      <c r="F112" s="11">
        <v>1.101</v>
      </c>
      <c r="G112" s="11">
        <v>0.474</v>
      </c>
      <c r="H112" s="11">
        <v>0.593</v>
      </c>
      <c r="I112" s="11">
        <v>0.183</v>
      </c>
      <c r="J112" s="11">
        <v>0.089</v>
      </c>
      <c r="K112" s="11">
        <v>0.811506211757659</v>
      </c>
      <c r="L112" s="11">
        <v>-0.529980421066284</v>
      </c>
      <c r="M112" s="11">
        <v>-0.191340886921305</v>
      </c>
      <c r="N112" s="11">
        <v>0.24</v>
      </c>
      <c r="O112" s="12"/>
      <c r="P112" s="12"/>
      <c r="Q112" s="13" t="s">
        <v>43</v>
      </c>
      <c r="S112" s="14">
        <v>0.608</v>
      </c>
      <c r="T112" s="14">
        <v>0.255</v>
      </c>
      <c r="U112" s="14">
        <v>0.034</v>
      </c>
    </row>
    <row r="113">
      <c r="A113" s="15" t="s">
        <v>44</v>
      </c>
      <c r="B113" s="16">
        <v>2015.0</v>
      </c>
      <c r="C113" s="16">
        <v>155.0</v>
      </c>
      <c r="D113" s="16">
        <v>3.34</v>
      </c>
      <c r="E113" s="16">
        <v>0.28665</v>
      </c>
      <c r="F113" s="16">
        <v>0.35386</v>
      </c>
      <c r="G113" s="16">
        <v>0.3191</v>
      </c>
      <c r="H113" s="16">
        <v>0.4845</v>
      </c>
      <c r="I113" s="16">
        <v>0.1826</v>
      </c>
      <c r="J113" s="16">
        <v>0.0801</v>
      </c>
      <c r="K113" s="16">
        <v>-0.109999999403953</v>
      </c>
      <c r="L113" s="16">
        <v>0.409999996423721</v>
      </c>
      <c r="M113" s="16">
        <v>0.85118399290007</v>
      </c>
      <c r="N113" s="16">
        <v>0.270000010728836</v>
      </c>
      <c r="O113" s="12"/>
      <c r="P113" s="12"/>
      <c r="Q113" s="17" t="s">
        <v>28</v>
      </c>
      <c r="S113" s="14">
        <v>0.60809</v>
      </c>
      <c r="T113" s="14">
        <v>0.255772293</v>
      </c>
      <c r="U113" s="14">
        <v>0.034</v>
      </c>
    </row>
    <row r="114">
      <c r="A114" s="10" t="s">
        <v>44</v>
      </c>
      <c r="B114" s="11">
        <v>2016.0</v>
      </c>
      <c r="C114" s="11">
        <v>153.0</v>
      </c>
      <c r="D114" s="11">
        <v>3.484</v>
      </c>
      <c r="E114" s="11">
        <v>0.39499</v>
      </c>
      <c r="F114" s="11">
        <v>0.10419</v>
      </c>
      <c r="G114" s="11">
        <v>0.21028</v>
      </c>
      <c r="H114" s="11">
        <v>0.39747</v>
      </c>
      <c r="I114" s="11">
        <v>0.2018</v>
      </c>
      <c r="J114" s="11">
        <v>0.06681</v>
      </c>
      <c r="K114" s="11">
        <v>-0.769999980926513</v>
      </c>
      <c r="L114" s="11">
        <v>-0.46000000834465</v>
      </c>
      <c r="M114" s="11">
        <v>0.683999999999997</v>
      </c>
      <c r="N114" s="11">
        <v>-0.850000023841857</v>
      </c>
      <c r="O114" s="12"/>
      <c r="P114" s="12"/>
      <c r="Q114" s="13" t="s">
        <v>28</v>
      </c>
      <c r="S114" s="14">
        <v>0.612</v>
      </c>
      <c r="T114" s="14">
        <v>0.256450713</v>
      </c>
      <c r="U114" s="14">
        <v>0.034</v>
      </c>
    </row>
    <row r="115">
      <c r="A115" s="15" t="s">
        <v>44</v>
      </c>
      <c r="B115" s="16">
        <v>2017.0</v>
      </c>
      <c r="C115" s="16">
        <v>143.0</v>
      </c>
      <c r="D115" s="16">
        <v>3.657000065</v>
      </c>
      <c r="E115" s="16">
        <v>0.431085408</v>
      </c>
      <c r="F115" s="16">
        <v>0.435299844</v>
      </c>
      <c r="G115" s="16">
        <v>0.209930211</v>
      </c>
      <c r="H115" s="16">
        <v>0.425962776</v>
      </c>
      <c r="I115" s="16">
        <v>0.207948461</v>
      </c>
      <c r="J115" s="16">
        <v>0.060929015</v>
      </c>
      <c r="K115" s="16">
        <v>1.05999994277954</v>
      </c>
      <c r="L115" s="16">
        <v>-0.050000000745058</v>
      </c>
      <c r="M115" s="16">
        <v>-0.368479599539147</v>
      </c>
      <c r="N115" s="16">
        <v>1.769</v>
      </c>
      <c r="O115" s="12"/>
      <c r="P115" s="12"/>
      <c r="Q115" s="17" t="s">
        <v>28</v>
      </c>
      <c r="S115" s="14">
        <v>0.614</v>
      </c>
      <c r="T115" s="14">
        <v>0.25646</v>
      </c>
      <c r="U115" s="14">
        <v>0.034</v>
      </c>
    </row>
    <row r="116">
      <c r="A116" s="10" t="s">
        <v>44</v>
      </c>
      <c r="B116" s="11">
        <v>2018.0</v>
      </c>
      <c r="C116" s="11">
        <v>136.0</v>
      </c>
      <c r="D116" s="11">
        <v>4.141</v>
      </c>
      <c r="E116" s="11">
        <v>0.378</v>
      </c>
      <c r="F116" s="11">
        <v>0.372</v>
      </c>
      <c r="G116" s="11">
        <v>0.24</v>
      </c>
      <c r="H116" s="11">
        <v>0.44</v>
      </c>
      <c r="I116" s="11">
        <v>0.163</v>
      </c>
      <c r="J116" s="11">
        <v>0.067</v>
      </c>
      <c r="K116" s="11">
        <v>3.045611</v>
      </c>
      <c r="L116" s="11">
        <v>2.05316213086387</v>
      </c>
      <c r="M116" s="11">
        <v>0.590152821668177</v>
      </c>
      <c r="N116" s="11">
        <v>0.83</v>
      </c>
      <c r="O116" s="12"/>
      <c r="P116" s="12"/>
      <c r="Q116" s="13" t="s">
        <v>28</v>
      </c>
      <c r="S116" s="14">
        <v>0.61586</v>
      </c>
      <c r="T116" s="14">
        <v>0.25748</v>
      </c>
      <c r="U116" s="14">
        <v>0.03431</v>
      </c>
    </row>
    <row r="117">
      <c r="A117" s="15" t="s">
        <v>44</v>
      </c>
      <c r="B117" s="16">
        <v>2019.0</v>
      </c>
      <c r="C117" s="16">
        <v>102.0</v>
      </c>
      <c r="D117" s="16">
        <v>4.883</v>
      </c>
      <c r="E117" s="16">
        <v>0.393</v>
      </c>
      <c r="F117" s="16">
        <v>0.437</v>
      </c>
      <c r="G117" s="16">
        <v>0.397</v>
      </c>
      <c r="H117" s="16">
        <v>0.349</v>
      </c>
      <c r="I117" s="16">
        <v>0.175</v>
      </c>
      <c r="J117" s="16">
        <v>0.082</v>
      </c>
      <c r="K117" s="16">
        <v>-1.43080341815948</v>
      </c>
      <c r="L117" s="16">
        <v>-2.79212403297424</v>
      </c>
      <c r="M117" s="16">
        <v>-0.318121004905602</v>
      </c>
      <c r="N117" s="16">
        <v>-0.933000028133392</v>
      </c>
      <c r="O117" s="12"/>
      <c r="P117" s="12"/>
      <c r="Q117" s="17" t="s">
        <v>28</v>
      </c>
      <c r="S117" s="14">
        <v>0.617435038</v>
      </c>
      <c r="T117" s="14">
        <v>0.25861</v>
      </c>
      <c r="U117" s="14">
        <v>0.035</v>
      </c>
    </row>
    <row r="118">
      <c r="A118" s="10" t="s">
        <v>44</v>
      </c>
      <c r="B118" s="11">
        <v>2020.0</v>
      </c>
      <c r="C118" s="11">
        <v>86.0</v>
      </c>
      <c r="D118" s="11">
        <v>5.21600008</v>
      </c>
      <c r="E118" s="11">
        <v>0.366244704</v>
      </c>
      <c r="F118" s="11">
        <v>0.468671143</v>
      </c>
      <c r="G118" s="11">
        <v>54.31246567</v>
      </c>
      <c r="H118" s="11">
        <v>0.735182583</v>
      </c>
      <c r="I118" s="11">
        <v>-0.003537213</v>
      </c>
      <c r="J118" s="11">
        <v>0.740532577</v>
      </c>
      <c r="K118" s="11">
        <v>2.88395762075583</v>
      </c>
      <c r="L118" s="11">
        <v>0.489617120295981</v>
      </c>
      <c r="M118" s="11">
        <v>1.53006442376521</v>
      </c>
      <c r="N118" s="11">
        <v>3.02272119663752</v>
      </c>
      <c r="O118" s="12"/>
      <c r="P118" s="12"/>
      <c r="Q118" s="13" t="s">
        <v>28</v>
      </c>
      <c r="S118" s="14">
        <v>0.619</v>
      </c>
      <c r="T118" s="14">
        <v>0.25883</v>
      </c>
      <c r="U118" s="14">
        <v>0.035</v>
      </c>
    </row>
    <row r="119">
      <c r="A119" s="15" t="s">
        <v>44</v>
      </c>
      <c r="B119" s="16">
        <v>2021.0</v>
      </c>
      <c r="C119" s="16">
        <v>99.0</v>
      </c>
      <c r="D119" s="16">
        <v>5.045</v>
      </c>
      <c r="E119" s="16">
        <v>8.087</v>
      </c>
      <c r="F119" s="16">
        <v>0.489</v>
      </c>
      <c r="G119" s="16">
        <v>54.713</v>
      </c>
      <c r="H119" s="16">
        <v>0.757</v>
      </c>
      <c r="I119" s="16">
        <v>-0.034</v>
      </c>
      <c r="J119" s="16">
        <v>0.661</v>
      </c>
      <c r="K119" s="16">
        <v>-1.93</v>
      </c>
      <c r="L119" s="16">
        <v>5.92</v>
      </c>
      <c r="M119" s="16">
        <v>-1.51316780114093</v>
      </c>
      <c r="N119" s="16">
        <v>5.91744598516606</v>
      </c>
      <c r="O119" s="12"/>
      <c r="P119" s="12"/>
      <c r="Q119" s="17" t="s">
        <v>28</v>
      </c>
      <c r="S119" s="14">
        <v>0.62477</v>
      </c>
      <c r="T119" s="14">
        <v>0.259</v>
      </c>
      <c r="U119" s="14">
        <v>0.035</v>
      </c>
    </row>
    <row r="120">
      <c r="A120" s="10" t="s">
        <v>44</v>
      </c>
      <c r="B120" s="11">
        <v>2022.0</v>
      </c>
      <c r="C120" s="11">
        <v>115.0</v>
      </c>
      <c r="D120" s="11">
        <v>4.623</v>
      </c>
      <c r="E120" s="11">
        <v>0.932</v>
      </c>
      <c r="F120" s="11">
        <v>0.064</v>
      </c>
      <c r="G120" s="11">
        <v>0.335</v>
      </c>
      <c r="H120" s="11">
        <v>0.479</v>
      </c>
      <c r="I120" s="11">
        <v>0.127</v>
      </c>
      <c r="J120" s="11">
        <v>0.23</v>
      </c>
      <c r="K120" s="11">
        <v>2.33416395847872</v>
      </c>
      <c r="L120" s="11">
        <v>-1.72343062702911</v>
      </c>
      <c r="M120" s="11">
        <v>1.61868591694933</v>
      </c>
      <c r="N120" s="11">
        <v>1.35077863583532</v>
      </c>
      <c r="O120" s="12"/>
      <c r="P120" s="12"/>
      <c r="Q120" s="13" t="s">
        <v>28</v>
      </c>
      <c r="S120" s="14">
        <v>0.62542</v>
      </c>
      <c r="T120" s="14">
        <v>0.259</v>
      </c>
      <c r="U120" s="14">
        <v>0.036</v>
      </c>
    </row>
    <row r="121">
      <c r="A121" s="15" t="s">
        <v>44</v>
      </c>
      <c r="B121" s="16">
        <v>2023.0</v>
      </c>
      <c r="C121" s="16">
        <v>116.0</v>
      </c>
      <c r="D121" s="16">
        <v>4.374</v>
      </c>
      <c r="E121" s="16">
        <v>8.103</v>
      </c>
      <c r="F121" s="16">
        <v>0.437</v>
      </c>
      <c r="G121" s="16">
        <v>56.095</v>
      </c>
      <c r="H121" s="16">
        <v>0.743</v>
      </c>
      <c r="I121" s="16">
        <v>-0.043</v>
      </c>
      <c r="J121" s="16">
        <v>0.576</v>
      </c>
      <c r="K121" s="16">
        <v>8.49037363470264</v>
      </c>
      <c r="L121" s="16">
        <v>0.291411042944789</v>
      </c>
      <c r="M121" s="16">
        <v>2.48388216170803</v>
      </c>
      <c r="N121" s="16">
        <v>4.41091174077105</v>
      </c>
      <c r="O121" s="12"/>
      <c r="P121" s="12"/>
      <c r="Q121" s="17" t="s">
        <v>28</v>
      </c>
      <c r="S121" s="14">
        <v>0.625662446</v>
      </c>
      <c r="T121" s="14">
        <v>0.26</v>
      </c>
      <c r="U121" s="14">
        <v>0.036</v>
      </c>
    </row>
    <row r="122">
      <c r="A122" s="10" t="s">
        <v>45</v>
      </c>
      <c r="B122" s="11">
        <v>2015.0</v>
      </c>
      <c r="C122" s="11">
        <v>79.0</v>
      </c>
      <c r="D122" s="11">
        <v>5.253</v>
      </c>
      <c r="E122" s="11">
        <v>0.77042</v>
      </c>
      <c r="F122" s="11">
        <v>1.10395</v>
      </c>
      <c r="G122" s="11">
        <v>0.57407</v>
      </c>
      <c r="H122" s="11">
        <v>0.53206</v>
      </c>
      <c r="I122" s="11">
        <v>0.47998</v>
      </c>
      <c r="J122" s="11">
        <v>0.15445</v>
      </c>
      <c r="K122" s="11">
        <v>6.44999980926513</v>
      </c>
      <c r="L122" s="11">
        <v>3.26999998092651</v>
      </c>
      <c r="M122" s="11">
        <v>5.17728362468091</v>
      </c>
      <c r="N122" s="11">
        <v>4.55000019073486</v>
      </c>
      <c r="O122" s="12"/>
      <c r="P122" s="12"/>
      <c r="Q122" s="13" t="s">
        <v>24</v>
      </c>
      <c r="S122" s="14">
        <v>0.626</v>
      </c>
      <c r="T122" s="14">
        <v>0.260287941</v>
      </c>
      <c r="U122" s="14">
        <v>0.03616</v>
      </c>
    </row>
    <row r="123">
      <c r="A123" s="15" t="s">
        <v>45</v>
      </c>
      <c r="B123" s="16">
        <v>2016.0</v>
      </c>
      <c r="C123" s="16">
        <v>84.0</v>
      </c>
      <c r="D123" s="16">
        <v>5.196</v>
      </c>
      <c r="E123" s="16">
        <v>0.8527</v>
      </c>
      <c r="F123" s="16">
        <v>0.90836</v>
      </c>
      <c r="G123" s="16">
        <v>0.49759</v>
      </c>
      <c r="H123" s="16">
        <v>0.46074</v>
      </c>
      <c r="I123" s="16">
        <v>0.48546</v>
      </c>
      <c r="J123" s="16">
        <v>0.1616</v>
      </c>
      <c r="K123" s="16">
        <v>4.44999980926513</v>
      </c>
      <c r="L123" s="16">
        <v>14.1099996566772</v>
      </c>
      <c r="M123" s="16">
        <v>4.05450300384823</v>
      </c>
      <c r="N123" s="16">
        <v>4.30999994277954</v>
      </c>
      <c r="O123" s="12"/>
      <c r="P123" s="16">
        <v>1.11165022850036</v>
      </c>
      <c r="Q123" s="17" t="s">
        <v>24</v>
      </c>
      <c r="S123" s="14">
        <v>0.627</v>
      </c>
      <c r="T123" s="14">
        <v>0.26228</v>
      </c>
      <c r="U123" s="14">
        <v>0.03635</v>
      </c>
    </row>
    <row r="124">
      <c r="A124" s="10" t="s">
        <v>45</v>
      </c>
      <c r="B124" s="11">
        <v>2017.0</v>
      </c>
      <c r="C124" s="11">
        <v>97.0</v>
      </c>
      <c r="D124" s="11">
        <v>5.011000156</v>
      </c>
      <c r="E124" s="11">
        <v>0.885416389</v>
      </c>
      <c r="F124" s="11">
        <v>1.340126514</v>
      </c>
      <c r="G124" s="11">
        <v>0.495879292</v>
      </c>
      <c r="H124" s="11">
        <v>0.501537681</v>
      </c>
      <c r="I124" s="11">
        <v>0.474054545</v>
      </c>
      <c r="J124" s="11">
        <v>0.17338039</v>
      </c>
      <c r="K124" s="11">
        <v>4.96000003814697</v>
      </c>
      <c r="L124" s="11">
        <v>-2.03999996185302</v>
      </c>
      <c r="M124" s="11">
        <v>4.6885046716539</v>
      </c>
      <c r="N124" s="11">
        <v>5.529</v>
      </c>
      <c r="O124" s="12"/>
      <c r="P124" s="11">
        <v>5.15731906890869</v>
      </c>
      <c r="Q124" s="13" t="s">
        <v>24</v>
      </c>
      <c r="S124" s="14">
        <v>0.62736</v>
      </c>
      <c r="T124" s="14">
        <v>0.26236</v>
      </c>
      <c r="U124" s="14">
        <v>0.036636937</v>
      </c>
    </row>
    <row r="125">
      <c r="A125" s="15" t="s">
        <v>45</v>
      </c>
      <c r="B125" s="16">
        <v>2018.0</v>
      </c>
      <c r="C125" s="16">
        <v>97.0</v>
      </c>
      <c r="D125" s="16">
        <v>5.082</v>
      </c>
      <c r="E125" s="16">
        <v>0.796</v>
      </c>
      <c r="F125" s="16">
        <v>1.335</v>
      </c>
      <c r="G125" s="16">
        <v>0.527</v>
      </c>
      <c r="H125" s="16">
        <v>0.541</v>
      </c>
      <c r="I125" s="16">
        <v>0.364</v>
      </c>
      <c r="J125" s="16">
        <v>0.171</v>
      </c>
      <c r="K125" s="16">
        <v>1.4121167050034</v>
      </c>
      <c r="L125" s="16">
        <v>4.96417690058039</v>
      </c>
      <c r="M125" s="16">
        <v>3.30012453300124</v>
      </c>
      <c r="N125" s="16">
        <v>2.72</v>
      </c>
      <c r="O125" s="12"/>
      <c r="P125" s="16">
        <v>5.03838443756103</v>
      </c>
      <c r="Q125" s="17" t="s">
        <v>24</v>
      </c>
      <c r="S125" s="14">
        <v>0.628</v>
      </c>
      <c r="T125" s="14">
        <v>0.26268</v>
      </c>
      <c r="U125" s="14">
        <v>0.036872927</v>
      </c>
    </row>
    <row r="126">
      <c r="A126" s="10" t="s">
        <v>45</v>
      </c>
      <c r="B126" s="11">
        <v>2019.0</v>
      </c>
      <c r="C126" s="11">
        <v>95.0</v>
      </c>
      <c r="D126" s="11">
        <v>5.082</v>
      </c>
      <c r="E126" s="11">
        <v>0.813</v>
      </c>
      <c r="F126" s="11">
        <v>1.321</v>
      </c>
      <c r="G126" s="11">
        <v>0.604</v>
      </c>
      <c r="H126" s="11">
        <v>0.457</v>
      </c>
      <c r="I126" s="11">
        <v>0.37</v>
      </c>
      <c r="J126" s="11">
        <v>0.167</v>
      </c>
      <c r="K126" s="11">
        <v>2.52824568748474</v>
      </c>
      <c r="L126" s="11">
        <v>3.64380145072937</v>
      </c>
      <c r="M126" s="11">
        <v>1.35439347529246</v>
      </c>
      <c r="N126" s="11">
        <v>2.59999990463256</v>
      </c>
      <c r="O126" s="12"/>
      <c r="P126" s="11">
        <v>-3.51431012153625</v>
      </c>
      <c r="Q126" s="13" t="s">
        <v>24</v>
      </c>
      <c r="S126" s="14">
        <v>0.629</v>
      </c>
      <c r="T126" s="14">
        <v>0.264</v>
      </c>
      <c r="U126" s="14">
        <v>0.037</v>
      </c>
    </row>
    <row r="127">
      <c r="A127" s="15" t="s">
        <v>46</v>
      </c>
      <c r="B127" s="16">
        <v>2015.0</v>
      </c>
      <c r="C127" s="16">
        <v>51.0</v>
      </c>
      <c r="D127" s="16">
        <v>5.89</v>
      </c>
      <c r="E127" s="16">
        <v>0.68133</v>
      </c>
      <c r="F127" s="16">
        <v>0.97841</v>
      </c>
      <c r="G127" s="16">
        <v>0.5392</v>
      </c>
      <c r="H127" s="16">
        <v>0.57414</v>
      </c>
      <c r="I127" s="16">
        <v>0.20536</v>
      </c>
      <c r="J127" s="16">
        <v>0.088</v>
      </c>
      <c r="K127" s="16">
        <v>5.00865697860717</v>
      </c>
      <c r="L127" s="16">
        <v>4.61148262023925</v>
      </c>
      <c r="M127" s="16">
        <v>-4.62056897297547</v>
      </c>
      <c r="N127" s="16">
        <v>4.0644998550415</v>
      </c>
      <c r="O127" s="12"/>
      <c r="P127" s="12"/>
      <c r="Q127" s="17" t="s">
        <v>32</v>
      </c>
      <c r="S127" s="14">
        <v>0.629033029</v>
      </c>
      <c r="T127" s="14">
        <v>0.26755</v>
      </c>
      <c r="U127" s="14">
        <v>0.037</v>
      </c>
    </row>
    <row r="128">
      <c r="A128" s="10" t="s">
        <v>46</v>
      </c>
      <c r="B128" s="11">
        <v>2016.0</v>
      </c>
      <c r="C128" s="11">
        <v>59.0</v>
      </c>
      <c r="D128" s="11">
        <v>5.822</v>
      </c>
      <c r="E128" s="11">
        <v>0.79422</v>
      </c>
      <c r="F128" s="11">
        <v>0.83779</v>
      </c>
      <c r="G128" s="11">
        <v>0.4697</v>
      </c>
      <c r="H128" s="11">
        <v>0.50961</v>
      </c>
      <c r="I128" s="11">
        <v>0.21698</v>
      </c>
      <c r="J128" s="11">
        <v>0.07746</v>
      </c>
      <c r="K128" s="11">
        <v>3.65881633758544</v>
      </c>
      <c r="L128" s="11">
        <v>5.51209068298339</v>
      </c>
      <c r="M128" s="11">
        <v>-1.35481426595719</v>
      </c>
      <c r="N128" s="11">
        <v>3.62701392173767</v>
      </c>
      <c r="O128" s="12"/>
      <c r="P128" s="12"/>
      <c r="Q128" s="13" t="s">
        <v>32</v>
      </c>
      <c r="S128" s="14">
        <v>0.629793584</v>
      </c>
      <c r="T128" s="14">
        <v>0.270842046</v>
      </c>
      <c r="U128" s="14">
        <v>0.037</v>
      </c>
    </row>
    <row r="129">
      <c r="A129" s="15" t="s">
        <v>46</v>
      </c>
      <c r="B129" s="16">
        <v>2017.0</v>
      </c>
      <c r="C129" s="16">
        <v>58.0</v>
      </c>
      <c r="D129" s="16">
        <v>5.822999954</v>
      </c>
      <c r="E129" s="16">
        <v>0.833756566</v>
      </c>
      <c r="F129" s="16">
        <v>1.227619052</v>
      </c>
      <c r="G129" s="16">
        <v>0.47363025</v>
      </c>
      <c r="H129" s="16">
        <v>0.558732927</v>
      </c>
      <c r="I129" s="16">
        <v>0.225560725</v>
      </c>
      <c r="J129" s="16">
        <v>0.060477726</v>
      </c>
      <c r="K129" s="16">
        <v>4.79881906509399</v>
      </c>
      <c r="L129" s="16">
        <v>3.34667515754699</v>
      </c>
      <c r="M129" s="16">
        <v>6.06129407001253</v>
      </c>
      <c r="N129" s="16">
        <v>2.82</v>
      </c>
      <c r="O129" s="12"/>
      <c r="P129" s="12"/>
      <c r="Q129" s="17" t="s">
        <v>32</v>
      </c>
      <c r="S129" s="14">
        <v>0.63</v>
      </c>
      <c r="T129" s="14">
        <v>0.271</v>
      </c>
      <c r="U129" s="14">
        <v>0.03751383</v>
      </c>
    </row>
    <row r="130">
      <c r="A130" s="10" t="s">
        <v>46</v>
      </c>
      <c r="B130" s="11">
        <v>2018.0</v>
      </c>
      <c r="C130" s="11">
        <v>62.0</v>
      </c>
      <c r="D130" s="11">
        <v>5.752</v>
      </c>
      <c r="E130" s="11">
        <v>0.751</v>
      </c>
      <c r="F130" s="11">
        <v>1.223</v>
      </c>
      <c r="G130" s="11">
        <v>0.508</v>
      </c>
      <c r="H130" s="11">
        <v>0.606</v>
      </c>
      <c r="I130" s="11">
        <v>0.141</v>
      </c>
      <c r="J130" s="11">
        <v>0.054</v>
      </c>
      <c r="K130" s="11">
        <v>2.5933084487915</v>
      </c>
      <c r="L130" s="11">
        <v>2.54264235496521</v>
      </c>
      <c r="M130" s="11">
        <v>3.05635335462117</v>
      </c>
      <c r="N130" s="11">
        <v>2.27</v>
      </c>
      <c r="O130" s="12"/>
      <c r="P130" s="12"/>
      <c r="Q130" s="13" t="s">
        <v>32</v>
      </c>
      <c r="S130" s="14">
        <v>0.63054</v>
      </c>
      <c r="T130" s="14">
        <v>0.27544</v>
      </c>
      <c r="U130" s="14">
        <v>0.03787</v>
      </c>
    </row>
    <row r="131">
      <c r="A131" s="15" t="s">
        <v>46</v>
      </c>
      <c r="B131" s="16">
        <v>2019.0</v>
      </c>
      <c r="C131" s="16">
        <v>61.0</v>
      </c>
      <c r="D131" s="16">
        <v>5.779</v>
      </c>
      <c r="E131" s="16">
        <v>0.776</v>
      </c>
      <c r="F131" s="16">
        <v>1.209</v>
      </c>
      <c r="G131" s="16">
        <v>0.706</v>
      </c>
      <c r="H131" s="16">
        <v>0.511</v>
      </c>
      <c r="I131" s="16">
        <v>0.137</v>
      </c>
      <c r="J131" s="16">
        <v>0.064</v>
      </c>
      <c r="K131" s="16">
        <v>0.482488900423049</v>
      </c>
      <c r="L131" s="16">
        <v>3.36498188972473</v>
      </c>
      <c r="M131" s="16">
        <v>-0.693089701801794</v>
      </c>
      <c r="N131" s="16">
        <v>1.83899998664856</v>
      </c>
      <c r="O131" s="12"/>
      <c r="P131" s="12"/>
      <c r="Q131" s="17" t="s">
        <v>32</v>
      </c>
      <c r="S131" s="14">
        <v>0.63178</v>
      </c>
      <c r="T131" s="14">
        <v>0.27854</v>
      </c>
      <c r="U131" s="14">
        <v>0.038</v>
      </c>
    </row>
    <row r="132">
      <c r="A132" s="10" t="s">
        <v>46</v>
      </c>
      <c r="B132" s="11">
        <v>2020.0</v>
      </c>
      <c r="C132" s="11">
        <v>65.0</v>
      </c>
      <c r="D132" s="11">
        <v>5.747499943</v>
      </c>
      <c r="E132" s="11">
        <v>0.730976343</v>
      </c>
      <c r="F132" s="11">
        <v>0.803108692</v>
      </c>
      <c r="G132" s="11">
        <v>63.6004715</v>
      </c>
      <c r="H132" s="11">
        <v>0.875873327</v>
      </c>
      <c r="I132" s="11">
        <v>-0.09168113</v>
      </c>
      <c r="J132" s="11">
        <v>0.822606206</v>
      </c>
      <c r="K132" s="11">
        <v>-0.211846612197571</v>
      </c>
      <c r="L132" s="11">
        <v>-0.654742538928985</v>
      </c>
      <c r="M132" s="11">
        <v>3.57643991012709</v>
      </c>
      <c r="N132" s="11">
        <v>0.940742153381437</v>
      </c>
      <c r="O132" s="12"/>
      <c r="P132" s="12"/>
      <c r="Q132" s="13" t="s">
        <v>32</v>
      </c>
      <c r="S132" s="14">
        <v>0.632388055</v>
      </c>
      <c r="T132" s="14">
        <v>0.27996</v>
      </c>
      <c r="U132" s="14">
        <v>0.038</v>
      </c>
    </row>
    <row r="133">
      <c r="A133" s="15" t="s">
        <v>46</v>
      </c>
      <c r="B133" s="16">
        <v>2021.0</v>
      </c>
      <c r="C133" s="16">
        <v>69.0</v>
      </c>
      <c r="D133" s="16">
        <v>5.716</v>
      </c>
      <c r="E133" s="16">
        <v>9.046</v>
      </c>
      <c r="F133" s="16">
        <v>0.81</v>
      </c>
      <c r="G133" s="16">
        <v>63.901</v>
      </c>
      <c r="H133" s="16">
        <v>0.875</v>
      </c>
      <c r="I133" s="16">
        <v>-0.077</v>
      </c>
      <c r="J133" s="16">
        <v>0.839</v>
      </c>
      <c r="K133" s="16">
        <v>0.23</v>
      </c>
      <c r="L133" s="16">
        <v>0.61</v>
      </c>
      <c r="M133" s="16">
        <v>3.96697032652385</v>
      </c>
      <c r="N133" s="16">
        <v>0.737383721452315</v>
      </c>
      <c r="O133" s="12"/>
      <c r="P133" s="12"/>
      <c r="Q133" s="17" t="s">
        <v>32</v>
      </c>
      <c r="S133" s="14">
        <v>0.636142015</v>
      </c>
      <c r="T133" s="14">
        <v>0.28</v>
      </c>
      <c r="U133" s="14">
        <v>0.038</v>
      </c>
    </row>
    <row r="134">
      <c r="A134" s="10" t="s">
        <v>46</v>
      </c>
      <c r="B134" s="11">
        <v>2022.0</v>
      </c>
      <c r="C134" s="11">
        <v>71.0</v>
      </c>
      <c r="D134" s="11">
        <v>5.6</v>
      </c>
      <c r="E134" s="11">
        <v>1.256</v>
      </c>
      <c r="F134" s="11">
        <v>0.88</v>
      </c>
      <c r="G134" s="11">
        <v>0.555</v>
      </c>
      <c r="H134" s="11">
        <v>0.627</v>
      </c>
      <c r="I134" s="11">
        <v>0.112</v>
      </c>
      <c r="J134" s="11">
        <v>0.064</v>
      </c>
      <c r="K134" s="11">
        <v>0.720071955808088</v>
      </c>
      <c r="L134" s="11">
        <v>1.43412059967547</v>
      </c>
      <c r="M134" s="11">
        <v>5.40088956232001</v>
      </c>
      <c r="N134" s="11">
        <v>1.74632872945973</v>
      </c>
      <c r="O134" s="12"/>
      <c r="P134" s="12"/>
      <c r="Q134" s="13" t="s">
        <v>32</v>
      </c>
      <c r="S134" s="14">
        <v>0.637573481</v>
      </c>
      <c r="T134" s="14">
        <v>0.28098</v>
      </c>
      <c r="U134" s="14">
        <v>0.038948249</v>
      </c>
    </row>
    <row r="135">
      <c r="A135" s="15" t="s">
        <v>46</v>
      </c>
      <c r="B135" s="16">
        <v>2023.0</v>
      </c>
      <c r="C135" s="16">
        <v>69.0</v>
      </c>
      <c r="D135" s="16">
        <v>5.684</v>
      </c>
      <c r="E135" s="16">
        <v>8.985</v>
      </c>
      <c r="F135" s="16">
        <v>0.811</v>
      </c>
      <c r="G135" s="16">
        <v>63.599</v>
      </c>
      <c r="H135" s="16">
        <v>0.868</v>
      </c>
      <c r="I135" s="16">
        <v>-0.063</v>
      </c>
      <c r="J135" s="16">
        <v>0.846</v>
      </c>
      <c r="K135" s="16">
        <v>1.25993982971642</v>
      </c>
      <c r="L135" s="16">
        <v>4.8579361889285</v>
      </c>
      <c r="M135" s="16">
        <v>-0.812639768031202</v>
      </c>
      <c r="N135" s="16">
        <v>2.57688800489192</v>
      </c>
      <c r="O135" s="12"/>
      <c r="P135" s="12"/>
      <c r="Q135" s="17" t="s">
        <v>32</v>
      </c>
      <c r="S135" s="14">
        <v>0.6376</v>
      </c>
      <c r="T135" s="14">
        <v>0.281</v>
      </c>
      <c r="U135" s="14">
        <v>0.039</v>
      </c>
    </row>
    <row r="136">
      <c r="A136" s="10" t="s">
        <v>47</v>
      </c>
      <c r="B136" s="11">
        <v>2015.0</v>
      </c>
      <c r="C136" s="11">
        <v>96.0</v>
      </c>
      <c r="D136" s="11">
        <v>4.949</v>
      </c>
      <c r="E136" s="11">
        <v>0.83223</v>
      </c>
      <c r="F136" s="11">
        <v>0.91916</v>
      </c>
      <c r="G136" s="11">
        <v>0.79081</v>
      </c>
      <c r="H136" s="11">
        <v>0.09245</v>
      </c>
      <c r="I136" s="11">
        <v>0.24808</v>
      </c>
      <c r="J136" s="11">
        <v>0.00227</v>
      </c>
      <c r="K136" s="11">
        <v>1.13617300987243</v>
      </c>
      <c r="L136" s="11">
        <v>-0.898153781890869</v>
      </c>
      <c r="M136" s="11">
        <v>1.55704070853985</v>
      </c>
      <c r="N136" s="11">
        <v>-1.01463341712951</v>
      </c>
      <c r="O136" s="12"/>
      <c r="P136" s="11">
        <v>0.577488660812377</v>
      </c>
      <c r="Q136" s="13" t="s">
        <v>26</v>
      </c>
      <c r="S136" s="14">
        <v>0.639</v>
      </c>
      <c r="T136" s="14">
        <v>0.282</v>
      </c>
      <c r="U136" s="14">
        <v>0.039</v>
      </c>
    </row>
    <row r="137">
      <c r="A137" s="15" t="s">
        <v>47</v>
      </c>
      <c r="B137" s="16">
        <v>2016.0</v>
      </c>
      <c r="C137" s="16">
        <v>87.0</v>
      </c>
      <c r="D137" s="16">
        <v>5.163</v>
      </c>
      <c r="E137" s="16">
        <v>0.93383</v>
      </c>
      <c r="F137" s="16">
        <v>0.64367</v>
      </c>
      <c r="G137" s="16">
        <v>0.70766</v>
      </c>
      <c r="H137" s="16">
        <v>0.09511</v>
      </c>
      <c r="I137" s="16">
        <v>0.29889</v>
      </c>
      <c r="J137" s="16">
        <v>0.0</v>
      </c>
      <c r="K137" s="16">
        <v>0.276661485433578</v>
      </c>
      <c r="L137" s="16">
        <v>-1.04763829708099</v>
      </c>
      <c r="M137" s="16">
        <v>1.40415445699026</v>
      </c>
      <c r="N137" s="16">
        <v>-1.05864870548248</v>
      </c>
      <c r="O137" s="12"/>
      <c r="P137" s="16">
        <v>-1.89568948745727</v>
      </c>
      <c r="Q137" s="17" t="s">
        <v>26</v>
      </c>
      <c r="S137" s="14">
        <v>0.640449822</v>
      </c>
      <c r="T137" s="14">
        <v>0.283</v>
      </c>
      <c r="U137" s="14">
        <v>0.039</v>
      </c>
    </row>
    <row r="138">
      <c r="A138" s="10" t="s">
        <v>47</v>
      </c>
      <c r="B138" s="11">
        <v>2017.0</v>
      </c>
      <c r="C138" s="11">
        <v>90.0</v>
      </c>
      <c r="D138" s="11">
        <v>5.18200016</v>
      </c>
      <c r="E138" s="11">
        <v>0.982409418</v>
      </c>
      <c r="F138" s="11">
        <v>1.069335938</v>
      </c>
      <c r="G138" s="11">
        <v>0.705186307</v>
      </c>
      <c r="H138" s="11">
        <v>0.204403177</v>
      </c>
      <c r="I138" s="11">
        <v>0.328867495</v>
      </c>
      <c r="J138" s="11">
        <v>0.0</v>
      </c>
      <c r="K138" s="11">
        <v>1.70553994178771</v>
      </c>
      <c r="L138" s="11">
        <v>0.98310911655426</v>
      </c>
      <c r="M138" s="11">
        <v>1.71017723116979</v>
      </c>
      <c r="N138" s="11">
        <v>0.81</v>
      </c>
      <c r="O138" s="12"/>
      <c r="P138" s="11">
        <v>2.99618935585022</v>
      </c>
      <c r="Q138" s="13" t="s">
        <v>26</v>
      </c>
      <c r="S138" s="14">
        <v>0.64095</v>
      </c>
      <c r="T138" s="14">
        <v>0.284</v>
      </c>
      <c r="U138" s="14">
        <v>0.039</v>
      </c>
    </row>
    <row r="139">
      <c r="A139" s="15" t="s">
        <v>47</v>
      </c>
      <c r="B139" s="16">
        <v>2018.0</v>
      </c>
      <c r="C139" s="16">
        <v>93.0</v>
      </c>
      <c r="D139" s="16">
        <v>5.129</v>
      </c>
      <c r="E139" s="16">
        <v>0.915</v>
      </c>
      <c r="F139" s="16">
        <v>1.078</v>
      </c>
      <c r="G139" s="16">
        <v>0.758</v>
      </c>
      <c r="H139" s="16">
        <v>0.28</v>
      </c>
      <c r="I139" s="16">
        <v>0.216</v>
      </c>
      <c r="J139" s="16">
        <v>0.0</v>
      </c>
      <c r="K139" s="16">
        <v>2.7373628616333</v>
      </c>
      <c r="L139" s="16">
        <v>0.424358874559402</v>
      </c>
      <c r="M139" s="16">
        <v>2.74806791625859</v>
      </c>
      <c r="N139" s="16">
        <v>1.27</v>
      </c>
      <c r="O139" s="12"/>
      <c r="P139" s="16">
        <v>3.54493069648742</v>
      </c>
      <c r="Q139" s="17" t="s">
        <v>26</v>
      </c>
      <c r="S139" s="14">
        <v>0.641</v>
      </c>
      <c r="T139" s="14">
        <v>0.28531</v>
      </c>
      <c r="U139" s="14">
        <v>0.039</v>
      </c>
    </row>
    <row r="140">
      <c r="A140" s="10" t="s">
        <v>47</v>
      </c>
      <c r="B140" s="11">
        <v>2019.0</v>
      </c>
      <c r="C140" s="11">
        <v>78.0</v>
      </c>
      <c r="D140" s="11">
        <v>5.386</v>
      </c>
      <c r="E140" s="11">
        <v>0.945</v>
      </c>
      <c r="F140" s="11">
        <v>1.212</v>
      </c>
      <c r="G140" s="11">
        <v>0.845</v>
      </c>
      <c r="H140" s="11">
        <v>0.212</v>
      </c>
      <c r="I140" s="11">
        <v>0.263</v>
      </c>
      <c r="J140" s="11">
        <v>0.006</v>
      </c>
      <c r="K140" s="11">
        <v>2.33656072616577</v>
      </c>
      <c r="L140" s="11">
        <v>1.08542549610137</v>
      </c>
      <c r="M140" s="11">
        <v>2.63115674635006</v>
      </c>
      <c r="N140" s="11">
        <v>0.616999983787536</v>
      </c>
      <c r="O140" s="12"/>
      <c r="P140" s="11">
        <v>0.143631115555763</v>
      </c>
      <c r="Q140" s="13" t="s">
        <v>26</v>
      </c>
      <c r="S140" s="14">
        <v>0.641</v>
      </c>
      <c r="T140" s="14">
        <v>0.28579</v>
      </c>
      <c r="U140" s="14">
        <v>0.03986</v>
      </c>
    </row>
    <row r="141">
      <c r="A141" s="15" t="s">
        <v>47</v>
      </c>
      <c r="B141" s="16">
        <v>2020.0</v>
      </c>
      <c r="C141" s="16">
        <v>69.0</v>
      </c>
      <c r="D141" s="16">
        <v>5.674099922</v>
      </c>
      <c r="E141" s="16">
        <v>0.91839546</v>
      </c>
      <c r="F141" s="16">
        <v>0.829204142</v>
      </c>
      <c r="G141" s="16">
        <v>67.80813599</v>
      </c>
      <c r="H141" s="16">
        <v>0.651352704</v>
      </c>
      <c r="I141" s="16">
        <v>0.098274559</v>
      </c>
      <c r="J141" s="16">
        <v>0.933769107</v>
      </c>
      <c r="K141" s="16">
        <v>-0.425176404265533</v>
      </c>
      <c r="L141" s="16">
        <v>1.02459013462066</v>
      </c>
      <c r="M141" s="16">
        <v>-0.386210447912166</v>
      </c>
      <c r="N141" s="16">
        <v>-1.05129600763519</v>
      </c>
      <c r="O141" s="12"/>
      <c r="P141" s="16">
        <v>-1.23511791229248</v>
      </c>
      <c r="Q141" s="17" t="s">
        <v>26</v>
      </c>
      <c r="S141" s="14">
        <v>0.64184</v>
      </c>
      <c r="T141" s="14">
        <v>0.288</v>
      </c>
      <c r="U141" s="14">
        <v>0.039864216</v>
      </c>
    </row>
    <row r="142">
      <c r="A142" s="10" t="s">
        <v>47</v>
      </c>
      <c r="B142" s="11">
        <v>2021.0</v>
      </c>
      <c r="C142" s="11">
        <v>64.0</v>
      </c>
      <c r="D142" s="11">
        <v>5.813</v>
      </c>
      <c r="E142" s="11">
        <v>9.59</v>
      </c>
      <c r="F142" s="11">
        <v>0.87</v>
      </c>
      <c r="G142" s="11">
        <v>68.098</v>
      </c>
      <c r="H142" s="11">
        <v>0.706</v>
      </c>
      <c r="I142" s="11">
        <v>0.113</v>
      </c>
      <c r="J142" s="11">
        <v>0.931</v>
      </c>
      <c r="K142" s="11">
        <v>1.28</v>
      </c>
      <c r="L142" s="11">
        <v>3.54</v>
      </c>
      <c r="M142" s="11">
        <v>4.87860634734071</v>
      </c>
      <c r="N142" s="11">
        <v>1.98163900587616</v>
      </c>
      <c r="O142" s="12"/>
      <c r="P142" s="11">
        <v>5.59993544742956</v>
      </c>
      <c r="Q142" s="13" t="s">
        <v>26</v>
      </c>
      <c r="S142" s="14">
        <v>0.64367</v>
      </c>
      <c r="T142" s="14">
        <v>0.288515985</v>
      </c>
      <c r="U142" s="14">
        <v>0.04</v>
      </c>
    </row>
    <row r="143">
      <c r="A143" s="15" t="s">
        <v>47</v>
      </c>
      <c r="B143" s="16">
        <v>2022.0</v>
      </c>
      <c r="C143" s="16">
        <v>67.0</v>
      </c>
      <c r="D143" s="16">
        <v>5.768</v>
      </c>
      <c r="E143" s="16">
        <v>1.468</v>
      </c>
      <c r="F143" s="16">
        <v>1.068</v>
      </c>
      <c r="G143" s="16">
        <v>0.665</v>
      </c>
      <c r="H143" s="16">
        <v>0.448</v>
      </c>
      <c r="I143" s="16">
        <v>0.244</v>
      </c>
      <c r="J143" s="16">
        <v>0.006</v>
      </c>
      <c r="K143" s="16">
        <v>14.0062465049167</v>
      </c>
      <c r="L143" s="16">
        <v>20.3190806961534</v>
      </c>
      <c r="M143" s="16">
        <v>10.4626940183352</v>
      </c>
      <c r="N143" s="16">
        <v>14.0208440826771</v>
      </c>
      <c r="O143" s="12"/>
      <c r="P143" s="16">
        <v>18.4986187198575</v>
      </c>
      <c r="Q143" s="17" t="s">
        <v>26</v>
      </c>
      <c r="S143" s="14">
        <v>0.644</v>
      </c>
      <c r="T143" s="14">
        <v>0.288555533</v>
      </c>
      <c r="U143" s="14">
        <v>0.04002</v>
      </c>
    </row>
    <row r="144">
      <c r="A144" s="10" t="s">
        <v>47</v>
      </c>
      <c r="B144" s="11">
        <v>2023.0</v>
      </c>
      <c r="C144" s="11">
        <v>71.0</v>
      </c>
      <c r="D144" s="11">
        <v>5.633</v>
      </c>
      <c r="E144" s="11">
        <v>9.616</v>
      </c>
      <c r="F144" s="11">
        <v>0.88</v>
      </c>
      <c r="G144" s="11">
        <v>67.275</v>
      </c>
      <c r="H144" s="11">
        <v>0.746</v>
      </c>
      <c r="I144" s="11">
        <v>0.206</v>
      </c>
      <c r="J144" s="11">
        <v>0.918</v>
      </c>
      <c r="K144" s="11">
        <v>12.6976132097797</v>
      </c>
      <c r="L144" s="11">
        <v>10.5049332559489</v>
      </c>
      <c r="M144" s="11">
        <v>12.3449319501777</v>
      </c>
      <c r="N144" s="11">
        <v>6.098</v>
      </c>
      <c r="O144" s="12"/>
      <c r="P144" s="11">
        <v>3.59033224921918</v>
      </c>
      <c r="Q144" s="13" t="s">
        <v>26</v>
      </c>
      <c r="S144" s="14">
        <v>0.64498</v>
      </c>
      <c r="T144" s="14">
        <v>0.289231718</v>
      </c>
      <c r="U144" s="14">
        <v>0.0403</v>
      </c>
    </row>
    <row r="145">
      <c r="A145" s="15" t="s">
        <v>48</v>
      </c>
      <c r="B145" s="16">
        <v>2015.0</v>
      </c>
      <c r="C145" s="16">
        <v>128.0</v>
      </c>
      <c r="D145" s="16">
        <v>4.332</v>
      </c>
      <c r="E145" s="16">
        <v>0.99355</v>
      </c>
      <c r="F145" s="16">
        <v>1.10464</v>
      </c>
      <c r="G145" s="16">
        <v>0.04776</v>
      </c>
      <c r="H145" s="16">
        <v>0.49495</v>
      </c>
      <c r="I145" s="16">
        <v>0.10461</v>
      </c>
      <c r="J145" s="16">
        <v>0.12474</v>
      </c>
      <c r="K145" s="16">
        <v>7.07999992370605</v>
      </c>
      <c r="L145" s="16">
        <v>1.34174299240112</v>
      </c>
      <c r="M145" s="16">
        <v>1.86523707181192</v>
      </c>
      <c r="N145" s="16">
        <v>3.07446026802063</v>
      </c>
      <c r="O145" s="12"/>
      <c r="P145" s="12"/>
      <c r="Q145" s="17" t="s">
        <v>28</v>
      </c>
      <c r="S145" s="14">
        <v>0.646</v>
      </c>
      <c r="T145" s="14">
        <v>0.28968069</v>
      </c>
      <c r="U145" s="14">
        <v>0.040903781</v>
      </c>
    </row>
    <row r="146">
      <c r="A146" s="10" t="s">
        <v>48</v>
      </c>
      <c r="B146" s="11">
        <v>2016.0</v>
      </c>
      <c r="C146" s="11">
        <v>137.0</v>
      </c>
      <c r="D146" s="11">
        <v>3.974</v>
      </c>
      <c r="E146" s="11">
        <v>1.09426</v>
      </c>
      <c r="F146" s="11">
        <v>0.89186</v>
      </c>
      <c r="G146" s="11">
        <v>0.34752</v>
      </c>
      <c r="H146" s="11">
        <v>0.44089</v>
      </c>
      <c r="I146" s="11">
        <v>0.12425</v>
      </c>
      <c r="J146" s="11">
        <v>0.10769</v>
      </c>
      <c r="K146" s="11">
        <v>8.42000007629394</v>
      </c>
      <c r="L146" s="11">
        <v>2.65673112869262</v>
      </c>
      <c r="M146" s="11">
        <v>11.9536070626646</v>
      </c>
      <c r="N146" s="11">
        <v>2.78448176383972</v>
      </c>
      <c r="O146" s="12"/>
      <c r="P146" s="12"/>
      <c r="Q146" s="13" t="s">
        <v>28</v>
      </c>
      <c r="S146" s="14">
        <v>0.649</v>
      </c>
      <c r="T146" s="14">
        <v>0.29091</v>
      </c>
      <c r="U146" s="14">
        <v>0.041</v>
      </c>
    </row>
    <row r="147">
      <c r="A147" s="15" t="s">
        <v>48</v>
      </c>
      <c r="B147" s="16">
        <v>2017.0</v>
      </c>
      <c r="C147" s="16">
        <v>142.0</v>
      </c>
      <c r="D147" s="16">
        <v>3.766000032</v>
      </c>
      <c r="E147" s="16">
        <v>1.122094154</v>
      </c>
      <c r="F147" s="16">
        <v>1.221554995</v>
      </c>
      <c r="G147" s="16">
        <v>0.341755509</v>
      </c>
      <c r="H147" s="16">
        <v>0.505196333</v>
      </c>
      <c r="I147" s="16">
        <v>0.099348448</v>
      </c>
      <c r="J147" s="16">
        <v>0.098583199</v>
      </c>
      <c r="K147" s="16">
        <v>9.52000045776367</v>
      </c>
      <c r="L147" s="16">
        <v>3.43354821205139</v>
      </c>
      <c r="M147" s="16">
        <v>2.61312669769008</v>
      </c>
      <c r="N147" s="16">
        <v>3.296</v>
      </c>
      <c r="O147" s="12"/>
      <c r="P147" s="12"/>
      <c r="Q147" s="17" t="s">
        <v>28</v>
      </c>
      <c r="S147" s="14">
        <v>0.65</v>
      </c>
      <c r="T147" s="14">
        <v>0.291</v>
      </c>
      <c r="U147" s="14">
        <v>0.041</v>
      </c>
    </row>
    <row r="148">
      <c r="A148" s="10" t="s">
        <v>48</v>
      </c>
      <c r="B148" s="11">
        <v>2018.0</v>
      </c>
      <c r="C148" s="11">
        <v>146.0</v>
      </c>
      <c r="D148" s="11">
        <v>3.59</v>
      </c>
      <c r="E148" s="11">
        <v>1.017</v>
      </c>
      <c r="F148" s="11">
        <v>1.174</v>
      </c>
      <c r="G148" s="11">
        <v>0.417</v>
      </c>
      <c r="H148" s="11">
        <v>0.557</v>
      </c>
      <c r="I148" s="11">
        <v>0.042</v>
      </c>
      <c r="J148" s="11">
        <v>0.092</v>
      </c>
      <c r="K148" s="11">
        <v>4.0470552444458</v>
      </c>
      <c r="L148" s="11">
        <v>-0.495458304882049</v>
      </c>
      <c r="M148" s="11">
        <v>1.16658458507756</v>
      </c>
      <c r="N148" s="11">
        <v>3.22</v>
      </c>
      <c r="O148" s="12"/>
      <c r="P148" s="12"/>
      <c r="Q148" s="13" t="s">
        <v>28</v>
      </c>
      <c r="S148" s="14">
        <v>0.651</v>
      </c>
      <c r="T148" s="14">
        <v>0.292</v>
      </c>
      <c r="U148" s="14">
        <v>0.041</v>
      </c>
    </row>
    <row r="149">
      <c r="A149" s="15" t="s">
        <v>48</v>
      </c>
      <c r="B149" s="16">
        <v>2019.0</v>
      </c>
      <c r="C149" s="16">
        <v>148.0</v>
      </c>
      <c r="D149" s="16">
        <v>3.488</v>
      </c>
      <c r="E149" s="16">
        <v>1.041</v>
      </c>
      <c r="F149" s="16">
        <v>1.145</v>
      </c>
      <c r="G149" s="16">
        <v>0.538</v>
      </c>
      <c r="H149" s="16">
        <v>0.455</v>
      </c>
      <c r="I149" s="16">
        <v>0.025</v>
      </c>
      <c r="J149" s="16">
        <v>0.1</v>
      </c>
      <c r="K149" s="16">
        <v>2.05028676986694</v>
      </c>
      <c r="L149" s="16">
        <v>1.39419090747833</v>
      </c>
      <c r="M149" s="16">
        <v>0.58315838581759</v>
      </c>
      <c r="N149" s="16">
        <v>2.84500002861022</v>
      </c>
      <c r="O149" s="12"/>
      <c r="P149" s="12"/>
      <c r="Q149" s="17" t="s">
        <v>28</v>
      </c>
      <c r="S149" s="14">
        <v>0.653</v>
      </c>
      <c r="T149" s="14">
        <v>0.292</v>
      </c>
      <c r="U149" s="14">
        <v>0.041237976</v>
      </c>
    </row>
    <row r="150">
      <c r="A150" s="10" t="s">
        <v>48</v>
      </c>
      <c r="B150" s="11">
        <v>2020.0</v>
      </c>
      <c r="C150" s="11">
        <v>147.0</v>
      </c>
      <c r="D150" s="11">
        <v>3.478899956</v>
      </c>
      <c r="E150" s="11">
        <v>0.997548997</v>
      </c>
      <c r="F150" s="11">
        <v>0.779121757</v>
      </c>
      <c r="G150" s="11">
        <v>58.92445374</v>
      </c>
      <c r="H150" s="11">
        <v>0.821328104</v>
      </c>
      <c r="I150" s="11">
        <v>-0.250394493</v>
      </c>
      <c r="J150" s="11">
        <v>0.777930915</v>
      </c>
      <c r="K150" s="11">
        <v>5.11781727986771</v>
      </c>
      <c r="L150" s="11">
        <v>3.73219847679138</v>
      </c>
      <c r="M150" s="11">
        <v>0.695732838589979</v>
      </c>
      <c r="N150" s="11">
        <v>1.89035916824217</v>
      </c>
      <c r="O150" s="12"/>
      <c r="P150" s="12"/>
      <c r="Q150" s="13" t="s">
        <v>28</v>
      </c>
      <c r="S150" s="14">
        <v>0.66</v>
      </c>
      <c r="T150" s="14">
        <v>0.292</v>
      </c>
      <c r="U150" s="14">
        <v>0.04127</v>
      </c>
    </row>
    <row r="151">
      <c r="A151" s="15" t="s">
        <v>48</v>
      </c>
      <c r="B151" s="16">
        <v>2021.0</v>
      </c>
      <c r="C151" s="16">
        <v>146.0</v>
      </c>
      <c r="D151" s="16">
        <v>3.467</v>
      </c>
      <c r="E151" s="16">
        <v>9.782</v>
      </c>
      <c r="F151" s="16">
        <v>0.784</v>
      </c>
      <c r="G151" s="16">
        <v>59.269</v>
      </c>
      <c r="H151" s="16">
        <v>0.824</v>
      </c>
      <c r="I151" s="16">
        <v>-0.246</v>
      </c>
      <c r="J151" s="16">
        <v>0.801</v>
      </c>
      <c r="K151" s="16">
        <v>6.41</v>
      </c>
      <c r="L151" s="16">
        <v>7.14</v>
      </c>
      <c r="M151" s="16">
        <v>2.52564089804232</v>
      </c>
      <c r="N151" s="16">
        <v>7.24097765588449</v>
      </c>
      <c r="O151" s="12"/>
      <c r="P151" s="12"/>
      <c r="Q151" s="17" t="s">
        <v>28</v>
      </c>
      <c r="S151" s="14">
        <v>0.66062</v>
      </c>
      <c r="T151" s="14">
        <v>0.293</v>
      </c>
      <c r="U151" s="14">
        <v>0.042</v>
      </c>
    </row>
    <row r="152">
      <c r="A152" s="10" t="s">
        <v>48</v>
      </c>
      <c r="B152" s="11">
        <v>2023.0</v>
      </c>
      <c r="C152" s="11">
        <v>132.0</v>
      </c>
      <c r="D152" s="11">
        <v>3.435</v>
      </c>
      <c r="E152" s="11">
        <v>9.629</v>
      </c>
      <c r="F152" s="11">
        <v>0.753</v>
      </c>
      <c r="G152" s="11">
        <v>54.725</v>
      </c>
      <c r="H152" s="11">
        <v>0.742</v>
      </c>
      <c r="I152" s="11">
        <v>-0.215</v>
      </c>
      <c r="J152" s="11">
        <v>0.83</v>
      </c>
      <c r="K152" s="11">
        <v>0.847955692912076</v>
      </c>
      <c r="L152" s="11">
        <v>11.702224586959</v>
      </c>
      <c r="M152" s="11">
        <v>2.25188109680687</v>
      </c>
      <c r="N152" s="11">
        <v>5.0676154934383</v>
      </c>
      <c r="O152" s="12"/>
      <c r="P152" s="12"/>
      <c r="Q152" s="13" t="s">
        <v>28</v>
      </c>
      <c r="S152" s="14">
        <v>0.663</v>
      </c>
      <c r="T152" s="14">
        <v>0.295</v>
      </c>
      <c r="U152" s="14">
        <v>0.042</v>
      </c>
    </row>
    <row r="153">
      <c r="A153" s="15" t="s">
        <v>49</v>
      </c>
      <c r="B153" s="16">
        <v>2015.0</v>
      </c>
      <c r="C153" s="16">
        <v>16.0</v>
      </c>
      <c r="D153" s="16">
        <v>6.983</v>
      </c>
      <c r="E153" s="16">
        <v>0.98124</v>
      </c>
      <c r="F153" s="16">
        <v>1.23287</v>
      </c>
      <c r="G153" s="16">
        <v>0.69702</v>
      </c>
      <c r="H153" s="16">
        <v>0.49049</v>
      </c>
      <c r="I153" s="16">
        <v>0.14574</v>
      </c>
      <c r="J153" s="16">
        <v>0.17521</v>
      </c>
      <c r="K153" s="16">
        <v>16.7592811584472</v>
      </c>
      <c r="L153" s="16">
        <v>9.79537963867187</v>
      </c>
      <c r="M153" s="16">
        <v>7.56617501207115</v>
      </c>
      <c r="N153" s="16">
        <v>9.02980422973632</v>
      </c>
      <c r="O153" s="16">
        <v>8.60961055755615</v>
      </c>
      <c r="P153" s="16">
        <v>5.98303365707397</v>
      </c>
      <c r="Q153" s="17" t="s">
        <v>32</v>
      </c>
      <c r="S153" s="14">
        <v>0.66366</v>
      </c>
      <c r="T153" s="14">
        <v>0.29507</v>
      </c>
      <c r="U153" s="14">
        <v>0.04212</v>
      </c>
    </row>
    <row r="154">
      <c r="A154" s="10" t="s">
        <v>49</v>
      </c>
      <c r="B154" s="11">
        <v>2016.0</v>
      </c>
      <c r="C154" s="11">
        <v>17.0</v>
      </c>
      <c r="D154" s="11">
        <v>6.952</v>
      </c>
      <c r="E154" s="11">
        <v>1.08754</v>
      </c>
      <c r="F154" s="11">
        <v>1.03938</v>
      </c>
      <c r="G154" s="11">
        <v>0.61415</v>
      </c>
      <c r="H154" s="11">
        <v>0.40425</v>
      </c>
      <c r="I154" s="11">
        <v>0.15776</v>
      </c>
      <c r="J154" s="11">
        <v>0.14166</v>
      </c>
      <c r="K154" s="11">
        <v>7.22377777099609</v>
      </c>
      <c r="L154" s="11">
        <v>12.4864749908447</v>
      </c>
      <c r="M154" s="11">
        <v>8.10360435870245</v>
      </c>
      <c r="N154" s="11">
        <v>8.73912811279296</v>
      </c>
      <c r="O154" s="11">
        <v>7.61499452590942</v>
      </c>
      <c r="P154" s="11">
        <v>3.91396737098693</v>
      </c>
      <c r="Q154" s="13" t="s">
        <v>32</v>
      </c>
      <c r="S154" s="14">
        <v>0.666</v>
      </c>
      <c r="T154" s="14">
        <v>0.295400262</v>
      </c>
      <c r="U154" s="14">
        <v>0.042181555</v>
      </c>
    </row>
    <row r="155">
      <c r="A155" s="15" t="s">
        <v>49</v>
      </c>
      <c r="B155" s="16">
        <v>2017.0</v>
      </c>
      <c r="C155" s="16">
        <v>22.0</v>
      </c>
      <c r="D155" s="16">
        <v>6.635000229</v>
      </c>
      <c r="E155" s="16">
        <v>1.10735321</v>
      </c>
      <c r="F155" s="16">
        <v>1.431306005</v>
      </c>
      <c r="G155" s="16">
        <v>0.616552353</v>
      </c>
      <c r="H155" s="16">
        <v>0.437453747</v>
      </c>
      <c r="I155" s="16">
        <v>0.162349895</v>
      </c>
      <c r="J155" s="16">
        <v>0.111092761</v>
      </c>
      <c r="K155" s="16">
        <v>4.23405933380126</v>
      </c>
      <c r="L155" s="16">
        <v>0.885738670825958</v>
      </c>
      <c r="M155" s="16">
        <v>3.63738088286291</v>
      </c>
      <c r="N155" s="16">
        <v>3.446</v>
      </c>
      <c r="O155" s="16">
        <v>4.46668100357055</v>
      </c>
      <c r="P155" s="16">
        <v>2.62968683242797</v>
      </c>
      <c r="Q155" s="17" t="s">
        <v>32</v>
      </c>
      <c r="S155" s="14">
        <v>0.66801</v>
      </c>
      <c r="T155" s="14">
        <v>0.295817465</v>
      </c>
      <c r="U155" s="14">
        <v>0.04294</v>
      </c>
    </row>
    <row r="156">
      <c r="A156" s="10" t="s">
        <v>49</v>
      </c>
      <c r="B156" s="11">
        <v>2018.0</v>
      </c>
      <c r="C156" s="11">
        <v>28.0</v>
      </c>
      <c r="D156" s="11">
        <v>6.419</v>
      </c>
      <c r="E156" s="11">
        <v>0.986</v>
      </c>
      <c r="F156" s="11">
        <v>1.474</v>
      </c>
      <c r="G156" s="11">
        <v>0.675</v>
      </c>
      <c r="H156" s="11">
        <v>0.493</v>
      </c>
      <c r="I156" s="11">
        <v>0.11</v>
      </c>
      <c r="J156" s="11">
        <v>0.088</v>
      </c>
      <c r="K156" s="11">
        <v>5.82613801956176</v>
      </c>
      <c r="L156" s="11">
        <v>0.870466172695159</v>
      </c>
      <c r="M156" s="11">
        <v>3.28543989750865</v>
      </c>
      <c r="N156" s="11">
        <v>3.66</v>
      </c>
      <c r="O156" s="11">
        <v>3.28438711166381</v>
      </c>
      <c r="P156" s="11">
        <v>11.277132987976</v>
      </c>
      <c r="Q156" s="13" t="s">
        <v>32</v>
      </c>
      <c r="S156" s="14">
        <v>0.668195903</v>
      </c>
      <c r="T156" s="14">
        <v>0.296</v>
      </c>
      <c r="U156" s="14">
        <v>0.043</v>
      </c>
    </row>
    <row r="157">
      <c r="A157" s="15" t="s">
        <v>49</v>
      </c>
      <c r="B157" s="16">
        <v>2019.0</v>
      </c>
      <c r="C157" s="16">
        <v>32.0</v>
      </c>
      <c r="D157" s="16">
        <v>6.3</v>
      </c>
      <c r="E157" s="16">
        <v>1.004</v>
      </c>
      <c r="F157" s="16">
        <v>1.439</v>
      </c>
      <c r="G157" s="16">
        <v>0.802</v>
      </c>
      <c r="H157" s="16">
        <v>0.39</v>
      </c>
      <c r="I157" s="16">
        <v>0.099</v>
      </c>
      <c r="J157" s="16">
        <v>0.086</v>
      </c>
      <c r="K157" s="16">
        <v>4.77826404571533</v>
      </c>
      <c r="L157" s="16">
        <v>4.85735082626342</v>
      </c>
      <c r="M157" s="16">
        <v>4.15427431602913</v>
      </c>
      <c r="N157" s="16">
        <v>3.73300004005432</v>
      </c>
      <c r="O157" s="16">
        <v>3.51549768447876</v>
      </c>
      <c r="P157" s="16">
        <v>29.1699771881103</v>
      </c>
      <c r="Q157" s="17" t="s">
        <v>32</v>
      </c>
      <c r="S157" s="14">
        <v>0.671</v>
      </c>
      <c r="T157" s="14">
        <v>0.29671</v>
      </c>
      <c r="U157" s="14">
        <v>0.043</v>
      </c>
    </row>
    <row r="158">
      <c r="A158" s="10" t="s">
        <v>49</v>
      </c>
      <c r="B158" s="11">
        <v>2020.0</v>
      </c>
      <c r="C158" s="11">
        <v>32.0</v>
      </c>
      <c r="D158" s="11">
        <v>6.375599861</v>
      </c>
      <c r="E158" s="11">
        <v>0.952679873</v>
      </c>
      <c r="F158" s="11">
        <v>0.896723807</v>
      </c>
      <c r="G158" s="11">
        <v>66.48016357</v>
      </c>
      <c r="H158" s="11">
        <v>0.799804807</v>
      </c>
      <c r="I158" s="11">
        <v>-0.101812392</v>
      </c>
      <c r="J158" s="11">
        <v>0.770601273</v>
      </c>
      <c r="K158" s="11">
        <v>2.33821082115173</v>
      </c>
      <c r="L158" s="11">
        <v>9.07015037536621</v>
      </c>
      <c r="M158" s="11">
        <v>4.80536973967317</v>
      </c>
      <c r="N158" s="11">
        <v>3.21176803803351</v>
      </c>
      <c r="O158" s="11">
        <v>2.23251509666442</v>
      </c>
      <c r="P158" s="11">
        <v>17.8303890228271</v>
      </c>
      <c r="Q158" s="13" t="s">
        <v>32</v>
      </c>
      <c r="S158" s="14">
        <v>0.671070457</v>
      </c>
      <c r="T158" s="14">
        <v>0.3007406</v>
      </c>
      <c r="U158" s="14">
        <v>0.04310311</v>
      </c>
    </row>
    <row r="159">
      <c r="A159" s="15" t="s">
        <v>49</v>
      </c>
      <c r="B159" s="16">
        <v>2021.0</v>
      </c>
      <c r="C159" s="16">
        <v>35.0</v>
      </c>
      <c r="D159" s="16">
        <v>6.33</v>
      </c>
      <c r="E159" s="16">
        <v>9.577</v>
      </c>
      <c r="F159" s="16">
        <v>0.882</v>
      </c>
      <c r="G159" s="16">
        <v>66.601</v>
      </c>
      <c r="H159" s="16">
        <v>0.804</v>
      </c>
      <c r="I159" s="16">
        <v>-0.071</v>
      </c>
      <c r="J159" s="16">
        <v>0.756</v>
      </c>
      <c r="K159" s="16">
        <v>9.57576288330342</v>
      </c>
      <c r="L159" s="16">
        <v>12.7179795713302</v>
      </c>
      <c r="M159" s="16">
        <v>11.0963704317785</v>
      </c>
      <c r="N159" s="16">
        <v>8.30166</v>
      </c>
      <c r="O159" s="16">
        <v>5.0956229606527</v>
      </c>
      <c r="P159" s="16">
        <v>35.4131195677052</v>
      </c>
      <c r="Q159" s="17" t="s">
        <v>32</v>
      </c>
      <c r="S159" s="14">
        <v>0.672</v>
      </c>
      <c r="T159" s="14">
        <v>0.304</v>
      </c>
      <c r="U159" s="14">
        <v>0.043289777</v>
      </c>
    </row>
    <row r="160">
      <c r="A160" s="10" t="s">
        <v>49</v>
      </c>
      <c r="B160" s="11">
        <v>2022.0</v>
      </c>
      <c r="C160" s="11">
        <v>38.0</v>
      </c>
      <c r="D160" s="11">
        <v>6.293</v>
      </c>
      <c r="E160" s="11">
        <v>1.462</v>
      </c>
      <c r="F160" s="11">
        <v>1.044</v>
      </c>
      <c r="G160" s="11">
        <v>0.615</v>
      </c>
      <c r="H160" s="11">
        <v>0.546</v>
      </c>
      <c r="I160" s="11">
        <v>0.131</v>
      </c>
      <c r="J160" s="11">
        <v>0.134</v>
      </c>
      <c r="K160" s="11">
        <v>48.6718601105393</v>
      </c>
      <c r="L160" s="11">
        <v>11.5013401130016</v>
      </c>
      <c r="M160" s="11">
        <v>7.64956173764341</v>
      </c>
      <c r="N160" s="11">
        <v>9.280107</v>
      </c>
      <c r="O160" s="11">
        <v>8.75951830394985</v>
      </c>
      <c r="P160" s="11">
        <v>14.1134728107933</v>
      </c>
      <c r="Q160" s="13" t="s">
        <v>32</v>
      </c>
      <c r="S160" s="14">
        <v>0.672</v>
      </c>
      <c r="T160" s="14">
        <v>0.305</v>
      </c>
      <c r="U160" s="14">
        <v>0.04339</v>
      </c>
    </row>
    <row r="161">
      <c r="A161" s="15" t="s">
        <v>49</v>
      </c>
      <c r="B161" s="16">
        <v>2023.0</v>
      </c>
      <c r="C161" s="16">
        <v>49.0</v>
      </c>
      <c r="D161" s="16">
        <v>6.125</v>
      </c>
      <c r="E161" s="16">
        <v>9.582</v>
      </c>
      <c r="F161" s="16">
        <v>0.836</v>
      </c>
      <c r="G161" s="16">
        <v>65.749</v>
      </c>
      <c r="H161" s="16">
        <v>0.801</v>
      </c>
      <c r="I161" s="16">
        <v>-0.009</v>
      </c>
      <c r="J161" s="16">
        <v>0.738</v>
      </c>
      <c r="K161" s="16">
        <v>-6.64573709272816</v>
      </c>
      <c r="L161" s="16">
        <v>3.9875029875702</v>
      </c>
      <c r="M161" s="16">
        <v>4.68889967016266</v>
      </c>
      <c r="N161" s="16">
        <v>4.59356282283204</v>
      </c>
      <c r="O161" s="16">
        <v>6.54504966249739</v>
      </c>
      <c r="P161" s="12"/>
      <c r="Q161" s="17" t="s">
        <v>32</v>
      </c>
      <c r="S161" s="14">
        <v>0.67269069</v>
      </c>
      <c r="T161" s="14">
        <v>0.30587</v>
      </c>
      <c r="U161" s="14">
        <v>0.04355</v>
      </c>
    </row>
    <row r="162">
      <c r="A162" s="10" t="s">
        <v>50</v>
      </c>
      <c r="B162" s="11">
        <v>2015.0</v>
      </c>
      <c r="C162" s="11">
        <v>134.0</v>
      </c>
      <c r="D162" s="11">
        <v>4.218</v>
      </c>
      <c r="E162" s="11">
        <v>1.01216</v>
      </c>
      <c r="F162" s="11">
        <v>1.10614</v>
      </c>
      <c r="G162" s="11">
        <v>0.76649</v>
      </c>
      <c r="H162" s="11">
        <v>0.30587</v>
      </c>
      <c r="I162" s="11">
        <v>0.11921</v>
      </c>
      <c r="J162" s="11">
        <v>0.00872</v>
      </c>
      <c r="K162" s="11">
        <v>3.41559720039367</v>
      </c>
      <c r="L162" s="11">
        <v>0.325199663639068</v>
      </c>
      <c r="M162" s="11">
        <v>2.44222258646123</v>
      </c>
      <c r="N162" s="11">
        <v>-0.0978970229625701</v>
      </c>
      <c r="O162" s="11">
        <v>1.615689462453</v>
      </c>
      <c r="P162" s="11">
        <v>-1.97696185111999</v>
      </c>
      <c r="Q162" s="13" t="s">
        <v>26</v>
      </c>
      <c r="S162" s="14">
        <v>0.67954</v>
      </c>
      <c r="T162" s="14">
        <v>0.30658</v>
      </c>
      <c r="U162" s="14">
        <v>0.044</v>
      </c>
    </row>
    <row r="163">
      <c r="A163" s="15" t="s">
        <v>50</v>
      </c>
      <c r="B163" s="16">
        <v>2016.0</v>
      </c>
      <c r="C163" s="16">
        <v>129.0</v>
      </c>
      <c r="D163" s="16">
        <v>4.217</v>
      </c>
      <c r="E163" s="16">
        <v>1.11306</v>
      </c>
      <c r="F163" s="16">
        <v>0.92542</v>
      </c>
      <c r="G163" s="16">
        <v>0.67806</v>
      </c>
      <c r="H163" s="16">
        <v>0.21219</v>
      </c>
      <c r="I163" s="16">
        <v>0.12793</v>
      </c>
      <c r="J163" s="16">
        <v>0.00615</v>
      </c>
      <c r="K163" s="16">
        <v>0.0284441001713275</v>
      </c>
      <c r="L163" s="16">
        <v>-0.233440205454826</v>
      </c>
      <c r="M163" s="16">
        <v>2.53799999999999</v>
      </c>
      <c r="N163" s="16">
        <v>-0.795259118080139</v>
      </c>
      <c r="O163" s="16">
        <v>2.01999999999999</v>
      </c>
      <c r="P163" s="16">
        <v>-3.10859370231628</v>
      </c>
      <c r="Q163" s="17" t="s">
        <v>26</v>
      </c>
      <c r="S163" s="14">
        <v>0.682</v>
      </c>
      <c r="T163" s="14">
        <v>0.306613743</v>
      </c>
      <c r="U163" s="14">
        <v>0.04472</v>
      </c>
    </row>
    <row r="164">
      <c r="A164" s="10" t="s">
        <v>50</v>
      </c>
      <c r="B164" s="11">
        <v>2017.0</v>
      </c>
      <c r="C164" s="11">
        <v>105.0</v>
      </c>
      <c r="D164" s="11">
        <v>4.714000225</v>
      </c>
      <c r="E164" s="11">
        <v>1.161459088</v>
      </c>
      <c r="F164" s="11">
        <v>1.434379458</v>
      </c>
      <c r="G164" s="11">
        <v>0.70821768</v>
      </c>
      <c r="H164" s="11">
        <v>0.289231718</v>
      </c>
      <c r="I164" s="11">
        <v>0.113177694</v>
      </c>
      <c r="J164" s="11">
        <v>0.011051531</v>
      </c>
      <c r="K164" s="11">
        <v>3.17585158348083</v>
      </c>
      <c r="L164" s="11">
        <v>3.98757052421569</v>
      </c>
      <c r="M164" s="11">
        <v>3.94195322709629</v>
      </c>
      <c r="N164" s="11">
        <v>1.188</v>
      </c>
      <c r="O164" s="11">
        <v>1.58792393648304</v>
      </c>
      <c r="P164" s="11">
        <v>4.98021936416626</v>
      </c>
      <c r="Q164" s="13" t="s">
        <v>26</v>
      </c>
      <c r="S164" s="14">
        <v>0.686</v>
      </c>
      <c r="T164" s="14">
        <v>0.30685</v>
      </c>
      <c r="U164" s="14">
        <v>0.045</v>
      </c>
    </row>
    <row r="165">
      <c r="A165" s="15" t="s">
        <v>50</v>
      </c>
      <c r="B165" s="16">
        <v>2018.0</v>
      </c>
      <c r="C165" s="16">
        <v>100.0</v>
      </c>
      <c r="D165" s="16">
        <v>4.933</v>
      </c>
      <c r="E165" s="16">
        <v>1.054</v>
      </c>
      <c r="F165" s="16">
        <v>1.515</v>
      </c>
      <c r="G165" s="16">
        <v>0.712</v>
      </c>
      <c r="H165" s="16">
        <v>0.359</v>
      </c>
      <c r="I165" s="16">
        <v>0.064</v>
      </c>
      <c r="J165" s="16">
        <v>0.009</v>
      </c>
      <c r="K165" s="16">
        <v>4.59428644180297</v>
      </c>
      <c r="L165" s="16">
        <v>2.19681644439697</v>
      </c>
      <c r="M165" s="16">
        <v>4.01294802026646</v>
      </c>
      <c r="N165" s="16">
        <v>2.81</v>
      </c>
      <c r="O165" s="16">
        <v>1.60169818602855</v>
      </c>
      <c r="P165" s="16">
        <v>3.94919896125793</v>
      </c>
      <c r="Q165" s="17" t="s">
        <v>26</v>
      </c>
      <c r="S165" s="14">
        <v>0.686</v>
      </c>
      <c r="T165" s="14">
        <v>0.307</v>
      </c>
      <c r="U165" s="14">
        <v>0.045128979</v>
      </c>
    </row>
    <row r="166">
      <c r="A166" s="10" t="s">
        <v>50</v>
      </c>
      <c r="B166" s="11">
        <v>2019.0</v>
      </c>
      <c r="C166" s="11">
        <v>97.0</v>
      </c>
      <c r="D166" s="11">
        <v>5.011</v>
      </c>
      <c r="E166" s="11">
        <v>1.092</v>
      </c>
      <c r="F166" s="11">
        <v>1.513</v>
      </c>
      <c r="G166" s="11">
        <v>0.815</v>
      </c>
      <c r="H166" s="11">
        <v>0.311</v>
      </c>
      <c r="I166" s="11">
        <v>0.081</v>
      </c>
      <c r="J166" s="11">
        <v>0.004</v>
      </c>
      <c r="K166" s="11">
        <v>3.89834070205688</v>
      </c>
      <c r="L166" s="11">
        <v>5.19020271301269</v>
      </c>
      <c r="M166" s="11">
        <v>5.25000676547264</v>
      </c>
      <c r="N166" s="11">
        <v>2.45700001716613</v>
      </c>
      <c r="O166" s="11">
        <v>1.54795821462489</v>
      </c>
      <c r="P166" s="11">
        <v>3.07401394844055</v>
      </c>
      <c r="Q166" s="13" t="s">
        <v>26</v>
      </c>
      <c r="S166" s="14">
        <v>0.68655</v>
      </c>
      <c r="T166" s="14">
        <v>0.309</v>
      </c>
      <c r="U166" s="14">
        <v>0.04582</v>
      </c>
    </row>
    <row r="167">
      <c r="A167" s="15" t="s">
        <v>50</v>
      </c>
      <c r="B167" s="16">
        <v>2020.0</v>
      </c>
      <c r="C167" s="16">
        <v>96.0</v>
      </c>
      <c r="D167" s="16">
        <v>5.101500034</v>
      </c>
      <c r="E167" s="16">
        <v>1.046554685</v>
      </c>
      <c r="F167" s="16">
        <v>0.937840343</v>
      </c>
      <c r="G167" s="16">
        <v>66.80397797</v>
      </c>
      <c r="H167" s="16">
        <v>0.745178163</v>
      </c>
      <c r="I167" s="16">
        <v>-0.143908441</v>
      </c>
      <c r="J167" s="16">
        <v>0.935585141</v>
      </c>
      <c r="K167" s="16">
        <v>0.99283779364834</v>
      </c>
      <c r="L167" s="16">
        <v>5.36503744125366</v>
      </c>
      <c r="M167" s="16">
        <v>2.0192497235959</v>
      </c>
      <c r="N167" s="16">
        <v>1.67341201429181</v>
      </c>
      <c r="O167" s="16">
        <v>1.49630599457588</v>
      </c>
      <c r="P167" s="16">
        <v>-1.90410644643309</v>
      </c>
      <c r="Q167" s="17" t="s">
        <v>26</v>
      </c>
      <c r="S167" s="14">
        <v>0.687292993</v>
      </c>
      <c r="T167" s="14">
        <v>0.309410036</v>
      </c>
      <c r="U167" s="14">
        <v>0.046</v>
      </c>
    </row>
    <row r="168">
      <c r="A168" s="10" t="s">
        <v>50</v>
      </c>
      <c r="B168" s="11">
        <v>2021.0</v>
      </c>
      <c r="C168" s="11">
        <v>88.0</v>
      </c>
      <c r="D168" s="11">
        <v>5.266</v>
      </c>
      <c r="E168" s="11">
        <v>10.016</v>
      </c>
      <c r="F168" s="11">
        <v>0.931</v>
      </c>
      <c r="G168" s="11">
        <v>67.0</v>
      </c>
      <c r="H168" s="11">
        <v>0.788</v>
      </c>
      <c r="I168" s="11">
        <v>-0.096</v>
      </c>
      <c r="J168" s="11">
        <v>0.932</v>
      </c>
      <c r="K168" s="11">
        <v>10.6</v>
      </c>
      <c r="L168" s="11">
        <v>2.77</v>
      </c>
      <c r="M168" s="11">
        <v>7.13268178883161</v>
      </c>
      <c r="N168" s="11">
        <v>2.78673254979004</v>
      </c>
      <c r="O168" s="11">
        <v>1.3913203722473</v>
      </c>
      <c r="P168" s="11">
        <v>15.2946679139382</v>
      </c>
      <c r="Q168" s="13" t="s">
        <v>26</v>
      </c>
      <c r="S168" s="14">
        <v>0.688</v>
      </c>
      <c r="T168" s="14">
        <v>0.30953</v>
      </c>
      <c r="U168" s="14">
        <v>0.046</v>
      </c>
    </row>
    <row r="169">
      <c r="A169" s="15" t="s">
        <v>50</v>
      </c>
      <c r="B169" s="16">
        <v>2022.0</v>
      </c>
      <c r="C169" s="16">
        <v>85.0</v>
      </c>
      <c r="D169" s="16">
        <v>5.371</v>
      </c>
      <c r="E169" s="16">
        <v>1.625</v>
      </c>
      <c r="F169" s="16">
        <v>1.163</v>
      </c>
      <c r="G169" s="16">
        <v>0.64</v>
      </c>
      <c r="H169" s="16">
        <v>0.563</v>
      </c>
      <c r="I169" s="16">
        <v>0.123</v>
      </c>
      <c r="J169" s="16">
        <v>0.021</v>
      </c>
      <c r="K169" s="16">
        <v>19.5525780284521</v>
      </c>
      <c r="L169" s="16">
        <v>20.1932561497528</v>
      </c>
      <c r="M169" s="16">
        <v>15.0937814442003</v>
      </c>
      <c r="N169" s="16">
        <v>15.3252589264366</v>
      </c>
      <c r="O169" s="16">
        <v>10.383880546625</v>
      </c>
      <c r="P169" s="16">
        <v>37.8431372549023</v>
      </c>
      <c r="Q169" s="17" t="s">
        <v>26</v>
      </c>
      <c r="S169" s="14">
        <v>0.688</v>
      </c>
      <c r="T169" s="14">
        <v>0.31048</v>
      </c>
      <c r="U169" s="14">
        <v>0.046668742</v>
      </c>
    </row>
    <row r="170">
      <c r="A170" s="10" t="s">
        <v>50</v>
      </c>
      <c r="B170" s="11">
        <v>2023.0</v>
      </c>
      <c r="C170" s="11">
        <v>77.0</v>
      </c>
      <c r="D170" s="11">
        <v>5.466</v>
      </c>
      <c r="E170" s="11">
        <v>10.087</v>
      </c>
      <c r="F170" s="11">
        <v>0.918</v>
      </c>
      <c r="G170" s="11">
        <v>66.5</v>
      </c>
      <c r="H170" s="11">
        <v>0.801</v>
      </c>
      <c r="I170" s="11">
        <v>-0.057</v>
      </c>
      <c r="J170" s="11">
        <v>0.911</v>
      </c>
      <c r="K170" s="11">
        <v>7.70722204513021</v>
      </c>
      <c r="L170" s="11">
        <v>13.6925183769562</v>
      </c>
      <c r="M170" s="11">
        <v>8.187443094286</v>
      </c>
      <c r="N170" s="11">
        <v>9.44284140088564</v>
      </c>
      <c r="O170" s="11">
        <v>9.84985402474629</v>
      </c>
      <c r="P170" s="11">
        <v>-9.19703732770885</v>
      </c>
      <c r="Q170" s="13" t="s">
        <v>26</v>
      </c>
      <c r="S170" s="14">
        <v>0.688718557</v>
      </c>
      <c r="T170" s="14">
        <v>0.31056</v>
      </c>
      <c r="U170" s="14">
        <v>0.047</v>
      </c>
    </row>
    <row r="171">
      <c r="A171" s="15" t="s">
        <v>51</v>
      </c>
      <c r="B171" s="16">
        <v>2015.0</v>
      </c>
      <c r="C171" s="16">
        <v>152.0</v>
      </c>
      <c r="D171" s="16">
        <v>3.587</v>
      </c>
      <c r="E171" s="16">
        <v>0.25812</v>
      </c>
      <c r="F171" s="16">
        <v>0.85188</v>
      </c>
      <c r="G171" s="16">
        <v>0.27125</v>
      </c>
      <c r="H171" s="16">
        <v>0.39493</v>
      </c>
      <c r="I171" s="16">
        <v>0.21747</v>
      </c>
      <c r="J171" s="16">
        <v>0.12832</v>
      </c>
      <c r="K171" s="16">
        <v>3.054524</v>
      </c>
      <c r="L171" s="16">
        <v>2.40511775016784</v>
      </c>
      <c r="M171" s="16">
        <v>-2.22439501344415</v>
      </c>
      <c r="N171" s="16">
        <v>0.949999988079071</v>
      </c>
      <c r="O171" s="12"/>
      <c r="P171" s="12"/>
      <c r="Q171" s="12"/>
      <c r="S171" s="14">
        <v>0.688933194</v>
      </c>
      <c r="T171" s="14">
        <v>0.311</v>
      </c>
      <c r="U171" s="14">
        <v>0.047</v>
      </c>
    </row>
    <row r="172">
      <c r="A172" s="10" t="s">
        <v>51</v>
      </c>
      <c r="B172" s="11">
        <v>2016.0</v>
      </c>
      <c r="C172" s="11">
        <v>145.0</v>
      </c>
      <c r="D172" s="11">
        <v>3.739</v>
      </c>
      <c r="E172" s="11">
        <v>0.31995</v>
      </c>
      <c r="F172" s="11">
        <v>0.63054</v>
      </c>
      <c r="G172" s="11">
        <v>0.21297</v>
      </c>
      <c r="H172" s="11">
        <v>0.3337</v>
      </c>
      <c r="I172" s="11">
        <v>0.24353</v>
      </c>
      <c r="J172" s="11">
        <v>0.12533</v>
      </c>
      <c r="K172" s="11">
        <v>0.661531209945678</v>
      </c>
      <c r="L172" s="11">
        <v>0.962437987327575</v>
      </c>
      <c r="M172" s="11">
        <v>2.51699999999999</v>
      </c>
      <c r="N172" s="11">
        <v>-0.239999994635581</v>
      </c>
      <c r="O172" s="12"/>
      <c r="P172" s="12"/>
      <c r="Q172" s="12"/>
      <c r="S172" s="14">
        <v>0.689062297</v>
      </c>
      <c r="T172" s="14">
        <v>0.312</v>
      </c>
      <c r="U172" s="14">
        <v>0.047049087</v>
      </c>
    </row>
    <row r="173">
      <c r="A173" s="15" t="s">
        <v>51</v>
      </c>
      <c r="B173" s="16">
        <v>2017.0</v>
      </c>
      <c r="C173" s="16">
        <v>134.0</v>
      </c>
      <c r="D173" s="16">
        <v>4.032000065</v>
      </c>
      <c r="E173" s="16">
        <v>0.350227714</v>
      </c>
      <c r="F173" s="16">
        <v>1.043280005</v>
      </c>
      <c r="G173" s="16">
        <v>0.215844259</v>
      </c>
      <c r="H173" s="16">
        <v>0.324367851</v>
      </c>
      <c r="I173" s="16">
        <v>0.250864685</v>
      </c>
      <c r="J173" s="16">
        <v>0.120328106</v>
      </c>
      <c r="K173" s="16">
        <v>-0.348630666732788</v>
      </c>
      <c r="L173" s="16">
        <v>0.426833599805831</v>
      </c>
      <c r="M173" s="16">
        <v>2.00064379566316</v>
      </c>
      <c r="N173" s="16">
        <v>0.351</v>
      </c>
      <c r="O173" s="12"/>
      <c r="P173" s="12"/>
      <c r="Q173" s="12"/>
      <c r="S173" s="14">
        <v>0.69</v>
      </c>
      <c r="T173" s="14">
        <v>0.312328577</v>
      </c>
      <c r="U173" s="14">
        <v>0.04741</v>
      </c>
    </row>
    <row r="174">
      <c r="A174" s="10" t="s">
        <v>51</v>
      </c>
      <c r="B174" s="11">
        <v>2018.0</v>
      </c>
      <c r="C174" s="11">
        <v>121.0</v>
      </c>
      <c r="D174" s="11">
        <v>4.424</v>
      </c>
      <c r="E174" s="11">
        <v>0.314</v>
      </c>
      <c r="F174" s="11">
        <v>1.097</v>
      </c>
      <c r="G174" s="11">
        <v>0.254</v>
      </c>
      <c r="H174" s="11">
        <v>0.312</v>
      </c>
      <c r="I174" s="11">
        <v>0.175</v>
      </c>
      <c r="J174" s="11">
        <v>0.128</v>
      </c>
      <c r="K174" s="11">
        <v>-0.7183482</v>
      </c>
      <c r="L174" s="11">
        <v>3.37285541034945</v>
      </c>
      <c r="M174" s="11">
        <v>2.37644403641649</v>
      </c>
      <c r="N174" s="11">
        <v>1.96</v>
      </c>
      <c r="O174" s="12"/>
      <c r="P174" s="12"/>
      <c r="Q174" s="12"/>
      <c r="S174" s="14">
        <v>0.69</v>
      </c>
      <c r="T174" s="14">
        <v>0.313</v>
      </c>
      <c r="U174" s="14">
        <v>0.04852</v>
      </c>
    </row>
    <row r="175">
      <c r="A175" s="15" t="s">
        <v>51</v>
      </c>
      <c r="B175" s="16">
        <v>2019.0</v>
      </c>
      <c r="C175" s="16">
        <v>115.0</v>
      </c>
      <c r="D175" s="16">
        <v>4.587</v>
      </c>
      <c r="E175" s="16">
        <v>0.331</v>
      </c>
      <c r="F175" s="16">
        <v>1.056</v>
      </c>
      <c r="G175" s="16">
        <v>0.38</v>
      </c>
      <c r="H175" s="16">
        <v>0.255</v>
      </c>
      <c r="I175" s="16">
        <v>0.177</v>
      </c>
      <c r="J175" s="16">
        <v>0.113</v>
      </c>
      <c r="K175" s="16">
        <v>1.40123033523559</v>
      </c>
      <c r="L175" s="16">
        <v>-6.43337392807006</v>
      </c>
      <c r="M175" s="16">
        <v>-2.98823947016898</v>
      </c>
      <c r="N175" s="16">
        <v>-3.23300004005432</v>
      </c>
      <c r="O175" s="12"/>
      <c r="P175" s="12"/>
      <c r="Q175" s="12"/>
      <c r="S175" s="14">
        <v>0.69</v>
      </c>
      <c r="T175" s="14">
        <v>0.313</v>
      </c>
      <c r="U175" s="14">
        <v>0.049</v>
      </c>
    </row>
    <row r="176">
      <c r="A176" s="10" t="s">
        <v>51</v>
      </c>
      <c r="B176" s="11">
        <v>2020.0</v>
      </c>
      <c r="C176" s="11">
        <v>112.0</v>
      </c>
      <c r="D176" s="11">
        <v>4.768700123</v>
      </c>
      <c r="E176" s="11">
        <v>0.302467644</v>
      </c>
      <c r="F176" s="11">
        <v>0.712943614</v>
      </c>
      <c r="G176" s="11">
        <v>53.88945389</v>
      </c>
      <c r="H176" s="11">
        <v>0.665563583</v>
      </c>
      <c r="I176" s="11">
        <v>-0.019080516</v>
      </c>
      <c r="J176" s="11">
        <v>0.739795029</v>
      </c>
      <c r="K176" s="11">
        <v>-1.48232418994649</v>
      </c>
      <c r="L176" s="11">
        <v>3.7644944190979</v>
      </c>
      <c r="M176" s="11">
        <v>2.24064552159762</v>
      </c>
      <c r="N176" s="11">
        <v>1.88443993781942</v>
      </c>
      <c r="O176" s="12"/>
      <c r="P176" s="12"/>
      <c r="Q176" s="12"/>
      <c r="S176" s="14">
        <v>0.691</v>
      </c>
      <c r="T176" s="14">
        <v>0.316</v>
      </c>
      <c r="U176" s="14">
        <v>0.04952</v>
      </c>
    </row>
    <row r="177">
      <c r="A177" s="15" t="s">
        <v>51</v>
      </c>
      <c r="B177" s="16">
        <v>2021.0</v>
      </c>
      <c r="C177" s="16">
        <v>113.0</v>
      </c>
      <c r="D177" s="16">
        <v>4.834</v>
      </c>
      <c r="E177" s="16">
        <v>7.678</v>
      </c>
      <c r="F177" s="16">
        <v>0.672</v>
      </c>
      <c r="G177" s="16">
        <v>54.151</v>
      </c>
      <c r="H177" s="16">
        <v>0.695</v>
      </c>
      <c r="I177" s="16">
        <v>-0.009</v>
      </c>
      <c r="J177" s="16">
        <v>0.748</v>
      </c>
      <c r="K177" s="16">
        <v>1.99</v>
      </c>
      <c r="L177" s="16">
        <v>6.82</v>
      </c>
      <c r="M177" s="16">
        <v>-0.816610098684612</v>
      </c>
      <c r="N177" s="16">
        <v>3.84799999999999</v>
      </c>
      <c r="O177" s="12"/>
      <c r="P177" s="12"/>
      <c r="Q177" s="12"/>
      <c r="S177" s="14">
        <v>0.692</v>
      </c>
      <c r="T177" s="14">
        <v>0.317</v>
      </c>
      <c r="U177" s="14">
        <v>0.05</v>
      </c>
    </row>
    <row r="178">
      <c r="A178" s="10" t="s">
        <v>51</v>
      </c>
      <c r="B178" s="11">
        <v>2022.0</v>
      </c>
      <c r="C178" s="11">
        <v>113.0</v>
      </c>
      <c r="D178" s="11">
        <v>4.67</v>
      </c>
      <c r="E178" s="11">
        <v>0.779</v>
      </c>
      <c r="F178" s="11">
        <v>0.565</v>
      </c>
      <c r="G178" s="11">
        <v>0.32</v>
      </c>
      <c r="H178" s="11">
        <v>0.382</v>
      </c>
      <c r="I178" s="11">
        <v>0.186</v>
      </c>
      <c r="J178" s="11">
        <v>0.126</v>
      </c>
      <c r="K178" s="11">
        <v>3.37549338826313</v>
      </c>
      <c r="L178" s="11">
        <v>25.1964980608569</v>
      </c>
      <c r="M178" s="11">
        <v>-0.81450341565949</v>
      </c>
      <c r="N178" s="11">
        <v>14.2902354303358</v>
      </c>
      <c r="O178" s="12"/>
      <c r="P178" s="12"/>
      <c r="Q178" s="12"/>
      <c r="S178" s="14">
        <v>0.693</v>
      </c>
      <c r="T178" s="14">
        <v>0.31751</v>
      </c>
      <c r="U178" s="14">
        <v>0.05</v>
      </c>
    </row>
    <row r="179">
      <c r="A179" s="15" t="s">
        <v>51</v>
      </c>
      <c r="B179" s="16">
        <v>2023.0</v>
      </c>
      <c r="C179" s="16">
        <v>104.0</v>
      </c>
      <c r="D179" s="16">
        <v>4.638</v>
      </c>
      <c r="E179" s="16">
        <v>7.667</v>
      </c>
      <c r="F179" s="16">
        <v>0.663</v>
      </c>
      <c r="G179" s="16">
        <v>55.461</v>
      </c>
      <c r="H179" s="16">
        <v>0.696</v>
      </c>
      <c r="I179" s="16">
        <v>0.095</v>
      </c>
      <c r="J179" s="16">
        <v>0.771</v>
      </c>
      <c r="K179" s="16">
        <v>9.8478358999961</v>
      </c>
      <c r="L179" s="16">
        <v>-1.37734660151442</v>
      </c>
      <c r="M179" s="16">
        <v>1.43367381000067</v>
      </c>
      <c r="N179" s="16">
        <v>0.742910428668841</v>
      </c>
      <c r="O179" s="12"/>
      <c r="P179" s="12"/>
      <c r="Q179" s="12"/>
      <c r="S179" s="14">
        <v>0.694</v>
      </c>
      <c r="T179" s="14">
        <v>0.3176</v>
      </c>
      <c r="U179" s="14">
        <v>0.05</v>
      </c>
    </row>
    <row r="180">
      <c r="A180" s="10" t="s">
        <v>52</v>
      </c>
      <c r="B180" s="11">
        <v>2015.0</v>
      </c>
      <c r="C180" s="11">
        <v>157.0</v>
      </c>
      <c r="D180" s="11">
        <v>2.905</v>
      </c>
      <c r="E180" s="11">
        <v>0.0153</v>
      </c>
      <c r="F180" s="11">
        <v>0.41587</v>
      </c>
      <c r="G180" s="11">
        <v>0.22396</v>
      </c>
      <c r="H180" s="11">
        <v>0.1185</v>
      </c>
      <c r="I180" s="11">
        <v>0.19727</v>
      </c>
      <c r="J180" s="11">
        <v>0.10062</v>
      </c>
      <c r="K180" s="11">
        <v>3.69000005722045</v>
      </c>
      <c r="L180" s="11">
        <v>5.78999996185302</v>
      </c>
      <c r="M180" s="11">
        <v>21.3340013188431</v>
      </c>
      <c r="N180" s="11">
        <v>5.53999996185302</v>
      </c>
      <c r="O180" s="12"/>
      <c r="P180" s="12"/>
      <c r="Q180" s="13" t="s">
        <v>28</v>
      </c>
      <c r="S180" s="14">
        <v>0.69699</v>
      </c>
      <c r="T180" s="14">
        <v>0.31767</v>
      </c>
      <c r="U180" s="14">
        <v>0.05</v>
      </c>
    </row>
    <row r="181">
      <c r="A181" s="15" t="s">
        <v>52</v>
      </c>
      <c r="B181" s="16">
        <v>2016.0</v>
      </c>
      <c r="C181" s="16">
        <v>157.0</v>
      </c>
      <c r="D181" s="16">
        <v>2.905</v>
      </c>
      <c r="E181" s="16">
        <v>0.06831</v>
      </c>
      <c r="F181" s="16">
        <v>0.23442</v>
      </c>
      <c r="G181" s="16">
        <v>0.15747</v>
      </c>
      <c r="H181" s="16">
        <v>0.0432</v>
      </c>
      <c r="I181" s="16">
        <v>0.2029</v>
      </c>
      <c r="J181" s="16">
        <v>0.09419</v>
      </c>
      <c r="K181" s="16">
        <v>0.970000028610229</v>
      </c>
      <c r="L181" s="16">
        <v>7.17999982833862</v>
      </c>
      <c r="M181" s="16">
        <v>0.960612081408534</v>
      </c>
      <c r="N181" s="16">
        <v>5.55999994277954</v>
      </c>
      <c r="O181" s="12"/>
      <c r="P181" s="12"/>
      <c r="Q181" s="17" t="s">
        <v>28</v>
      </c>
      <c r="S181" s="14">
        <v>0.697</v>
      </c>
      <c r="T181" s="14">
        <v>0.318</v>
      </c>
      <c r="U181" s="14">
        <v>0.05099</v>
      </c>
    </row>
    <row r="182">
      <c r="A182" s="10" t="s">
        <v>52</v>
      </c>
      <c r="B182" s="11">
        <v>2017.0</v>
      </c>
      <c r="C182" s="11">
        <v>154.0</v>
      </c>
      <c r="D182" s="11">
        <v>2.904999971</v>
      </c>
      <c r="E182" s="11">
        <v>0.091622569</v>
      </c>
      <c r="F182" s="11">
        <v>0.629793584</v>
      </c>
      <c r="G182" s="11">
        <v>0.151610792</v>
      </c>
      <c r="H182" s="11">
        <v>0.059900753</v>
      </c>
      <c r="I182" s="11">
        <v>0.204435185</v>
      </c>
      <c r="J182" s="11">
        <v>0.084147945</v>
      </c>
      <c r="K182" s="11">
        <v>7.4099998474121</v>
      </c>
      <c r="L182" s="11">
        <v>23.9599990844726</v>
      </c>
      <c r="M182" s="11">
        <v>11.4491249043109</v>
      </c>
      <c r="N182" s="11">
        <v>16.643</v>
      </c>
      <c r="O182" s="12"/>
      <c r="P182" s="12"/>
      <c r="Q182" s="13" t="s">
        <v>28</v>
      </c>
      <c r="S182" s="14">
        <v>0.698</v>
      </c>
      <c r="T182" s="14">
        <v>0.31866</v>
      </c>
      <c r="U182" s="14">
        <v>0.051</v>
      </c>
    </row>
    <row r="183">
      <c r="A183" s="15" t="s">
        <v>52</v>
      </c>
      <c r="B183" s="16">
        <v>2018.0</v>
      </c>
      <c r="C183" s="16">
        <v>156.0</v>
      </c>
      <c r="D183" s="16">
        <v>2.905</v>
      </c>
      <c r="E183" s="16">
        <v>0.091</v>
      </c>
      <c r="F183" s="16">
        <v>0.627</v>
      </c>
      <c r="G183" s="16">
        <v>0.145</v>
      </c>
      <c r="H183" s="16">
        <v>0.065</v>
      </c>
      <c r="I183" s="16">
        <v>0.149</v>
      </c>
      <c r="J183" s="16">
        <v>0.076</v>
      </c>
      <c r="K183" s="16">
        <v>10.829999923706</v>
      </c>
      <c r="L183" s="16">
        <v>-10.9899997711181</v>
      </c>
      <c r="M183" s="16">
        <v>-2.85098655425812</v>
      </c>
      <c r="N183" s="16">
        <v>-2.81</v>
      </c>
      <c r="O183" s="12"/>
      <c r="P183" s="12"/>
      <c r="Q183" s="17" t="s">
        <v>28</v>
      </c>
      <c r="S183" s="14">
        <v>0.698824465</v>
      </c>
      <c r="T183" s="14">
        <v>0.318697691</v>
      </c>
      <c r="U183" s="14">
        <v>0.051</v>
      </c>
    </row>
    <row r="184">
      <c r="A184" s="10" t="s">
        <v>52</v>
      </c>
      <c r="B184" s="11">
        <v>2019.0</v>
      </c>
      <c r="C184" s="11">
        <v>145.0</v>
      </c>
      <c r="D184" s="11">
        <v>3.775</v>
      </c>
      <c r="E184" s="11">
        <v>0.046</v>
      </c>
      <c r="F184" s="11">
        <v>0.447</v>
      </c>
      <c r="G184" s="11">
        <v>0.38</v>
      </c>
      <c r="H184" s="11">
        <v>0.22</v>
      </c>
      <c r="I184" s="11">
        <v>0.176</v>
      </c>
      <c r="J184" s="11">
        <v>0.18</v>
      </c>
      <c r="K184" s="11">
        <v>7.41029768547111</v>
      </c>
      <c r="L184" s="11">
        <v>-2.82648317261114</v>
      </c>
      <c r="M184" s="11">
        <v>-0.637617152062819</v>
      </c>
      <c r="N184" s="11">
        <v>-0.708999991416931</v>
      </c>
      <c r="O184" s="12"/>
      <c r="P184" s="12"/>
      <c r="Q184" s="13" t="s">
        <v>28</v>
      </c>
      <c r="S184" s="14">
        <v>0.69981</v>
      </c>
      <c r="T184" s="14">
        <v>0.31914</v>
      </c>
      <c r="U184" s="14">
        <v>0.0512</v>
      </c>
    </row>
    <row r="185">
      <c r="A185" s="15" t="s">
        <v>52</v>
      </c>
      <c r="B185" s="16">
        <v>2020.0</v>
      </c>
      <c r="C185" s="16">
        <v>140.0</v>
      </c>
      <c r="D185" s="16">
        <v>3.775300026</v>
      </c>
      <c r="E185" s="16">
        <v>0.0</v>
      </c>
      <c r="F185" s="16">
        <v>0.490325719</v>
      </c>
      <c r="G185" s="16">
        <v>53.40000153</v>
      </c>
      <c r="H185" s="16">
        <v>0.626350224</v>
      </c>
      <c r="I185" s="16">
        <v>-0.017551597</v>
      </c>
      <c r="J185" s="16">
        <v>0.606934547</v>
      </c>
      <c r="K185" s="16">
        <v>5.05905646207415</v>
      </c>
      <c r="L185" s="16">
        <v>8.57418111753372</v>
      </c>
      <c r="M185" s="16">
        <v>6.0086687547925</v>
      </c>
      <c r="N185" s="16">
        <v>7.32110643415491</v>
      </c>
      <c r="O185" s="12"/>
      <c r="P185" s="12"/>
      <c r="Q185" s="17" t="s">
        <v>28</v>
      </c>
      <c r="S185" s="14">
        <v>0.700386405</v>
      </c>
      <c r="T185" s="14">
        <v>0.32112</v>
      </c>
      <c r="U185" s="14">
        <v>0.051306631</v>
      </c>
    </row>
    <row r="186">
      <c r="A186" s="10" t="s">
        <v>52</v>
      </c>
      <c r="B186" s="11">
        <v>2021.0</v>
      </c>
      <c r="C186" s="11">
        <v>140.0</v>
      </c>
      <c r="D186" s="11">
        <v>3.775</v>
      </c>
      <c r="E186" s="11">
        <v>6.635</v>
      </c>
      <c r="F186" s="11">
        <v>0.49</v>
      </c>
      <c r="G186" s="11">
        <v>53.4</v>
      </c>
      <c r="H186" s="11">
        <v>0.626</v>
      </c>
      <c r="I186" s="11">
        <v>-0.024</v>
      </c>
      <c r="J186" s="11">
        <v>0.607</v>
      </c>
      <c r="K186" s="11">
        <v>7.82</v>
      </c>
      <c r="L186" s="11">
        <v>10.39</v>
      </c>
      <c r="M186" s="11">
        <v>9.9075674665751</v>
      </c>
      <c r="N186" s="11">
        <v>8.313</v>
      </c>
      <c r="O186" s="12"/>
      <c r="P186" s="12"/>
      <c r="Q186" s="13" t="s">
        <v>28</v>
      </c>
      <c r="S186" s="14">
        <v>0.702</v>
      </c>
      <c r="T186" s="14">
        <v>0.324</v>
      </c>
      <c r="U186" s="14">
        <v>0.052</v>
      </c>
    </row>
    <row r="187">
      <c r="A187" s="15" t="s">
        <v>53</v>
      </c>
      <c r="B187" s="16">
        <v>2015.0</v>
      </c>
      <c r="C187" s="16">
        <v>145.0</v>
      </c>
      <c r="D187" s="16">
        <v>3.819</v>
      </c>
      <c r="E187" s="16">
        <v>0.46038</v>
      </c>
      <c r="F187" s="16">
        <v>0.62736</v>
      </c>
      <c r="G187" s="16">
        <v>0.61114</v>
      </c>
      <c r="H187" s="16">
        <v>0.66246</v>
      </c>
      <c r="I187" s="16">
        <v>0.40359</v>
      </c>
      <c r="J187" s="16">
        <v>0.07247</v>
      </c>
      <c r="K187" s="16">
        <v>-3.49598169326782</v>
      </c>
      <c r="L187" s="16">
        <v>4.01691913604736</v>
      </c>
      <c r="M187" s="16">
        <v>1.71961770383964</v>
      </c>
      <c r="N187" s="16">
        <v>1.22081875801086</v>
      </c>
      <c r="O187" s="12"/>
      <c r="P187" s="12"/>
      <c r="Q187" s="17" t="s">
        <v>24</v>
      </c>
      <c r="S187" s="14">
        <v>0.702652037</v>
      </c>
      <c r="T187" s="14">
        <v>0.324367851</v>
      </c>
      <c r="U187" s="14">
        <v>0.052</v>
      </c>
    </row>
    <row r="188">
      <c r="A188" s="10" t="s">
        <v>53</v>
      </c>
      <c r="B188" s="11">
        <v>2016.0</v>
      </c>
      <c r="C188" s="11">
        <v>140.0</v>
      </c>
      <c r="D188" s="11">
        <v>3.907</v>
      </c>
      <c r="E188" s="11">
        <v>0.55604</v>
      </c>
      <c r="F188" s="11">
        <v>0.5375</v>
      </c>
      <c r="G188" s="11">
        <v>0.42494</v>
      </c>
      <c r="H188" s="11">
        <v>0.58852</v>
      </c>
      <c r="I188" s="11">
        <v>0.40339</v>
      </c>
      <c r="J188" s="11">
        <v>0.08092</v>
      </c>
      <c r="K188" s="11">
        <v>-1.23617422580719</v>
      </c>
      <c r="L188" s="11">
        <v>5.59927606582641</v>
      </c>
      <c r="M188" s="11">
        <v>3.54276743559403</v>
      </c>
      <c r="N188" s="11">
        <v>3.02175021171569</v>
      </c>
      <c r="O188" s="12"/>
      <c r="P188" s="12"/>
      <c r="Q188" s="13" t="s">
        <v>24</v>
      </c>
      <c r="S188" s="14">
        <v>0.70362</v>
      </c>
      <c r="T188" s="14">
        <v>0.32461</v>
      </c>
      <c r="U188" s="14">
        <v>0.05203</v>
      </c>
    </row>
    <row r="189">
      <c r="A189" s="15" t="s">
        <v>53</v>
      </c>
      <c r="B189" s="16">
        <v>2017.0</v>
      </c>
      <c r="C189" s="16">
        <v>129.0</v>
      </c>
      <c r="D189" s="16">
        <v>4.168000221</v>
      </c>
      <c r="E189" s="16">
        <v>0.601765096</v>
      </c>
      <c r="F189" s="16">
        <v>1.006238341</v>
      </c>
      <c r="G189" s="16">
        <v>0.429783404</v>
      </c>
      <c r="H189" s="16">
        <v>0.633375823</v>
      </c>
      <c r="I189" s="16">
        <v>0.385922968</v>
      </c>
      <c r="J189" s="16">
        <v>0.068105951</v>
      </c>
      <c r="K189" s="16">
        <v>-0.149851202964782</v>
      </c>
      <c r="L189" s="16">
        <v>3.38821697235107</v>
      </c>
      <c r="M189" s="16">
        <v>3.25352734184949</v>
      </c>
      <c r="N189" s="16">
        <v>2.906</v>
      </c>
      <c r="O189" s="12"/>
      <c r="P189" s="12"/>
      <c r="Q189" s="17" t="s">
        <v>24</v>
      </c>
      <c r="S189" s="14">
        <v>0.70697</v>
      </c>
      <c r="T189" s="14">
        <v>0.325707912</v>
      </c>
      <c r="U189" s="14">
        <v>0.05228</v>
      </c>
    </row>
    <row r="190">
      <c r="A190" s="10" t="s">
        <v>53</v>
      </c>
      <c r="B190" s="11">
        <v>2018.0</v>
      </c>
      <c r="C190" s="11">
        <v>120.0</v>
      </c>
      <c r="D190" s="11">
        <v>4.433</v>
      </c>
      <c r="E190" s="11">
        <v>0.549</v>
      </c>
      <c r="F190" s="11">
        <v>1.088</v>
      </c>
      <c r="G190" s="11">
        <v>0.457</v>
      </c>
      <c r="H190" s="11">
        <v>0.696</v>
      </c>
      <c r="I190" s="11">
        <v>0.256</v>
      </c>
      <c r="J190" s="11">
        <v>0.065</v>
      </c>
      <c r="K190" s="11">
        <v>1.33033238213899</v>
      </c>
      <c r="L190" s="11">
        <v>2.45502963691065</v>
      </c>
      <c r="M190" s="11">
        <v>2.49023357240305</v>
      </c>
      <c r="N190" s="11">
        <v>2.39</v>
      </c>
      <c r="O190" s="12"/>
      <c r="P190" s="12"/>
      <c r="Q190" s="13" t="s">
        <v>24</v>
      </c>
      <c r="S190" s="14">
        <v>0.708</v>
      </c>
      <c r="T190" s="14">
        <v>0.327</v>
      </c>
      <c r="U190" s="14">
        <v>0.05269</v>
      </c>
    </row>
    <row r="191">
      <c r="A191" s="15" t="s">
        <v>53</v>
      </c>
      <c r="B191" s="16">
        <v>2019.0</v>
      </c>
      <c r="C191" s="16">
        <v>109.0</v>
      </c>
      <c r="D191" s="16">
        <v>4.7</v>
      </c>
      <c r="E191" s="16">
        <v>0.574</v>
      </c>
      <c r="F191" s="16">
        <v>1.122</v>
      </c>
      <c r="G191" s="16">
        <v>0.637</v>
      </c>
      <c r="H191" s="16">
        <v>0.609</v>
      </c>
      <c r="I191" s="16">
        <v>0.232</v>
      </c>
      <c r="J191" s="16">
        <v>0.062</v>
      </c>
      <c r="K191" s="16">
        <v>1.2765085697174</v>
      </c>
      <c r="L191" s="16">
        <v>2.06989884376525</v>
      </c>
      <c r="M191" s="16">
        <v>2.51419345871334</v>
      </c>
      <c r="N191" s="16">
        <v>2.01399993896484</v>
      </c>
      <c r="O191" s="12"/>
      <c r="P191" s="12"/>
      <c r="Q191" s="17" t="s">
        <v>24</v>
      </c>
      <c r="S191" s="14">
        <v>0.70905</v>
      </c>
      <c r="T191" s="14">
        <v>0.328</v>
      </c>
      <c r="U191" s="14">
        <v>0.05292</v>
      </c>
    </row>
    <row r="192">
      <c r="A192" s="10" t="s">
        <v>53</v>
      </c>
      <c r="B192" s="11">
        <v>2020.0</v>
      </c>
      <c r="C192" s="11">
        <v>106.0</v>
      </c>
      <c r="D192" s="11">
        <v>4.848400116</v>
      </c>
      <c r="E192" s="11">
        <v>0.544634938</v>
      </c>
      <c r="F192" s="11">
        <v>0.773080647</v>
      </c>
      <c r="G192" s="11">
        <v>61.52996826</v>
      </c>
      <c r="H192" s="11">
        <v>0.959704638</v>
      </c>
      <c r="I192" s="11">
        <v>0.051911179</v>
      </c>
      <c r="J192" s="11">
        <v>0.822769046</v>
      </c>
      <c r="K192" s="11">
        <v>1.0886912272205</v>
      </c>
      <c r="L192" s="11">
        <v>4.64679450931144</v>
      </c>
      <c r="M192" s="11">
        <v>1.83822570804282</v>
      </c>
      <c r="N192" s="11">
        <v>2.94</v>
      </c>
      <c r="O192" s="12"/>
      <c r="P192" s="12"/>
      <c r="Q192" s="13" t="s">
        <v>24</v>
      </c>
      <c r="S192" s="14">
        <v>0.70928055</v>
      </c>
      <c r="T192" s="14">
        <v>0.32818</v>
      </c>
      <c r="U192" s="14">
        <v>0.053</v>
      </c>
    </row>
    <row r="193">
      <c r="A193" s="15" t="s">
        <v>53</v>
      </c>
      <c r="B193" s="16">
        <v>2021.0</v>
      </c>
      <c r="C193" s="16">
        <v>114.0</v>
      </c>
      <c r="D193" s="16">
        <v>4.83</v>
      </c>
      <c r="E193" s="16">
        <v>8.36</v>
      </c>
      <c r="F193" s="16">
        <v>0.765</v>
      </c>
      <c r="G193" s="16">
        <v>62.0</v>
      </c>
      <c r="H193" s="16">
        <v>0.959</v>
      </c>
      <c r="I193" s="16">
        <v>0.034</v>
      </c>
      <c r="J193" s="16">
        <v>0.843</v>
      </c>
      <c r="K193" s="16">
        <v>2.95</v>
      </c>
      <c r="L193" s="16">
        <v>2.75</v>
      </c>
      <c r="M193" s="16">
        <v>1.29194500388832</v>
      </c>
      <c r="N193" s="16">
        <v>2.92142316150637</v>
      </c>
      <c r="O193" s="12"/>
      <c r="P193" s="12"/>
      <c r="Q193" s="17" t="s">
        <v>24</v>
      </c>
      <c r="S193" s="14">
        <v>0.71</v>
      </c>
      <c r="T193" s="14">
        <v>0.32878</v>
      </c>
      <c r="U193" s="14">
        <v>0.053</v>
      </c>
    </row>
    <row r="194">
      <c r="A194" s="10" t="s">
        <v>53</v>
      </c>
      <c r="B194" s="11">
        <v>2022.0</v>
      </c>
      <c r="C194" s="11">
        <v>114.0</v>
      </c>
      <c r="D194" s="11">
        <v>4.64</v>
      </c>
      <c r="E194" s="11">
        <v>1.019</v>
      </c>
      <c r="F194" s="11">
        <v>0.732</v>
      </c>
      <c r="G194" s="11">
        <v>0.505</v>
      </c>
      <c r="H194" s="11">
        <v>0.74</v>
      </c>
      <c r="I194" s="11">
        <v>0.166</v>
      </c>
      <c r="J194" s="11">
        <v>0.068</v>
      </c>
      <c r="K194" s="11">
        <v>5.67087657297437</v>
      </c>
      <c r="L194" s="11">
        <v>4.87212998572465</v>
      </c>
      <c r="M194" s="11">
        <v>1.29180905042974</v>
      </c>
      <c r="N194" s="11">
        <v>5.34370264895435</v>
      </c>
      <c r="O194" s="12"/>
      <c r="P194" s="12"/>
      <c r="Q194" s="13" t="s">
        <v>24</v>
      </c>
      <c r="S194" s="14">
        <v>0.71</v>
      </c>
      <c r="T194" s="14">
        <v>0.329</v>
      </c>
      <c r="U194" s="14">
        <v>0.053</v>
      </c>
    </row>
    <row r="195">
      <c r="A195" s="15" t="s">
        <v>53</v>
      </c>
      <c r="B195" s="16">
        <v>2023.0</v>
      </c>
      <c r="C195" s="16">
        <v>115.0</v>
      </c>
      <c r="D195" s="16">
        <v>4.393</v>
      </c>
      <c r="E195" s="16">
        <v>8.385</v>
      </c>
      <c r="F195" s="16">
        <v>0.747</v>
      </c>
      <c r="G195" s="16">
        <v>61.9</v>
      </c>
      <c r="H195" s="16">
        <v>0.958</v>
      </c>
      <c r="I195" s="16">
        <v>0.073</v>
      </c>
      <c r="J195" s="16">
        <v>0.857</v>
      </c>
      <c r="K195" s="16">
        <v>0.475287776095262</v>
      </c>
      <c r="L195" s="16">
        <v>3.20519937105278</v>
      </c>
      <c r="M195" s="16">
        <v>3.16933343318106</v>
      </c>
      <c r="N195" s="16">
        <v>2.12746796594194</v>
      </c>
      <c r="O195" s="12"/>
      <c r="P195" s="12"/>
      <c r="Q195" s="17" t="s">
        <v>24</v>
      </c>
      <c r="S195" s="14">
        <v>0.711</v>
      </c>
      <c r="T195" s="14">
        <v>0.332</v>
      </c>
      <c r="U195" s="14">
        <v>0.05301</v>
      </c>
    </row>
    <row r="196">
      <c r="A196" s="10" t="s">
        <v>54</v>
      </c>
      <c r="B196" s="11">
        <v>2015.0</v>
      </c>
      <c r="C196" s="11">
        <v>133.0</v>
      </c>
      <c r="D196" s="11">
        <v>4.252</v>
      </c>
      <c r="E196" s="11">
        <v>0.4225</v>
      </c>
      <c r="F196" s="11">
        <v>0.88767</v>
      </c>
      <c r="G196" s="11">
        <v>0.23402</v>
      </c>
      <c r="H196" s="11">
        <v>0.49309</v>
      </c>
      <c r="I196" s="11">
        <v>0.20618</v>
      </c>
      <c r="J196" s="11">
        <v>0.05786</v>
      </c>
      <c r="K196" s="11">
        <v>2.94979047775268</v>
      </c>
      <c r="L196" s="11">
        <v>2.0218482017517</v>
      </c>
      <c r="M196" s="11">
        <v>0.177788313381529</v>
      </c>
      <c r="N196" s="11">
        <v>2.68598675727844</v>
      </c>
      <c r="O196" s="11">
        <v>2.50098609924316</v>
      </c>
      <c r="P196" s="12"/>
      <c r="Q196" s="13" t="s">
        <v>28</v>
      </c>
      <c r="S196" s="14">
        <v>0.712</v>
      </c>
      <c r="T196" s="14">
        <v>0.33207</v>
      </c>
      <c r="U196" s="14">
        <v>0.053581882</v>
      </c>
    </row>
    <row r="197">
      <c r="A197" s="15" t="s">
        <v>54</v>
      </c>
      <c r="B197" s="16">
        <v>2016.0</v>
      </c>
      <c r="C197" s="16">
        <v>114.0</v>
      </c>
      <c r="D197" s="16">
        <v>4.513</v>
      </c>
      <c r="E197" s="16">
        <v>0.52497</v>
      </c>
      <c r="F197" s="16">
        <v>0.62542</v>
      </c>
      <c r="G197" s="16">
        <v>0.12698</v>
      </c>
      <c r="H197" s="16">
        <v>0.42736</v>
      </c>
      <c r="I197" s="16">
        <v>0.2268</v>
      </c>
      <c r="J197" s="16">
        <v>0.06126</v>
      </c>
      <c r="K197" s="16">
        <v>1.4363716840744</v>
      </c>
      <c r="L197" s="16">
        <v>1.07820892333984</v>
      </c>
      <c r="M197" s="16">
        <v>1.09480990692538</v>
      </c>
      <c r="N197" s="16">
        <v>0.869363486766815</v>
      </c>
      <c r="O197" s="16">
        <v>0.646551728248596</v>
      </c>
      <c r="P197" s="12"/>
      <c r="Q197" s="17" t="s">
        <v>28</v>
      </c>
      <c r="S197" s="14">
        <v>0.712943614</v>
      </c>
      <c r="T197" s="14">
        <v>0.332881182</v>
      </c>
      <c r="U197" s="14">
        <v>0.05399</v>
      </c>
    </row>
    <row r="198">
      <c r="A198" s="10" t="s">
        <v>54</v>
      </c>
      <c r="B198" s="11">
        <v>2017.0</v>
      </c>
      <c r="C198" s="11">
        <v>107.0</v>
      </c>
      <c r="D198" s="11">
        <v>4.695000172</v>
      </c>
      <c r="E198" s="11">
        <v>0.564305365</v>
      </c>
      <c r="F198" s="11">
        <v>0.946018219</v>
      </c>
      <c r="G198" s="11">
        <v>0.132892117</v>
      </c>
      <c r="H198" s="11">
        <v>0.430388749</v>
      </c>
      <c r="I198" s="11">
        <v>0.236298457</v>
      </c>
      <c r="J198" s="11">
        <v>0.051306631</v>
      </c>
      <c r="K198" s="11">
        <v>1.16527676582336</v>
      </c>
      <c r="L198" s="11">
        <v>0.037557803094387</v>
      </c>
      <c r="M198" s="11">
        <v>1.48242931152862</v>
      </c>
      <c r="N198" s="11">
        <v>0.642</v>
      </c>
      <c r="O198" s="11">
        <v>0.780055046081543</v>
      </c>
      <c r="P198" s="12"/>
      <c r="Q198" s="13" t="s">
        <v>28</v>
      </c>
      <c r="S198" s="14">
        <v>0.714</v>
      </c>
      <c r="T198" s="14">
        <v>0.3337</v>
      </c>
      <c r="U198" s="14">
        <v>0.054</v>
      </c>
    </row>
    <row r="199">
      <c r="A199" s="15" t="s">
        <v>54</v>
      </c>
      <c r="B199" s="16">
        <v>2018.0</v>
      </c>
      <c r="C199" s="16">
        <v>99.0</v>
      </c>
      <c r="D199" s="16">
        <v>4.975</v>
      </c>
      <c r="E199" s="16">
        <v>0.535</v>
      </c>
      <c r="F199" s="16">
        <v>0.891</v>
      </c>
      <c r="G199" s="16">
        <v>0.182</v>
      </c>
      <c r="H199" s="16">
        <v>0.454</v>
      </c>
      <c r="I199" s="16">
        <v>0.183</v>
      </c>
      <c r="J199" s="16">
        <v>0.043</v>
      </c>
      <c r="K199" s="16">
        <v>-2.56578469276428</v>
      </c>
      <c r="L199" s="16">
        <v>1.21649014949798</v>
      </c>
      <c r="M199" s="16">
        <v>1.59993234308207</v>
      </c>
      <c r="N199" s="16">
        <v>1.07</v>
      </c>
      <c r="O199" s="16">
        <v>1.02443468570709</v>
      </c>
      <c r="P199" s="12"/>
      <c r="Q199" s="17" t="s">
        <v>28</v>
      </c>
      <c r="S199" s="14">
        <v>0.7146</v>
      </c>
      <c r="T199" s="14">
        <v>0.334</v>
      </c>
      <c r="U199" s="14">
        <v>0.054</v>
      </c>
    </row>
    <row r="200">
      <c r="A200" s="10" t="s">
        <v>54</v>
      </c>
      <c r="B200" s="11">
        <v>2019.0</v>
      </c>
      <c r="C200" s="11">
        <v>96.0</v>
      </c>
      <c r="D200" s="11">
        <v>5.044</v>
      </c>
      <c r="E200" s="11">
        <v>0.549</v>
      </c>
      <c r="F200" s="11">
        <v>0.91</v>
      </c>
      <c r="G200" s="11">
        <v>0.331</v>
      </c>
      <c r="H200" s="11">
        <v>0.381</v>
      </c>
      <c r="I200" s="11">
        <v>0.187</v>
      </c>
      <c r="J200" s="11">
        <v>0.037</v>
      </c>
      <c r="K200" s="11">
        <v>1.66957020759582</v>
      </c>
      <c r="L200" s="11">
        <v>2.87855172157287</v>
      </c>
      <c r="M200" s="11">
        <v>2.00758235022587</v>
      </c>
      <c r="N200" s="11">
        <v>2.45199990272522</v>
      </c>
      <c r="O200" s="11">
        <v>2.24592494964599</v>
      </c>
      <c r="P200" s="12"/>
      <c r="Q200" s="13" t="s">
        <v>28</v>
      </c>
      <c r="S200" s="14">
        <v>0.71478</v>
      </c>
      <c r="T200" s="14">
        <v>0.334</v>
      </c>
      <c r="U200" s="14">
        <v>0.054</v>
      </c>
    </row>
    <row r="201">
      <c r="A201" s="15" t="s">
        <v>54</v>
      </c>
      <c r="B201" s="16">
        <v>2020.0</v>
      </c>
      <c r="C201" s="16">
        <v>98.0</v>
      </c>
      <c r="D201" s="16">
        <v>5.084899902</v>
      </c>
      <c r="E201" s="16">
        <v>0.503958046</v>
      </c>
      <c r="F201" s="16">
        <v>0.700386405</v>
      </c>
      <c r="G201" s="16">
        <v>52.7049408</v>
      </c>
      <c r="H201" s="16">
        <v>0.763051808</v>
      </c>
      <c r="I201" s="16">
        <v>-0.00149645</v>
      </c>
      <c r="J201" s="16">
        <v>0.851336598</v>
      </c>
      <c r="K201" s="16">
        <v>3.02727402541768</v>
      </c>
      <c r="L201" s="16">
        <v>3.50484731296565</v>
      </c>
      <c r="M201" s="16">
        <v>1.29820032343733</v>
      </c>
      <c r="N201" s="16">
        <v>2.43760882182235</v>
      </c>
      <c r="O201" s="16">
        <v>2.01292976785189</v>
      </c>
      <c r="P201" s="12"/>
      <c r="Q201" s="17" t="s">
        <v>28</v>
      </c>
      <c r="S201" s="14">
        <v>0.716</v>
      </c>
      <c r="T201" s="14">
        <v>0.334</v>
      </c>
      <c r="U201" s="14">
        <v>0.055</v>
      </c>
    </row>
    <row r="202">
      <c r="A202" s="10" t="s">
        <v>54</v>
      </c>
      <c r="B202" s="11">
        <v>2021.0</v>
      </c>
      <c r="C202" s="11">
        <v>91.0</v>
      </c>
      <c r="D202" s="11">
        <v>5.142</v>
      </c>
      <c r="E202" s="11">
        <v>8.189</v>
      </c>
      <c r="F202" s="11">
        <v>0.71</v>
      </c>
      <c r="G202" s="11">
        <v>53.515</v>
      </c>
      <c r="H202" s="11">
        <v>0.731</v>
      </c>
      <c r="I202" s="11">
        <v>0.026</v>
      </c>
      <c r="J202" s="11">
        <v>0.848</v>
      </c>
      <c r="K202" s="11">
        <v>1.81</v>
      </c>
      <c r="L202" s="11">
        <v>4.25</v>
      </c>
      <c r="M202" s="11">
        <v>3.35613174349108</v>
      </c>
      <c r="N202" s="11">
        <v>2.27337110481589</v>
      </c>
      <c r="O202" s="11">
        <v>1.53098191296395</v>
      </c>
      <c r="P202" s="12"/>
      <c r="Q202" s="13" t="s">
        <v>28</v>
      </c>
      <c r="S202" s="14">
        <v>0.718</v>
      </c>
      <c r="T202" s="14">
        <v>0.336384207</v>
      </c>
      <c r="U202" s="14">
        <v>0.055</v>
      </c>
    </row>
    <row r="203">
      <c r="A203" s="15" t="s">
        <v>54</v>
      </c>
      <c r="B203" s="16">
        <v>2022.0</v>
      </c>
      <c r="C203" s="16">
        <v>102.0</v>
      </c>
      <c r="D203" s="16">
        <v>5.048</v>
      </c>
      <c r="E203" s="16">
        <v>0.968</v>
      </c>
      <c r="F203" s="16">
        <v>0.672</v>
      </c>
      <c r="G203" s="16">
        <v>0.317</v>
      </c>
      <c r="H203" s="16">
        <v>0.397</v>
      </c>
      <c r="I203" s="16">
        <v>0.152</v>
      </c>
      <c r="J203" s="16">
        <v>0.074</v>
      </c>
      <c r="K203" s="16">
        <v>1.87445606727602</v>
      </c>
      <c r="L203" s="16">
        <v>12.0009150177584</v>
      </c>
      <c r="M203" s="16">
        <v>3.34524537532486</v>
      </c>
      <c r="N203" s="16">
        <v>6.24767713343868</v>
      </c>
      <c r="O203" s="16">
        <v>4.3219731627879</v>
      </c>
      <c r="P203" s="12"/>
      <c r="Q203" s="17" t="s">
        <v>28</v>
      </c>
      <c r="S203" s="14">
        <v>0.718</v>
      </c>
      <c r="T203" s="14">
        <v>0.33916</v>
      </c>
      <c r="U203" s="14">
        <v>0.055</v>
      </c>
    </row>
    <row r="204">
      <c r="A204" s="10" t="s">
        <v>54</v>
      </c>
      <c r="B204" s="11">
        <v>2023.0</v>
      </c>
      <c r="C204" s="11">
        <v>96.0</v>
      </c>
      <c r="D204" s="11">
        <v>4.973</v>
      </c>
      <c r="E204" s="11">
        <v>8.217</v>
      </c>
      <c r="F204" s="11">
        <v>0.686</v>
      </c>
      <c r="G204" s="11">
        <v>55.847</v>
      </c>
      <c r="H204" s="11">
        <v>0.686</v>
      </c>
      <c r="I204" s="11">
        <v>0.015</v>
      </c>
      <c r="J204" s="11">
        <v>0.846</v>
      </c>
      <c r="K204" s="11">
        <v>8.39438680435414</v>
      </c>
      <c r="L204" s="11">
        <v>10.8767591230635</v>
      </c>
      <c r="M204" s="11">
        <v>1.99838504280776</v>
      </c>
      <c r="N204" s="11">
        <v>7.38281384280984</v>
      </c>
      <c r="O204" s="11">
        <v>5.9838319859988</v>
      </c>
      <c r="P204" s="12"/>
      <c r="Q204" s="13" t="s">
        <v>28</v>
      </c>
      <c r="S204" s="14">
        <v>0.72</v>
      </c>
      <c r="T204" s="14">
        <v>0.34037</v>
      </c>
      <c r="U204" s="14">
        <v>0.055</v>
      </c>
    </row>
    <row r="205">
      <c r="A205" s="15" t="s">
        <v>55</v>
      </c>
      <c r="B205" s="16">
        <v>2015.0</v>
      </c>
      <c r="C205" s="16">
        <v>5.0</v>
      </c>
      <c r="D205" s="16">
        <v>7.427</v>
      </c>
      <c r="E205" s="16">
        <v>1.32629</v>
      </c>
      <c r="F205" s="16">
        <v>1.32261</v>
      </c>
      <c r="G205" s="16">
        <v>0.90563</v>
      </c>
      <c r="H205" s="16">
        <v>0.63297</v>
      </c>
      <c r="I205" s="16">
        <v>0.45811</v>
      </c>
      <c r="J205" s="16">
        <v>0.32957</v>
      </c>
      <c r="K205" s="16">
        <v>-9.56990909576416</v>
      </c>
      <c r="L205" s="16">
        <v>4.10445833206176</v>
      </c>
      <c r="M205" s="16">
        <v>-0.876431794515785</v>
      </c>
      <c r="N205" s="16">
        <v>1.1252452135086</v>
      </c>
      <c r="O205" s="16">
        <v>2.552079</v>
      </c>
      <c r="P205" s="16">
        <v>-0.83882063627243</v>
      </c>
      <c r="Q205" s="17" t="s">
        <v>43</v>
      </c>
      <c r="S205" s="14">
        <v>0.721151352</v>
      </c>
      <c r="T205" s="14">
        <v>0.343</v>
      </c>
      <c r="U205" s="14">
        <v>0.055</v>
      </c>
    </row>
    <row r="206">
      <c r="A206" s="10" t="s">
        <v>55</v>
      </c>
      <c r="B206" s="11">
        <v>2016.0</v>
      </c>
      <c r="C206" s="11">
        <v>6.0</v>
      </c>
      <c r="D206" s="11">
        <v>7.404</v>
      </c>
      <c r="E206" s="11">
        <v>1.44015</v>
      </c>
      <c r="F206" s="11">
        <v>1.0961</v>
      </c>
      <c r="G206" s="11">
        <v>0.8276</v>
      </c>
      <c r="H206" s="11">
        <v>0.5737</v>
      </c>
      <c r="I206" s="11">
        <v>0.44834</v>
      </c>
      <c r="J206" s="11">
        <v>0.31329</v>
      </c>
      <c r="K206" s="11">
        <v>1.42999994754791</v>
      </c>
      <c r="L206" s="11">
        <v>1.01516723632812</v>
      </c>
      <c r="M206" s="11">
        <v>0.753839719085267</v>
      </c>
      <c r="N206" s="11">
        <v>1.42875671386718</v>
      </c>
      <c r="O206" s="11">
        <v>2.02164</v>
      </c>
      <c r="P206" s="11">
        <v>-0.203936919569969</v>
      </c>
      <c r="Q206" s="13" t="s">
        <v>43</v>
      </c>
      <c r="S206" s="14">
        <v>0.722</v>
      </c>
      <c r="T206" s="14">
        <v>0.34334</v>
      </c>
      <c r="U206" s="14">
        <v>0.055</v>
      </c>
    </row>
    <row r="207">
      <c r="A207" s="15" t="s">
        <v>55</v>
      </c>
      <c r="B207" s="16">
        <v>2017.0</v>
      </c>
      <c r="C207" s="16">
        <v>7.0</v>
      </c>
      <c r="D207" s="16">
        <v>7.315999985</v>
      </c>
      <c r="E207" s="16">
        <v>1.479204416</v>
      </c>
      <c r="F207" s="16">
        <v>1.481348991</v>
      </c>
      <c r="G207" s="16">
        <v>0.834557652</v>
      </c>
      <c r="H207" s="16">
        <v>0.611100912</v>
      </c>
      <c r="I207" s="16">
        <v>0.435539722</v>
      </c>
      <c r="J207" s="16">
        <v>0.287371516</v>
      </c>
      <c r="K207" s="16">
        <v>1.55999994277954</v>
      </c>
      <c r="L207" s="16">
        <v>-1.01081097126007</v>
      </c>
      <c r="M207" s="16">
        <v>2.56511749145605</v>
      </c>
      <c r="N207" s="16">
        <v>1.603</v>
      </c>
      <c r="O207" s="16">
        <v>1.778912</v>
      </c>
      <c r="P207" s="16">
        <v>3.13327407836914</v>
      </c>
      <c r="Q207" s="17" t="s">
        <v>43</v>
      </c>
      <c r="S207" s="14">
        <v>0.723616004</v>
      </c>
      <c r="T207" s="14">
        <v>0.344</v>
      </c>
      <c r="U207" s="14">
        <v>0.055267781</v>
      </c>
    </row>
    <row r="208">
      <c r="A208" s="10" t="s">
        <v>55</v>
      </c>
      <c r="B208" s="11">
        <v>2018.0</v>
      </c>
      <c r="C208" s="11">
        <v>7.0</v>
      </c>
      <c r="D208" s="11">
        <v>7.328</v>
      </c>
      <c r="E208" s="11">
        <v>1.33</v>
      </c>
      <c r="F208" s="11">
        <v>1.532</v>
      </c>
      <c r="G208" s="11">
        <v>0.896</v>
      </c>
      <c r="H208" s="11">
        <v>0.653</v>
      </c>
      <c r="I208" s="11">
        <v>0.321</v>
      </c>
      <c r="J208" s="11">
        <v>0.291</v>
      </c>
      <c r="K208" s="11">
        <v>6.6957688331604</v>
      </c>
      <c r="L208" s="11">
        <v>0.808641493320465</v>
      </c>
      <c r="M208" s="11">
        <v>1.75641713495044</v>
      </c>
      <c r="N208" s="11">
        <v>2.27</v>
      </c>
      <c r="O208" s="11">
        <v>2.024031</v>
      </c>
      <c r="P208" s="11">
        <v>3.85265851020813</v>
      </c>
      <c r="Q208" s="13" t="s">
        <v>43</v>
      </c>
      <c r="S208" s="14">
        <v>0.72368</v>
      </c>
      <c r="T208" s="14">
        <v>0.345</v>
      </c>
      <c r="U208" s="14">
        <v>0.056</v>
      </c>
    </row>
    <row r="209">
      <c r="A209" s="15" t="s">
        <v>55</v>
      </c>
      <c r="B209" s="16">
        <v>2019.0</v>
      </c>
      <c r="C209" s="16">
        <v>9.0</v>
      </c>
      <c r="D209" s="16">
        <v>7.278</v>
      </c>
      <c r="E209" s="16">
        <v>1.365</v>
      </c>
      <c r="F209" s="16">
        <v>1.505</v>
      </c>
      <c r="G209" s="16">
        <v>1.039</v>
      </c>
      <c r="H209" s="16">
        <v>0.584</v>
      </c>
      <c r="I209" s="16">
        <v>0.285</v>
      </c>
      <c r="J209" s="16">
        <v>0.308</v>
      </c>
      <c r="K209" s="16">
        <v>-2.20437788963317</v>
      </c>
      <c r="L209" s="16">
        <v>3.67703008651733</v>
      </c>
      <c r="M209" s="16">
        <v>1.67244808288237</v>
      </c>
      <c r="N209" s="16">
        <v>1.94900000095367</v>
      </c>
      <c r="O209" s="16">
        <v>2.292573</v>
      </c>
      <c r="P209" s="16">
        <v>-0.116638998085057</v>
      </c>
      <c r="Q209" s="17" t="s">
        <v>43</v>
      </c>
      <c r="S209" s="14">
        <v>0.723874032</v>
      </c>
      <c r="T209" s="14">
        <v>0.346</v>
      </c>
      <c r="U209" s="14">
        <v>0.056</v>
      </c>
    </row>
    <row r="210">
      <c r="A210" s="10" t="s">
        <v>55</v>
      </c>
      <c r="B210" s="11">
        <v>2020.0</v>
      </c>
      <c r="C210" s="11">
        <v>11.0</v>
      </c>
      <c r="D210" s="11">
        <v>7.23210001</v>
      </c>
      <c r="E210" s="11">
        <v>1.301647663</v>
      </c>
      <c r="F210" s="11">
        <v>0.927176654</v>
      </c>
      <c r="G210" s="11">
        <v>73.60160065</v>
      </c>
      <c r="H210" s="11">
        <v>0.933913231</v>
      </c>
      <c r="I210" s="11">
        <v>0.124770768</v>
      </c>
      <c r="J210" s="11">
        <v>0.390843362</v>
      </c>
      <c r="K210" s="11">
        <v>1.49035921205099</v>
      </c>
      <c r="L210" s="11">
        <v>2.40018105506896</v>
      </c>
      <c r="M210" s="11">
        <v>0.832476595125241</v>
      </c>
      <c r="N210" s="11">
        <v>0.716999632307313</v>
      </c>
      <c r="O210" s="11">
        <v>1.291251</v>
      </c>
      <c r="P210" s="11">
        <v>-0.460232695156535</v>
      </c>
      <c r="Q210" s="13" t="s">
        <v>43</v>
      </c>
      <c r="S210" s="14">
        <v>0.724</v>
      </c>
      <c r="T210" s="14">
        <v>0.34678</v>
      </c>
      <c r="U210" s="14">
        <v>0.056</v>
      </c>
    </row>
    <row r="211">
      <c r="A211" s="15" t="s">
        <v>55</v>
      </c>
      <c r="B211" s="16">
        <v>2021.0</v>
      </c>
      <c r="C211" s="16">
        <v>14.0</v>
      </c>
      <c r="D211" s="16">
        <v>7.103</v>
      </c>
      <c r="E211" s="16">
        <v>10.776</v>
      </c>
      <c r="F211" s="16">
        <v>0.926</v>
      </c>
      <c r="G211" s="16">
        <v>73.8</v>
      </c>
      <c r="H211" s="16">
        <v>0.915</v>
      </c>
      <c r="I211" s="16">
        <v>0.089</v>
      </c>
      <c r="J211" s="16">
        <v>0.415</v>
      </c>
      <c r="K211" s="16">
        <v>18.84977</v>
      </c>
      <c r="L211" s="16">
        <v>2.195</v>
      </c>
      <c r="M211" s="16">
        <v>8.06938450862984</v>
      </c>
      <c r="N211" s="16">
        <v>3.395193</v>
      </c>
      <c r="O211" s="16">
        <v>2.397</v>
      </c>
      <c r="P211" s="16">
        <v>13.88</v>
      </c>
      <c r="Q211" s="17" t="s">
        <v>43</v>
      </c>
      <c r="S211" s="14">
        <v>0.724</v>
      </c>
      <c r="T211" s="14">
        <v>0.34807986</v>
      </c>
      <c r="U211" s="14">
        <v>0.056</v>
      </c>
    </row>
    <row r="212">
      <c r="A212" s="10" t="s">
        <v>55</v>
      </c>
      <c r="B212" s="11">
        <v>2022.0</v>
      </c>
      <c r="C212" s="11">
        <v>15.0</v>
      </c>
      <c r="D212" s="11">
        <v>7.025</v>
      </c>
      <c r="E212" s="11">
        <v>1.886</v>
      </c>
      <c r="F212" s="11">
        <v>1.188</v>
      </c>
      <c r="G212" s="11">
        <v>0.783</v>
      </c>
      <c r="H212" s="11">
        <v>0.659</v>
      </c>
      <c r="I212" s="11">
        <v>0.217</v>
      </c>
      <c r="J212" s="11">
        <v>0.368</v>
      </c>
      <c r="K212" s="11">
        <v>22.8210324588818</v>
      </c>
      <c r="L212" s="11">
        <v>9.762547</v>
      </c>
      <c r="M212" s="11">
        <v>7.37790819534687</v>
      </c>
      <c r="N212" s="11">
        <v>6.802801</v>
      </c>
      <c r="O212" s="11">
        <v>5.0648189539562</v>
      </c>
      <c r="P212" s="11">
        <v>12.7901851307669</v>
      </c>
      <c r="Q212" s="13" t="s">
        <v>43</v>
      </c>
      <c r="S212" s="14">
        <v>0.727</v>
      </c>
      <c r="T212" s="14">
        <v>0.348587513</v>
      </c>
      <c r="U212" s="14">
        <v>0.056</v>
      </c>
    </row>
    <row r="213">
      <c r="A213" s="15" t="s">
        <v>55</v>
      </c>
      <c r="B213" s="16">
        <v>2023.0</v>
      </c>
      <c r="C213" s="16">
        <v>13.0</v>
      </c>
      <c r="D213" s="16">
        <v>6.961</v>
      </c>
      <c r="E213" s="16">
        <v>10.773</v>
      </c>
      <c r="F213" s="16">
        <v>0.929</v>
      </c>
      <c r="G213" s="16">
        <v>71.4</v>
      </c>
      <c r="H213" s="16">
        <v>0.874</v>
      </c>
      <c r="I213" s="16">
        <v>0.153</v>
      </c>
      <c r="J213" s="16">
        <v>0.42</v>
      </c>
      <c r="K213" s="16">
        <v>-3.79941341659201</v>
      </c>
      <c r="L213" s="16">
        <v>7.84206084950731</v>
      </c>
      <c r="M213" s="16">
        <v>1.08744171289592</v>
      </c>
      <c r="N213" s="16">
        <v>3.87900159788426</v>
      </c>
      <c r="O213" s="16">
        <v>4.12586930606124</v>
      </c>
      <c r="P213" s="12"/>
      <c r="Q213" s="17" t="s">
        <v>43</v>
      </c>
      <c r="S213" s="14">
        <v>0.72803</v>
      </c>
      <c r="T213" s="14">
        <v>0.349</v>
      </c>
      <c r="U213" s="14">
        <v>0.056565076</v>
      </c>
    </row>
    <row r="214">
      <c r="A214" s="10" t="s">
        <v>56</v>
      </c>
      <c r="B214" s="11">
        <v>2015.0</v>
      </c>
      <c r="C214" s="11">
        <v>148.0</v>
      </c>
      <c r="D214" s="11">
        <v>3.678</v>
      </c>
      <c r="E214" s="11">
        <v>0.0785</v>
      </c>
      <c r="F214" s="11">
        <v>0.0</v>
      </c>
      <c r="G214" s="11">
        <v>0.06699</v>
      </c>
      <c r="H214" s="11">
        <v>0.48879</v>
      </c>
      <c r="I214" s="11">
        <v>0.23835</v>
      </c>
      <c r="J214" s="11">
        <v>0.08289</v>
      </c>
      <c r="K214" s="11">
        <v>-6.94748996362642</v>
      </c>
      <c r="L214" s="11">
        <v>4.66692018508911</v>
      </c>
      <c r="M214" s="11">
        <v>2.70737634868068</v>
      </c>
      <c r="N214" s="11">
        <v>4.5</v>
      </c>
      <c r="O214" s="12"/>
      <c r="P214" s="12"/>
      <c r="Q214" s="13" t="s">
        <v>28</v>
      </c>
      <c r="S214" s="14">
        <v>0.728601098</v>
      </c>
      <c r="T214" s="14">
        <v>0.35</v>
      </c>
      <c r="U214" s="14">
        <v>0.057</v>
      </c>
    </row>
    <row r="215">
      <c r="A215" s="15" t="s">
        <v>56</v>
      </c>
      <c r="B215" s="16">
        <v>2017.0</v>
      </c>
      <c r="C215" s="16">
        <v>155.0</v>
      </c>
      <c r="D215" s="16">
        <v>2.693000078</v>
      </c>
      <c r="E215" s="16">
        <v>0.0</v>
      </c>
      <c r="F215" s="16">
        <v>0.0</v>
      </c>
      <c r="G215" s="16">
        <v>0.018772686</v>
      </c>
      <c r="H215" s="16">
        <v>0.270842046</v>
      </c>
      <c r="I215" s="16">
        <v>0.280876487</v>
      </c>
      <c r="J215" s="16">
        <v>0.056565076</v>
      </c>
      <c r="K215" s="12"/>
      <c r="L215" s="12"/>
      <c r="M215" s="16">
        <v>6.44379355620644</v>
      </c>
      <c r="N215" s="16">
        <v>4.461</v>
      </c>
      <c r="O215" s="12"/>
      <c r="P215" s="12"/>
      <c r="Q215" s="17" t="s">
        <v>28</v>
      </c>
      <c r="S215" s="14">
        <v>0.729</v>
      </c>
      <c r="T215" s="14">
        <v>0.35</v>
      </c>
      <c r="U215" s="14">
        <v>0.057069719</v>
      </c>
    </row>
    <row r="216">
      <c r="A216" s="10" t="s">
        <v>56</v>
      </c>
      <c r="B216" s="11">
        <v>2018.0</v>
      </c>
      <c r="C216" s="11">
        <v>155.0</v>
      </c>
      <c r="D216" s="11">
        <v>3.083</v>
      </c>
      <c r="E216" s="11">
        <v>0.024</v>
      </c>
      <c r="F216" s="11">
        <v>0.0</v>
      </c>
      <c r="G216" s="11">
        <v>0.01</v>
      </c>
      <c r="H216" s="11">
        <v>0.305</v>
      </c>
      <c r="I216" s="11">
        <v>0.218</v>
      </c>
      <c r="J216" s="11">
        <v>0.038</v>
      </c>
      <c r="K216" s="12"/>
      <c r="L216" s="12"/>
      <c r="M216" s="11">
        <v>1.30882911092133</v>
      </c>
      <c r="N216" s="11">
        <v>1.61</v>
      </c>
      <c r="O216" s="12"/>
      <c r="P216" s="12"/>
      <c r="Q216" s="13" t="s">
        <v>28</v>
      </c>
      <c r="S216" s="14">
        <v>0.73</v>
      </c>
      <c r="T216" s="14">
        <v>0.35068</v>
      </c>
      <c r="U216" s="14">
        <v>0.05747</v>
      </c>
    </row>
    <row r="217">
      <c r="A217" s="15" t="s">
        <v>56</v>
      </c>
      <c r="B217" s="16">
        <v>2019.0</v>
      </c>
      <c r="C217" s="16">
        <v>155.0</v>
      </c>
      <c r="D217" s="16">
        <v>3.083</v>
      </c>
      <c r="E217" s="16">
        <v>0.026</v>
      </c>
      <c r="F217" s="16">
        <v>0.0</v>
      </c>
      <c r="G217" s="16">
        <v>0.105</v>
      </c>
      <c r="H217" s="16">
        <v>0.225</v>
      </c>
      <c r="I217" s="16">
        <v>0.235</v>
      </c>
      <c r="J217" s="16">
        <v>0.035</v>
      </c>
      <c r="K217" s="12"/>
      <c r="L217" s="12"/>
      <c r="M217" s="16">
        <v>2.35964198535395</v>
      </c>
      <c r="N217" s="16">
        <v>2.68499994277954</v>
      </c>
      <c r="O217" s="12"/>
      <c r="P217" s="12"/>
      <c r="Q217" s="17" t="s">
        <v>28</v>
      </c>
      <c r="S217" s="14">
        <v>0.731468976</v>
      </c>
      <c r="T217" s="14">
        <v>0.351</v>
      </c>
      <c r="U217" s="14">
        <v>0.057471618</v>
      </c>
    </row>
    <row r="218">
      <c r="A218" s="10" t="s">
        <v>56</v>
      </c>
      <c r="B218" s="11">
        <v>2020.0</v>
      </c>
      <c r="C218" s="11">
        <v>149.0</v>
      </c>
      <c r="D218" s="11">
        <v>3.475899935</v>
      </c>
      <c r="E218" s="11">
        <v>0.041072082</v>
      </c>
      <c r="F218" s="11">
        <v>0.319459856</v>
      </c>
      <c r="G218" s="11">
        <v>45.20000076</v>
      </c>
      <c r="H218" s="11">
        <v>0.640880644</v>
      </c>
      <c r="I218" s="11">
        <v>0.082410358</v>
      </c>
      <c r="J218" s="11">
        <v>0.891806662</v>
      </c>
      <c r="K218" s="12"/>
      <c r="L218" s="12"/>
      <c r="M218" s="11">
        <v>1.95582802438495</v>
      </c>
      <c r="N218" s="11">
        <v>2.30368378868835</v>
      </c>
      <c r="O218" s="12"/>
      <c r="P218" s="12"/>
      <c r="Q218" s="13" t="s">
        <v>28</v>
      </c>
      <c r="S218" s="14">
        <v>0.732</v>
      </c>
      <c r="T218" s="14">
        <v>0.35327</v>
      </c>
      <c r="U218" s="14">
        <v>0.05786</v>
      </c>
    </row>
    <row r="219">
      <c r="A219" s="15" t="s">
        <v>57</v>
      </c>
      <c r="B219" s="16">
        <v>2015.0</v>
      </c>
      <c r="C219" s="16">
        <v>149.0</v>
      </c>
      <c r="D219" s="16">
        <v>3.667</v>
      </c>
      <c r="E219" s="16">
        <v>0.34193</v>
      </c>
      <c r="F219" s="16">
        <v>0.76062</v>
      </c>
      <c r="G219" s="16">
        <v>0.1501</v>
      </c>
      <c r="H219" s="16">
        <v>0.23501</v>
      </c>
      <c r="I219" s="16">
        <v>0.18386</v>
      </c>
      <c r="J219" s="16">
        <v>0.05269</v>
      </c>
      <c r="K219" s="16">
        <v>1.14999997615814</v>
      </c>
      <c r="L219" s="16">
        <v>2.46854996681213</v>
      </c>
      <c r="M219" s="16">
        <v>-7.97127924893965</v>
      </c>
      <c r="N219" s="16">
        <v>6.75799989700317</v>
      </c>
      <c r="O219" s="12"/>
      <c r="P219" s="12"/>
      <c r="Q219" s="17" t="s">
        <v>28</v>
      </c>
      <c r="S219" s="14">
        <v>0.732</v>
      </c>
      <c r="T219" s="14">
        <v>0.354</v>
      </c>
      <c r="U219" s="14">
        <v>0.05839</v>
      </c>
    </row>
    <row r="220">
      <c r="A220" s="10" t="s">
        <v>57</v>
      </c>
      <c r="B220" s="11">
        <v>2016.0</v>
      </c>
      <c r="C220" s="11">
        <v>144.0</v>
      </c>
      <c r="D220" s="11">
        <v>3.763</v>
      </c>
      <c r="E220" s="11">
        <v>0.42214</v>
      </c>
      <c r="F220" s="11">
        <v>0.63178</v>
      </c>
      <c r="G220" s="11">
        <v>0.03824</v>
      </c>
      <c r="H220" s="11">
        <v>0.12807</v>
      </c>
      <c r="I220" s="11">
        <v>0.18667</v>
      </c>
      <c r="J220" s="11">
        <v>0.04952</v>
      </c>
      <c r="K220" s="11">
        <v>0.46000000834465</v>
      </c>
      <c r="L220" s="11">
        <v>-2.70799994468688</v>
      </c>
      <c r="M220" s="11">
        <v>-1.09781989539641</v>
      </c>
      <c r="N220" s="11">
        <v>-1.12199997901916</v>
      </c>
      <c r="O220" s="12"/>
      <c r="P220" s="12"/>
      <c r="Q220" s="13" t="s">
        <v>28</v>
      </c>
      <c r="S220" s="14">
        <v>0.735131741</v>
      </c>
      <c r="T220" s="14">
        <v>0.355</v>
      </c>
      <c r="U220" s="14">
        <v>0.059</v>
      </c>
    </row>
    <row r="221">
      <c r="A221" s="15" t="s">
        <v>57</v>
      </c>
      <c r="B221" s="16">
        <v>2017.0</v>
      </c>
      <c r="C221" s="16">
        <v>137.0</v>
      </c>
      <c r="D221" s="16">
        <v>3.936000109</v>
      </c>
      <c r="E221" s="16">
        <v>0.438012987</v>
      </c>
      <c r="F221" s="16">
        <v>0.953855872</v>
      </c>
      <c r="G221" s="16">
        <v>0.041134715</v>
      </c>
      <c r="H221" s="16">
        <v>0.162342027</v>
      </c>
      <c r="I221" s="16">
        <v>0.21611385</v>
      </c>
      <c r="J221" s="16">
        <v>0.053581882</v>
      </c>
      <c r="K221" s="16">
        <v>0.430000007152557</v>
      </c>
      <c r="L221" s="16">
        <v>-3.71811158678321</v>
      </c>
      <c r="M221" s="16">
        <v>-0.823777859224731</v>
      </c>
      <c r="N221" s="16">
        <v>-0.897</v>
      </c>
      <c r="O221" s="12"/>
      <c r="P221" s="12"/>
      <c r="Q221" s="17" t="s">
        <v>28</v>
      </c>
      <c r="S221" s="14">
        <v>0.73721689</v>
      </c>
      <c r="T221" s="14">
        <v>0.355111539</v>
      </c>
      <c r="U221" s="14">
        <v>0.059</v>
      </c>
    </row>
    <row r="222">
      <c r="A222" s="10" t="s">
        <v>57</v>
      </c>
      <c r="B222" s="11">
        <v>2018.0</v>
      </c>
      <c r="C222" s="11">
        <v>131.0</v>
      </c>
      <c r="D222" s="11">
        <v>4.301</v>
      </c>
      <c r="E222" s="11">
        <v>0.358</v>
      </c>
      <c r="F222" s="11">
        <v>0.907</v>
      </c>
      <c r="G222" s="11">
        <v>0.053</v>
      </c>
      <c r="H222" s="11">
        <v>0.189</v>
      </c>
      <c r="I222" s="11">
        <v>0.181</v>
      </c>
      <c r="J222" s="11">
        <v>0.06</v>
      </c>
      <c r="K222" s="11">
        <v>-0.8334958</v>
      </c>
      <c r="L222" s="11">
        <v>-1.85897578042778</v>
      </c>
      <c r="M222" s="11">
        <v>2.30268367795863</v>
      </c>
      <c r="N222" s="11">
        <v>4.27</v>
      </c>
      <c r="O222" s="12"/>
      <c r="P222" s="12"/>
      <c r="Q222" s="13" t="s">
        <v>28</v>
      </c>
      <c r="S222" s="14">
        <v>0.738</v>
      </c>
      <c r="T222" s="14">
        <v>0.356</v>
      </c>
      <c r="U222" s="14">
        <v>0.059</v>
      </c>
    </row>
    <row r="223">
      <c r="A223" s="15" t="s">
        <v>57</v>
      </c>
      <c r="B223" s="16">
        <v>2019.0</v>
      </c>
      <c r="C223" s="16">
        <v>132.0</v>
      </c>
      <c r="D223" s="16">
        <v>4.35</v>
      </c>
      <c r="E223" s="16">
        <v>0.35</v>
      </c>
      <c r="F223" s="16">
        <v>0.766</v>
      </c>
      <c r="G223" s="16">
        <v>0.192</v>
      </c>
      <c r="H223" s="16">
        <v>0.174</v>
      </c>
      <c r="I223" s="16">
        <v>0.198</v>
      </c>
      <c r="J223" s="16">
        <v>0.078</v>
      </c>
      <c r="K223" s="16">
        <v>0.817508280277252</v>
      </c>
      <c r="L223" s="16">
        <v>-5.39276266098022</v>
      </c>
      <c r="M223" s="16">
        <v>1.54816069908056</v>
      </c>
      <c r="N223" s="16">
        <v>-0.972000002861023</v>
      </c>
      <c r="O223" s="16">
        <v>-2.07641911506652</v>
      </c>
      <c r="P223" s="12"/>
      <c r="Q223" s="17" t="s">
        <v>28</v>
      </c>
      <c r="S223" s="14">
        <v>0.74</v>
      </c>
      <c r="T223" s="14">
        <v>0.356</v>
      </c>
      <c r="U223" s="14">
        <v>0.059</v>
      </c>
    </row>
    <row r="224">
      <c r="A224" s="10" t="s">
        <v>57</v>
      </c>
      <c r="B224" s="11">
        <v>2020.0</v>
      </c>
      <c r="C224" s="11">
        <v>127.0</v>
      </c>
      <c r="D224" s="11">
        <v>4.422699928</v>
      </c>
      <c r="E224" s="11">
        <v>0.302287489</v>
      </c>
      <c r="F224" s="11">
        <v>0.632388055</v>
      </c>
      <c r="G224" s="11">
        <v>48.22053909</v>
      </c>
      <c r="H224" s="11">
        <v>0.587305248</v>
      </c>
      <c r="I224" s="11">
        <v>0.017834719</v>
      </c>
      <c r="J224" s="11">
        <v>0.802760839</v>
      </c>
      <c r="K224" s="11">
        <v>0.853112578392028</v>
      </c>
      <c r="L224" s="11">
        <v>9.44</v>
      </c>
      <c r="M224" s="11">
        <v>-2.76453200301523</v>
      </c>
      <c r="N224" s="11">
        <v>2.79699993133544</v>
      </c>
      <c r="O224" s="11">
        <v>6.56008341298115</v>
      </c>
      <c r="P224" s="12"/>
      <c r="Q224" s="13" t="s">
        <v>28</v>
      </c>
      <c r="S224" s="14">
        <v>0.74</v>
      </c>
      <c r="T224" s="14">
        <v>0.356</v>
      </c>
      <c r="U224" s="14">
        <v>0.05907</v>
      </c>
    </row>
    <row r="225">
      <c r="A225" s="15" t="s">
        <v>57</v>
      </c>
      <c r="B225" s="16">
        <v>2021.0</v>
      </c>
      <c r="C225" s="16">
        <v>128.0</v>
      </c>
      <c r="D225" s="16">
        <v>4.355</v>
      </c>
      <c r="E225" s="16">
        <v>7.364</v>
      </c>
      <c r="F225" s="16">
        <v>0.619</v>
      </c>
      <c r="G225" s="16">
        <v>48.478</v>
      </c>
      <c r="H225" s="16">
        <v>0.579</v>
      </c>
      <c r="I225" s="16">
        <v>0.041</v>
      </c>
      <c r="J225" s="16">
        <v>0.807</v>
      </c>
      <c r="K225" s="16">
        <v>-1.83</v>
      </c>
      <c r="L225" s="16">
        <v>-1.63</v>
      </c>
      <c r="M225" s="16">
        <v>7.19998830848628</v>
      </c>
      <c r="N225" s="16">
        <v>-0.77284437035914</v>
      </c>
      <c r="O225" s="16">
        <v>1.2388947754503</v>
      </c>
      <c r="P225" s="12"/>
      <c r="Q225" s="17" t="s">
        <v>28</v>
      </c>
      <c r="S225" s="14">
        <v>0.74173</v>
      </c>
      <c r="T225" s="14">
        <v>0.357</v>
      </c>
      <c r="U225" s="14">
        <v>0.059307806</v>
      </c>
    </row>
    <row r="226">
      <c r="A226" s="10" t="s">
        <v>57</v>
      </c>
      <c r="B226" s="11">
        <v>2023.0</v>
      </c>
      <c r="C226" s="11">
        <v>114.0</v>
      </c>
      <c r="D226" s="11">
        <v>4.397</v>
      </c>
      <c r="E226" s="11">
        <v>7.261</v>
      </c>
      <c r="F226" s="11">
        <v>0.722</v>
      </c>
      <c r="G226" s="11">
        <v>53.125</v>
      </c>
      <c r="H226" s="11">
        <v>0.677</v>
      </c>
      <c r="I226" s="11">
        <v>0.221</v>
      </c>
      <c r="J226" s="11">
        <v>0.807</v>
      </c>
      <c r="K226" s="11">
        <v>3.56547005056437</v>
      </c>
      <c r="L226" s="12"/>
      <c r="M226" s="11">
        <v>-0.518924473368722</v>
      </c>
      <c r="N226" s="11">
        <v>10.0834360584827</v>
      </c>
      <c r="O226" s="12"/>
      <c r="P226" s="12"/>
      <c r="Q226" s="13" t="s">
        <v>28</v>
      </c>
      <c r="S226" s="14">
        <v>0.74302</v>
      </c>
      <c r="T226" s="14">
        <v>0.35733</v>
      </c>
      <c r="U226" s="14">
        <v>0.059739888</v>
      </c>
    </row>
    <row r="227">
      <c r="A227" s="15" t="s">
        <v>58</v>
      </c>
      <c r="B227" s="16">
        <v>2015.0</v>
      </c>
      <c r="C227" s="16">
        <v>27.0</v>
      </c>
      <c r="D227" s="16">
        <v>6.67</v>
      </c>
      <c r="E227" s="16">
        <v>1.10715</v>
      </c>
      <c r="F227" s="16">
        <v>1.12447</v>
      </c>
      <c r="G227" s="16">
        <v>0.85857</v>
      </c>
      <c r="H227" s="16">
        <v>0.44132</v>
      </c>
      <c r="I227" s="16">
        <v>0.33363</v>
      </c>
      <c r="J227" s="16">
        <v>0.12869</v>
      </c>
      <c r="K227" s="16">
        <v>5.16170835494995</v>
      </c>
      <c r="L227" s="16">
        <v>7.11759567260742</v>
      </c>
      <c r="M227" s="16">
        <v>4.964545703468</v>
      </c>
      <c r="N227" s="16">
        <v>4.34887027740478</v>
      </c>
      <c r="O227" s="16">
        <v>4.6726861000061</v>
      </c>
      <c r="P227" s="16">
        <v>-1.22585225105285</v>
      </c>
      <c r="Q227" s="17" t="s">
        <v>32</v>
      </c>
      <c r="S227" s="14">
        <v>0.743307352</v>
      </c>
      <c r="T227" s="14">
        <v>0.359</v>
      </c>
      <c r="U227" s="14">
        <v>0.05989</v>
      </c>
    </row>
    <row r="228">
      <c r="A228" s="10" t="s">
        <v>58</v>
      </c>
      <c r="B228" s="11">
        <v>2016.0</v>
      </c>
      <c r="C228" s="11">
        <v>24.0</v>
      </c>
      <c r="D228" s="11">
        <v>6.705</v>
      </c>
      <c r="E228" s="11">
        <v>1.2167</v>
      </c>
      <c r="F228" s="11">
        <v>0.90587</v>
      </c>
      <c r="G228" s="11">
        <v>0.81883</v>
      </c>
      <c r="H228" s="11">
        <v>0.37789</v>
      </c>
      <c r="I228" s="11">
        <v>0.31595</v>
      </c>
      <c r="J228" s="11">
        <v>0.11451</v>
      </c>
      <c r="K228" s="11">
        <v>5.46870422363281</v>
      </c>
      <c r="L228" s="11">
        <v>3.82033514976501</v>
      </c>
      <c r="M228" s="11">
        <v>4.42839280734737</v>
      </c>
      <c r="N228" s="11">
        <v>3.78665924072265</v>
      </c>
      <c r="O228" s="11">
        <v>4.00176286697387</v>
      </c>
      <c r="P228" s="11">
        <v>-0.696888089179992</v>
      </c>
      <c r="Q228" s="13" t="s">
        <v>32</v>
      </c>
      <c r="S228" s="14">
        <v>0.744</v>
      </c>
      <c r="T228" s="14">
        <v>0.359</v>
      </c>
      <c r="U228" s="14">
        <v>0.06</v>
      </c>
    </row>
    <row r="229">
      <c r="A229" s="15" t="s">
        <v>58</v>
      </c>
      <c r="B229" s="16">
        <v>2017.0</v>
      </c>
      <c r="C229" s="16">
        <v>20.0</v>
      </c>
      <c r="D229" s="16">
        <v>6.65199995</v>
      </c>
      <c r="E229" s="16">
        <v>1.25278461</v>
      </c>
      <c r="F229" s="16">
        <v>1.284024954</v>
      </c>
      <c r="G229" s="16">
        <v>0.819479704</v>
      </c>
      <c r="H229" s="16">
        <v>0.376895279</v>
      </c>
      <c r="I229" s="16">
        <v>0.326662421</v>
      </c>
      <c r="J229" s="16">
        <v>0.082287982</v>
      </c>
      <c r="K229" s="16">
        <v>3.61645174026489</v>
      </c>
      <c r="L229" s="16">
        <v>2.01072239875793</v>
      </c>
      <c r="M229" s="16">
        <v>4.81686937945767</v>
      </c>
      <c r="N229" s="16">
        <v>2.183</v>
      </c>
      <c r="O229" s="16">
        <v>2.03156757354736</v>
      </c>
      <c r="P229" s="16">
        <v>9.74842929840088</v>
      </c>
      <c r="Q229" s="17" t="s">
        <v>32</v>
      </c>
      <c r="S229" s="14">
        <v>0.746</v>
      </c>
      <c r="T229" s="14">
        <v>0.35972</v>
      </c>
      <c r="U229" s="14">
        <v>0.06</v>
      </c>
    </row>
    <row r="230">
      <c r="A230" s="10" t="s">
        <v>58</v>
      </c>
      <c r="B230" s="11">
        <v>2018.0</v>
      </c>
      <c r="C230" s="11">
        <v>25.0</v>
      </c>
      <c r="D230" s="11">
        <v>6.476</v>
      </c>
      <c r="E230" s="11">
        <v>1.131</v>
      </c>
      <c r="F230" s="11">
        <v>1.331</v>
      </c>
      <c r="G230" s="11">
        <v>0.808</v>
      </c>
      <c r="H230" s="11">
        <v>0.431</v>
      </c>
      <c r="I230" s="11">
        <v>0.197</v>
      </c>
      <c r="J230" s="11">
        <v>0.061</v>
      </c>
      <c r="K230" s="11">
        <v>4.28631114959716</v>
      </c>
      <c r="L230" s="11">
        <v>3.06356835365295</v>
      </c>
      <c r="M230" s="11">
        <v>2.34624108346208</v>
      </c>
      <c r="N230" s="11">
        <v>2.44</v>
      </c>
      <c r="O230" s="11">
        <v>1.71732759475708</v>
      </c>
      <c r="P230" s="11">
        <v>4.87710571289062</v>
      </c>
      <c r="Q230" s="13" t="s">
        <v>32</v>
      </c>
      <c r="S230" s="14">
        <v>0.746</v>
      </c>
      <c r="T230" s="14">
        <v>0.36023</v>
      </c>
      <c r="U230" s="14">
        <v>0.06</v>
      </c>
    </row>
    <row r="231">
      <c r="A231" s="15" t="s">
        <v>58</v>
      </c>
      <c r="B231" s="16">
        <v>2019.0</v>
      </c>
      <c r="C231" s="16">
        <v>26.0</v>
      </c>
      <c r="D231" s="16">
        <v>6.444</v>
      </c>
      <c r="E231" s="16">
        <v>1.159</v>
      </c>
      <c r="F231" s="16">
        <v>1.369</v>
      </c>
      <c r="G231" s="16">
        <v>0.92</v>
      </c>
      <c r="H231" s="16">
        <v>0.357</v>
      </c>
      <c r="I231" s="16">
        <v>0.187</v>
      </c>
      <c r="J231" s="16">
        <v>0.056</v>
      </c>
      <c r="K231" s="16">
        <v>2.23108005523681</v>
      </c>
      <c r="L231" s="16">
        <v>2.37666678428649</v>
      </c>
      <c r="M231" s="16">
        <v>1.93674270710379</v>
      </c>
      <c r="N231" s="16">
        <v>2.25300002098083</v>
      </c>
      <c r="O231" s="16">
        <v>2.21000003814697</v>
      </c>
      <c r="P231" s="16">
        <v>1.90071618556976</v>
      </c>
      <c r="Q231" s="17" t="s">
        <v>32</v>
      </c>
      <c r="S231" s="14">
        <v>0.747</v>
      </c>
      <c r="T231" s="14">
        <v>0.361</v>
      </c>
      <c r="U231" s="14">
        <v>0.060477726</v>
      </c>
    </row>
    <row r="232">
      <c r="A232" s="10" t="s">
        <v>58</v>
      </c>
      <c r="B232" s="11">
        <v>2020.0</v>
      </c>
      <c r="C232" s="11">
        <v>39.0</v>
      </c>
      <c r="D232" s="11">
        <v>6.228499889</v>
      </c>
      <c r="E232" s="11">
        <v>1.096992493</v>
      </c>
      <c r="F232" s="11">
        <v>0.879713595</v>
      </c>
      <c r="G232" s="11">
        <v>69.90061951</v>
      </c>
      <c r="H232" s="11">
        <v>0.744896293</v>
      </c>
      <c r="I232" s="11">
        <v>-0.065668367</v>
      </c>
      <c r="J232" s="11">
        <v>0.838239431</v>
      </c>
      <c r="K232" s="11">
        <v>2.85881682544522</v>
      </c>
      <c r="L232" s="11">
        <v>6.73900318145752</v>
      </c>
      <c r="M232" s="11">
        <v>8.27327078951722</v>
      </c>
      <c r="N232" s="11">
        <v>3.04549084804303</v>
      </c>
      <c r="O232" s="11">
        <v>2.28614282608032</v>
      </c>
      <c r="P232" s="11">
        <v>2.28341418477693</v>
      </c>
      <c r="Q232" s="13" t="s">
        <v>32</v>
      </c>
      <c r="S232" s="14">
        <v>0.747</v>
      </c>
      <c r="T232" s="14">
        <v>0.361466587</v>
      </c>
      <c r="U232" s="14">
        <v>0.060929015</v>
      </c>
    </row>
    <row r="233">
      <c r="A233" s="15" t="s">
        <v>58</v>
      </c>
      <c r="B233" s="16">
        <v>2021.0</v>
      </c>
      <c r="C233" s="16">
        <v>43.0</v>
      </c>
      <c r="D233" s="16">
        <v>6.172</v>
      </c>
      <c r="E233" s="16">
        <v>10.071</v>
      </c>
      <c r="F233" s="16">
        <v>0.882</v>
      </c>
      <c r="G233" s="16">
        <v>70.0</v>
      </c>
      <c r="H233" s="16">
        <v>0.742</v>
      </c>
      <c r="I233" s="16">
        <v>-0.044</v>
      </c>
      <c r="J233" s="16">
        <v>0.83</v>
      </c>
      <c r="K233" s="16">
        <v>9.013948</v>
      </c>
      <c r="L233" s="16">
        <v>5.406</v>
      </c>
      <c r="M233" s="16">
        <v>7.55988300070245</v>
      </c>
      <c r="N233" s="16">
        <v>4.524569</v>
      </c>
      <c r="O233" s="16">
        <v>3.821</v>
      </c>
      <c r="P233" s="16">
        <v>11.54</v>
      </c>
      <c r="Q233" s="17" t="s">
        <v>32</v>
      </c>
      <c r="S233" s="14">
        <v>0.747694969</v>
      </c>
      <c r="T233" s="14">
        <v>0.362</v>
      </c>
      <c r="U233" s="14">
        <v>0.061</v>
      </c>
    </row>
    <row r="234">
      <c r="A234" s="10" t="s">
        <v>58</v>
      </c>
      <c r="B234" s="11">
        <v>2022.0</v>
      </c>
      <c r="C234" s="11">
        <v>44.0</v>
      </c>
      <c r="D234" s="11">
        <v>6.172</v>
      </c>
      <c r="E234" s="11">
        <v>1.651</v>
      </c>
      <c r="F234" s="11">
        <v>1.08</v>
      </c>
      <c r="G234" s="11">
        <v>0.748</v>
      </c>
      <c r="H234" s="11">
        <v>0.46</v>
      </c>
      <c r="I234" s="11">
        <v>0.124</v>
      </c>
      <c r="J234" s="11">
        <v>0.069</v>
      </c>
      <c r="K234" s="11">
        <v>20.8571926661293</v>
      </c>
      <c r="L234" s="11">
        <v>17.72102</v>
      </c>
      <c r="M234" s="11">
        <v>6.22858450114252</v>
      </c>
      <c r="N234" s="11">
        <v>11.64387</v>
      </c>
      <c r="O234" s="11">
        <v>8.93760611205431</v>
      </c>
      <c r="P234" s="11">
        <v>23.9987003270336</v>
      </c>
      <c r="Q234" s="13" t="s">
        <v>32</v>
      </c>
      <c r="S234" s="14">
        <v>0.748</v>
      </c>
      <c r="T234" s="14">
        <v>0.363</v>
      </c>
      <c r="U234" s="14">
        <v>0.061</v>
      </c>
    </row>
    <row r="235">
      <c r="A235" s="15" t="s">
        <v>58</v>
      </c>
      <c r="B235" s="16">
        <v>2023.0</v>
      </c>
      <c r="C235" s="16">
        <v>35.0</v>
      </c>
      <c r="D235" s="16">
        <v>6.334</v>
      </c>
      <c r="E235" s="16">
        <v>10.114</v>
      </c>
      <c r="F235" s="16">
        <v>0.889</v>
      </c>
      <c r="G235" s="16">
        <v>70.3</v>
      </c>
      <c r="H235" s="16">
        <v>0.792</v>
      </c>
      <c r="I235" s="16">
        <v>-0.011</v>
      </c>
      <c r="J235" s="16">
        <v>0.823</v>
      </c>
      <c r="K235" s="16">
        <v>3.75840769098081</v>
      </c>
      <c r="L235" s="16">
        <v>12.2164825729815</v>
      </c>
      <c r="M235" s="16">
        <v>7.42813121623219</v>
      </c>
      <c r="N235" s="16">
        <v>7.58168251407969</v>
      </c>
      <c r="O235" s="16">
        <v>6.67890657510634</v>
      </c>
      <c r="P235" s="16">
        <v>-4.53750223151649</v>
      </c>
      <c r="Q235" s="17" t="s">
        <v>32</v>
      </c>
      <c r="S235" s="14">
        <v>0.75</v>
      </c>
      <c r="T235" s="14">
        <v>0.363658696</v>
      </c>
      <c r="U235" s="14">
        <v>0.061</v>
      </c>
    </row>
    <row r="236">
      <c r="A236" s="10" t="s">
        <v>59</v>
      </c>
      <c r="B236" s="11">
        <v>2015.0</v>
      </c>
      <c r="C236" s="11">
        <v>84.0</v>
      </c>
      <c r="D236" s="11">
        <v>5.14</v>
      </c>
      <c r="E236" s="11">
        <v>0.89012</v>
      </c>
      <c r="F236" s="11">
        <v>0.94675</v>
      </c>
      <c r="G236" s="11">
        <v>0.81658</v>
      </c>
      <c r="H236" s="11">
        <v>0.51697</v>
      </c>
      <c r="I236" s="11">
        <v>0.08185</v>
      </c>
      <c r="J236" s="11">
        <v>0.02781</v>
      </c>
      <c r="K236" s="11">
        <v>0.654418885707855</v>
      </c>
      <c r="L236" s="11">
        <v>2.45027256011962</v>
      </c>
      <c r="M236" s="11">
        <v>0.0119937632430998</v>
      </c>
      <c r="N236" s="11">
        <v>1.43702185153961</v>
      </c>
      <c r="O236" s="11">
        <v>1.56201303005218</v>
      </c>
      <c r="P236" s="11">
        <v>-5.18953800201416</v>
      </c>
      <c r="Q236" s="13" t="s">
        <v>24</v>
      </c>
      <c r="S236" s="14">
        <v>0.753</v>
      </c>
      <c r="T236" s="14">
        <v>0.36432</v>
      </c>
      <c r="U236" s="14">
        <v>0.06115783</v>
      </c>
    </row>
    <row r="237">
      <c r="A237" s="15" t="s">
        <v>59</v>
      </c>
      <c r="B237" s="16">
        <v>2016.0</v>
      </c>
      <c r="C237" s="16">
        <v>83.0</v>
      </c>
      <c r="D237" s="16">
        <v>5.245</v>
      </c>
      <c r="E237" s="16">
        <v>1.0278</v>
      </c>
      <c r="F237" s="16">
        <v>0.79381</v>
      </c>
      <c r="G237" s="16">
        <v>0.73561</v>
      </c>
      <c r="H237" s="16">
        <v>0.44012</v>
      </c>
      <c r="I237" s="16">
        <v>0.04959</v>
      </c>
      <c r="J237" s="16">
        <v>0.02745</v>
      </c>
      <c r="K237" s="16">
        <v>1.26698696613311</v>
      </c>
      <c r="L237" s="16">
        <v>4.48332977294921</v>
      </c>
      <c r="M237" s="16">
        <v>0.856451870802699</v>
      </c>
      <c r="N237" s="16">
        <v>2.0</v>
      </c>
      <c r="O237" s="16">
        <v>1.63546764850616</v>
      </c>
      <c r="P237" s="16">
        <v>-1.00392842292785</v>
      </c>
      <c r="Q237" s="17" t="s">
        <v>24</v>
      </c>
      <c r="S237" s="14">
        <v>0.754372597</v>
      </c>
      <c r="T237" s="14">
        <v>0.36453</v>
      </c>
      <c r="U237" s="14">
        <v>0.06126</v>
      </c>
    </row>
    <row r="238">
      <c r="A238" s="10" t="s">
        <v>59</v>
      </c>
      <c r="B238" s="11">
        <v>2017.0</v>
      </c>
      <c r="C238" s="11">
        <v>79.0</v>
      </c>
      <c r="D238" s="11">
        <v>5.272999763</v>
      </c>
      <c r="E238" s="11">
        <v>1.081165791</v>
      </c>
      <c r="F238" s="11">
        <v>1.160837412</v>
      </c>
      <c r="G238" s="11">
        <v>0.741415501</v>
      </c>
      <c r="H238" s="11">
        <v>0.472787708</v>
      </c>
      <c r="I238" s="11">
        <v>0.028806841</v>
      </c>
      <c r="J238" s="11">
        <v>0.022794275</v>
      </c>
      <c r="K238" s="11">
        <v>2.6257300376892</v>
      </c>
      <c r="L238" s="11">
        <v>-1.34790194034576</v>
      </c>
      <c r="M238" s="11">
        <v>3.90800725319803</v>
      </c>
      <c r="N238" s="11">
        <v>1.558</v>
      </c>
      <c r="O238" s="11">
        <v>2.20236921310424</v>
      </c>
      <c r="P238" s="11">
        <v>6.25220441818237</v>
      </c>
      <c r="Q238" s="13" t="s">
        <v>24</v>
      </c>
      <c r="S238" s="14">
        <v>0.75473</v>
      </c>
      <c r="T238" s="14">
        <v>0.367</v>
      </c>
      <c r="U238" s="14">
        <v>0.06137</v>
      </c>
    </row>
    <row r="239">
      <c r="A239" s="15" t="s">
        <v>59</v>
      </c>
      <c r="B239" s="16">
        <v>2018.0</v>
      </c>
      <c r="C239" s="16">
        <v>86.0</v>
      </c>
      <c r="D239" s="16">
        <v>5.246</v>
      </c>
      <c r="E239" s="16">
        <v>0.989</v>
      </c>
      <c r="F239" s="16">
        <v>1.142</v>
      </c>
      <c r="G239" s="16">
        <v>0.799</v>
      </c>
      <c r="H239" s="16">
        <v>0.597</v>
      </c>
      <c r="I239" s="16">
        <v>0.029</v>
      </c>
      <c r="J239" s="16">
        <v>0.103</v>
      </c>
      <c r="K239" s="16">
        <v>2.26178860664367</v>
      </c>
      <c r="L239" s="16">
        <v>1.83523678779602</v>
      </c>
      <c r="M239" s="16">
        <v>3.50927382825538</v>
      </c>
      <c r="N239" s="16">
        <v>2.07</v>
      </c>
      <c r="O239" s="16">
        <v>1.77693200111389</v>
      </c>
      <c r="P239" s="16">
        <v>3.58535981178283</v>
      </c>
      <c r="Q239" s="17" t="s">
        <v>24</v>
      </c>
      <c r="S239" s="14">
        <v>0.755</v>
      </c>
      <c r="T239" s="14">
        <v>0.36703</v>
      </c>
      <c r="U239" s="14">
        <v>0.06146</v>
      </c>
    </row>
    <row r="240">
      <c r="A240" s="10" t="s">
        <v>59</v>
      </c>
      <c r="B240" s="11">
        <v>2019.0</v>
      </c>
      <c r="C240" s="11">
        <v>93.0</v>
      </c>
      <c r="D240" s="11">
        <v>5.191</v>
      </c>
      <c r="E240" s="11">
        <v>1.029</v>
      </c>
      <c r="F240" s="11">
        <v>1.125</v>
      </c>
      <c r="G240" s="11">
        <v>0.893</v>
      </c>
      <c r="H240" s="11">
        <v>0.521</v>
      </c>
      <c r="I240" s="11">
        <v>0.058</v>
      </c>
      <c r="J240" s="11">
        <v>0.1</v>
      </c>
      <c r="K240" s="11">
        <v>1.3031780719757</v>
      </c>
      <c r="L240" s="11">
        <v>9.3494701385498</v>
      </c>
      <c r="M240" s="11">
        <v>2.23041135013127</v>
      </c>
      <c r="N240" s="11">
        <v>2.90300011634826</v>
      </c>
      <c r="O240" s="11">
        <v>1.70322120189666</v>
      </c>
      <c r="P240" s="11">
        <v>-0.471419811248779</v>
      </c>
      <c r="Q240" s="13" t="s">
        <v>24</v>
      </c>
      <c r="S240" s="14">
        <v>0.75596</v>
      </c>
      <c r="T240" s="14">
        <v>0.36712</v>
      </c>
      <c r="U240" s="14">
        <v>0.062</v>
      </c>
    </row>
    <row r="241">
      <c r="A241" s="15" t="s">
        <v>59</v>
      </c>
      <c r="B241" s="16">
        <v>2020.0</v>
      </c>
      <c r="C241" s="16">
        <v>94.0</v>
      </c>
      <c r="D241" s="16">
        <v>5.123899937</v>
      </c>
      <c r="E241" s="16">
        <v>0.990533412</v>
      </c>
      <c r="F241" s="16">
        <v>0.798760593</v>
      </c>
      <c r="G241" s="16">
        <v>69.2891922</v>
      </c>
      <c r="H241" s="16">
        <v>0.898517907</v>
      </c>
      <c r="I241" s="16">
        <v>-0.18142575</v>
      </c>
      <c r="J241" s="16">
        <v>0.7539711</v>
      </c>
      <c r="K241" s="16">
        <v>-1.57370025541733</v>
      </c>
      <c r="L241" s="16">
        <v>10.6806859970092</v>
      </c>
      <c r="M241" s="16">
        <v>0.274858965809353</v>
      </c>
      <c r="N241" s="16">
        <v>2.41942189457742</v>
      </c>
      <c r="O241" s="16">
        <v>0.733676970005035</v>
      </c>
      <c r="P241" s="16">
        <v>-1.83326411247253</v>
      </c>
      <c r="Q241" s="17" t="s">
        <v>24</v>
      </c>
      <c r="S241" s="14">
        <v>0.75602</v>
      </c>
      <c r="T241" s="14">
        <v>0.36772</v>
      </c>
      <c r="U241" s="14">
        <v>0.062</v>
      </c>
    </row>
    <row r="242">
      <c r="A242" s="10" t="s">
        <v>59</v>
      </c>
      <c r="B242" s="11">
        <v>2021.0</v>
      </c>
      <c r="C242" s="11">
        <v>84.0</v>
      </c>
      <c r="D242" s="11">
        <v>5.339</v>
      </c>
      <c r="E242" s="11">
        <v>9.673</v>
      </c>
      <c r="F242" s="11">
        <v>0.811</v>
      </c>
      <c r="G242" s="11">
        <v>69.593</v>
      </c>
      <c r="H242" s="11">
        <v>0.904</v>
      </c>
      <c r="I242" s="11">
        <v>-0.146</v>
      </c>
      <c r="J242" s="11">
        <v>0.755</v>
      </c>
      <c r="K242" s="11">
        <v>1.9</v>
      </c>
      <c r="L242" s="11">
        <v>-1.70189466251611</v>
      </c>
      <c r="M242" s="11">
        <v>4.37178689808872</v>
      </c>
      <c r="N242" s="11">
        <v>0.9</v>
      </c>
      <c r="O242" s="11">
        <v>0.826666666666668</v>
      </c>
      <c r="P242" s="11">
        <v>1.64628410159892</v>
      </c>
      <c r="Q242" s="13" t="s">
        <v>24</v>
      </c>
      <c r="S242" s="14">
        <v>0.75695</v>
      </c>
      <c r="T242" s="14">
        <v>0.37</v>
      </c>
      <c r="U242" s="14">
        <v>0.06232</v>
      </c>
    </row>
    <row r="243">
      <c r="A243" s="15" t="s">
        <v>59</v>
      </c>
      <c r="B243" s="16">
        <v>2022.0</v>
      </c>
      <c r="C243" s="16">
        <v>72.0</v>
      </c>
      <c r="D243" s="16">
        <v>5.585</v>
      </c>
      <c r="E243" s="16">
        <v>1.508</v>
      </c>
      <c r="F243" s="16">
        <v>0.958</v>
      </c>
      <c r="G243" s="16">
        <v>0.705</v>
      </c>
      <c r="H243" s="16">
        <v>0.656</v>
      </c>
      <c r="I243" s="16">
        <v>0.099</v>
      </c>
      <c r="J243" s="16">
        <v>0.142</v>
      </c>
      <c r="K243" s="16">
        <v>2.06666666666666</v>
      </c>
      <c r="L243" s="16">
        <v>2.47913854499424</v>
      </c>
      <c r="M243" s="16">
        <v>2.34561991383437</v>
      </c>
      <c r="N243" s="16">
        <v>1.9735755573906</v>
      </c>
      <c r="O243" s="16">
        <v>0.661200740544809</v>
      </c>
      <c r="P243" s="16">
        <v>8.73911641405991</v>
      </c>
      <c r="Q243" s="17" t="s">
        <v>24</v>
      </c>
      <c r="S243" s="14">
        <v>0.757</v>
      </c>
      <c r="T243" s="14">
        <v>0.37012</v>
      </c>
      <c r="U243" s="14">
        <v>0.063</v>
      </c>
    </row>
    <row r="244">
      <c r="A244" s="10" t="s">
        <v>59</v>
      </c>
      <c r="B244" s="11">
        <v>2023.0</v>
      </c>
      <c r="C244" s="11">
        <v>64.0</v>
      </c>
      <c r="D244" s="11">
        <v>5.818</v>
      </c>
      <c r="E244" s="11">
        <v>9.738</v>
      </c>
      <c r="F244" s="11">
        <v>0.836</v>
      </c>
      <c r="G244" s="11">
        <v>68.689</v>
      </c>
      <c r="H244" s="11">
        <v>0.882</v>
      </c>
      <c r="I244" s="11">
        <v>-0.041</v>
      </c>
      <c r="J244" s="11">
        <v>0.727</v>
      </c>
      <c r="K244" s="11">
        <v>0.232094789978626</v>
      </c>
      <c r="L244" s="11">
        <v>-0.322659573759791</v>
      </c>
      <c r="M244" s="11">
        <v>-0.559293402415203</v>
      </c>
      <c r="N244" s="11">
        <v>0.234836828893051</v>
      </c>
      <c r="O244" s="11">
        <v>0.588708617971606</v>
      </c>
      <c r="P244" s="12"/>
      <c r="Q244" s="13" t="s">
        <v>24</v>
      </c>
      <c r="S244" s="14">
        <v>0.757479429</v>
      </c>
      <c r="T244" s="14">
        <v>0.3703</v>
      </c>
      <c r="U244" s="14">
        <v>0.063</v>
      </c>
    </row>
    <row r="245">
      <c r="A245" s="15" t="s">
        <v>60</v>
      </c>
      <c r="B245" s="16">
        <v>2015.0</v>
      </c>
      <c r="C245" s="16">
        <v>33.0</v>
      </c>
      <c r="D245" s="16">
        <v>6.477</v>
      </c>
      <c r="E245" s="16">
        <v>0.91861</v>
      </c>
      <c r="F245" s="16">
        <v>1.24018</v>
      </c>
      <c r="G245" s="16">
        <v>0.69077</v>
      </c>
      <c r="H245" s="16">
        <v>0.53466</v>
      </c>
      <c r="I245" s="16">
        <v>0.18401</v>
      </c>
      <c r="J245" s="16">
        <v>0.0512</v>
      </c>
      <c r="K245" s="16">
        <v>4.06319046020507</v>
      </c>
      <c r="L245" s="16">
        <v>8.63176250457763</v>
      </c>
      <c r="M245" s="16">
        <v>2.44956919956152</v>
      </c>
      <c r="N245" s="16">
        <v>4.9902319908142</v>
      </c>
      <c r="O245" s="16">
        <v>4.19245529174804</v>
      </c>
      <c r="P245" s="16">
        <v>3.88978385925292</v>
      </c>
      <c r="Q245" s="17" t="s">
        <v>32</v>
      </c>
      <c r="S245" s="14">
        <v>0.76042</v>
      </c>
      <c r="T245" s="14">
        <v>0.371</v>
      </c>
      <c r="U245" s="14">
        <v>0.06332</v>
      </c>
    </row>
    <row r="246">
      <c r="A246" s="10" t="s">
        <v>60</v>
      </c>
      <c r="B246" s="11">
        <v>2016.0</v>
      </c>
      <c r="C246" s="11">
        <v>31.0</v>
      </c>
      <c r="D246" s="11">
        <v>6.481</v>
      </c>
      <c r="E246" s="11">
        <v>1.03032</v>
      </c>
      <c r="F246" s="11">
        <v>1.02169</v>
      </c>
      <c r="G246" s="11">
        <v>0.59659</v>
      </c>
      <c r="H246" s="11">
        <v>0.44735</v>
      </c>
      <c r="I246" s="11">
        <v>0.15626</v>
      </c>
      <c r="J246" s="11">
        <v>0.05399</v>
      </c>
      <c r="K246" s="11">
        <v>5.92511367797851</v>
      </c>
      <c r="L246" s="11">
        <v>13.1094665527343</v>
      </c>
      <c r="M246" s="11">
        <v>5.14799999999999</v>
      </c>
      <c r="N246" s="11">
        <v>7.51428985595703</v>
      </c>
      <c r="O246" s="11">
        <v>6.57999801635742</v>
      </c>
      <c r="P246" s="11">
        <v>5.40456247329711</v>
      </c>
      <c r="Q246" s="13" t="s">
        <v>32</v>
      </c>
      <c r="S246" s="14">
        <v>0.76062</v>
      </c>
      <c r="T246" s="14">
        <v>0.37269</v>
      </c>
      <c r="U246" s="14">
        <v>0.06358</v>
      </c>
    </row>
    <row r="247">
      <c r="A247" s="15" t="s">
        <v>60</v>
      </c>
      <c r="B247" s="16">
        <v>2017.0</v>
      </c>
      <c r="C247" s="16">
        <v>36.0</v>
      </c>
      <c r="D247" s="16">
        <v>6.356999874</v>
      </c>
      <c r="E247" s="16">
        <v>1.070622325</v>
      </c>
      <c r="F247" s="16">
        <v>1.402182937</v>
      </c>
      <c r="G247" s="16">
        <v>0.595027924</v>
      </c>
      <c r="H247" s="16">
        <v>0.477487415</v>
      </c>
      <c r="I247" s="16">
        <v>0.149014473</v>
      </c>
      <c r="J247" s="16">
        <v>0.046668742</v>
      </c>
      <c r="K247" s="16">
        <v>4.54457235336303</v>
      </c>
      <c r="L247" s="16">
        <v>0.688759982585907</v>
      </c>
      <c r="M247" s="16">
        <v>5.13371628561647</v>
      </c>
      <c r="N247" s="16">
        <v>4.314</v>
      </c>
      <c r="O247" s="16">
        <v>5.05724239349365</v>
      </c>
      <c r="P247" s="16">
        <v>0.874810934066772</v>
      </c>
      <c r="Q247" s="17" t="s">
        <v>32</v>
      </c>
      <c r="S247" s="14">
        <v>0.762</v>
      </c>
      <c r="T247" s="14">
        <v>0.37408</v>
      </c>
      <c r="U247" s="14">
        <v>0.063829236</v>
      </c>
    </row>
    <row r="248">
      <c r="A248" s="10" t="s">
        <v>60</v>
      </c>
      <c r="B248" s="11">
        <v>2018.0</v>
      </c>
      <c r="C248" s="11">
        <v>37.0</v>
      </c>
      <c r="D248" s="11">
        <v>6.26</v>
      </c>
      <c r="E248" s="11">
        <v>0.96</v>
      </c>
      <c r="F248" s="11">
        <v>1.439</v>
      </c>
      <c r="G248" s="11">
        <v>0.635</v>
      </c>
      <c r="H248" s="11">
        <v>0.531</v>
      </c>
      <c r="I248" s="11">
        <v>0.099</v>
      </c>
      <c r="J248" s="11">
        <v>0.039</v>
      </c>
      <c r="K248" s="11">
        <v>4.02192258834838</v>
      </c>
      <c r="L248" s="11">
        <v>0.829778611660003</v>
      </c>
      <c r="M248" s="11">
        <v>4.63065149349592</v>
      </c>
      <c r="N248" s="11">
        <v>3.24</v>
      </c>
      <c r="O248" s="11">
        <v>3.34835028648376</v>
      </c>
      <c r="P248" s="11">
        <v>5.14007568359375</v>
      </c>
      <c r="Q248" s="13" t="s">
        <v>32</v>
      </c>
      <c r="S248" s="14">
        <v>0.7624</v>
      </c>
      <c r="T248" s="14">
        <v>0.375</v>
      </c>
      <c r="U248" s="14">
        <v>0.06398</v>
      </c>
    </row>
    <row r="249">
      <c r="A249" s="15" t="s">
        <v>60</v>
      </c>
      <c r="B249" s="16">
        <v>2019.0</v>
      </c>
      <c r="C249" s="16">
        <v>43.0</v>
      </c>
      <c r="D249" s="16">
        <v>6.125</v>
      </c>
      <c r="E249" s="16">
        <v>0.985</v>
      </c>
      <c r="F249" s="16">
        <v>1.41</v>
      </c>
      <c r="G249" s="16">
        <v>0.841</v>
      </c>
      <c r="H249" s="16">
        <v>0.47</v>
      </c>
      <c r="I249" s="16">
        <v>0.099</v>
      </c>
      <c r="J249" s="16">
        <v>0.034</v>
      </c>
      <c r="K249" s="16">
        <v>5.69727897644043</v>
      </c>
      <c r="L249" s="16">
        <v>4.88603687286376</v>
      </c>
      <c r="M249" s="16">
        <v>4.01072061557082</v>
      </c>
      <c r="N249" s="16">
        <v>3.52099990844726</v>
      </c>
      <c r="O249" s="16">
        <v>3.43510174751281</v>
      </c>
      <c r="P249" s="16">
        <v>4.33694887161254</v>
      </c>
      <c r="Q249" s="17" t="s">
        <v>32</v>
      </c>
      <c r="S249" s="14">
        <v>0.763092756</v>
      </c>
      <c r="T249" s="14">
        <v>0.37502</v>
      </c>
      <c r="U249" s="14">
        <v>0.064</v>
      </c>
    </row>
    <row r="250">
      <c r="A250" s="10" t="s">
        <v>60</v>
      </c>
      <c r="B250" s="11">
        <v>2020.0</v>
      </c>
      <c r="C250" s="11">
        <v>44.0</v>
      </c>
      <c r="D250" s="11">
        <v>6.163400173</v>
      </c>
      <c r="E250" s="11">
        <v>0.93220371</v>
      </c>
      <c r="F250" s="11">
        <v>0.884440243</v>
      </c>
      <c r="G250" s="11">
        <v>67.69958496</v>
      </c>
      <c r="H250" s="11">
        <v>0.836179912</v>
      </c>
      <c r="I250" s="11">
        <v>-0.161235645</v>
      </c>
      <c r="J250" s="11">
        <v>0.86457181</v>
      </c>
      <c r="K250" s="11">
        <v>-1.13116300106048</v>
      </c>
      <c r="L250" s="11">
        <v>5.55298900604248</v>
      </c>
      <c r="M250" s="11">
        <v>1.42971139779225</v>
      </c>
      <c r="N250" s="11">
        <v>2.52462053498888</v>
      </c>
      <c r="O250" s="11">
        <v>2.24775</v>
      </c>
      <c r="P250" s="11">
        <v>3.22204518935512</v>
      </c>
      <c r="Q250" s="13" t="s">
        <v>32</v>
      </c>
      <c r="S250" s="14">
        <v>0.764</v>
      </c>
      <c r="T250" s="14">
        <v>0.37545</v>
      </c>
      <c r="U250" s="14">
        <v>0.064</v>
      </c>
    </row>
    <row r="251">
      <c r="A251" s="15" t="s">
        <v>60</v>
      </c>
      <c r="B251" s="16">
        <v>2021.0</v>
      </c>
      <c r="C251" s="16">
        <v>52.0</v>
      </c>
      <c r="D251" s="16">
        <v>6.012</v>
      </c>
      <c r="E251" s="16">
        <v>9.557</v>
      </c>
      <c r="F251" s="16">
        <v>0.847</v>
      </c>
      <c r="G251" s="16">
        <v>68.001</v>
      </c>
      <c r="H251" s="16">
        <v>0.837</v>
      </c>
      <c r="I251" s="16">
        <v>-0.135</v>
      </c>
      <c r="J251" s="16">
        <v>0.841</v>
      </c>
      <c r="K251" s="16">
        <v>5.126013</v>
      </c>
      <c r="L251" s="16">
        <v>9.726</v>
      </c>
      <c r="M251" s="16">
        <v>6.50221478654836</v>
      </c>
      <c r="N251" s="16">
        <v>3.495146</v>
      </c>
      <c r="O251" s="16">
        <v>2.073</v>
      </c>
      <c r="P251" s="16">
        <v>8.67</v>
      </c>
      <c r="Q251" s="17" t="s">
        <v>32</v>
      </c>
      <c r="S251" s="14">
        <v>0.764994621</v>
      </c>
      <c r="T251" s="14">
        <v>0.376895279</v>
      </c>
      <c r="U251" s="14">
        <v>0.064</v>
      </c>
    </row>
    <row r="252">
      <c r="A252" s="10" t="s">
        <v>60</v>
      </c>
      <c r="B252" s="11">
        <v>2022.0</v>
      </c>
      <c r="C252" s="11">
        <v>66.0</v>
      </c>
      <c r="D252" s="11">
        <v>5.781</v>
      </c>
      <c r="E252" s="11">
        <v>1.452</v>
      </c>
      <c r="F252" s="11">
        <v>0.929</v>
      </c>
      <c r="G252" s="11">
        <v>0.72</v>
      </c>
      <c r="H252" s="11">
        <v>0.545</v>
      </c>
      <c r="I252" s="11">
        <v>0.087</v>
      </c>
      <c r="J252" s="11">
        <v>0.077</v>
      </c>
      <c r="K252" s="11">
        <v>14.9878501141081</v>
      </c>
      <c r="L252" s="11">
        <v>24.96117</v>
      </c>
      <c r="M252" s="11">
        <v>12.4254959655218</v>
      </c>
      <c r="N252" s="11">
        <v>10.17724</v>
      </c>
      <c r="O252" s="11">
        <v>6.50391802290537</v>
      </c>
      <c r="P252" s="11">
        <v>29.5581215014418</v>
      </c>
      <c r="Q252" s="13" t="s">
        <v>32</v>
      </c>
      <c r="S252" s="14">
        <v>0.765</v>
      </c>
      <c r="T252" s="14">
        <v>0.37709</v>
      </c>
      <c r="U252" s="14">
        <v>0.064</v>
      </c>
    </row>
    <row r="253">
      <c r="A253" s="15" t="s">
        <v>60</v>
      </c>
      <c r="B253" s="16">
        <v>2023.0</v>
      </c>
      <c r="C253" s="16">
        <v>72.0</v>
      </c>
      <c r="D253" s="16">
        <v>5.63</v>
      </c>
      <c r="E253" s="16">
        <v>9.584</v>
      </c>
      <c r="F253" s="16">
        <v>0.822</v>
      </c>
      <c r="G253" s="16">
        <v>69.35</v>
      </c>
      <c r="H253" s="16">
        <v>0.804</v>
      </c>
      <c r="I253" s="16">
        <v>-0.104</v>
      </c>
      <c r="J253" s="16">
        <v>0.834</v>
      </c>
      <c r="K253" s="16">
        <v>21.7028459665491</v>
      </c>
      <c r="L253" s="16">
        <v>14.7525136453393</v>
      </c>
      <c r="M253" s="16">
        <v>7.0765835300601</v>
      </c>
      <c r="N253" s="16">
        <v>11.7359044948689</v>
      </c>
      <c r="O253" s="16">
        <v>9.97854457829872</v>
      </c>
      <c r="P253" s="12"/>
      <c r="Q253" s="17" t="s">
        <v>32</v>
      </c>
      <c r="S253" s="14">
        <v>0.765</v>
      </c>
      <c r="T253" s="14">
        <v>0.37725</v>
      </c>
      <c r="U253" s="14">
        <v>0.064</v>
      </c>
    </row>
    <row r="254">
      <c r="A254" s="10" t="s">
        <v>61</v>
      </c>
      <c r="B254" s="11">
        <v>2015.0</v>
      </c>
      <c r="C254" s="11">
        <v>140.0</v>
      </c>
      <c r="D254" s="11">
        <v>3.956</v>
      </c>
      <c r="E254" s="11">
        <v>0.23906</v>
      </c>
      <c r="F254" s="11">
        <v>0.79273</v>
      </c>
      <c r="G254" s="11">
        <v>0.36315</v>
      </c>
      <c r="H254" s="11">
        <v>0.22917</v>
      </c>
      <c r="I254" s="11">
        <v>0.17441</v>
      </c>
      <c r="J254" s="11">
        <v>0.199</v>
      </c>
      <c r="K254" s="12"/>
      <c r="L254" s="11">
        <v>-0.281186997890472</v>
      </c>
      <c r="M254" s="11">
        <v>-0.67235959675554</v>
      </c>
      <c r="N254" s="11">
        <v>2.0</v>
      </c>
      <c r="O254" s="12"/>
      <c r="P254" s="12"/>
      <c r="Q254" s="13" t="s">
        <v>28</v>
      </c>
      <c r="S254" s="14">
        <v>0.766</v>
      </c>
      <c r="T254" s="14">
        <v>0.37789</v>
      </c>
      <c r="U254" s="14">
        <v>0.064</v>
      </c>
    </row>
    <row r="255">
      <c r="A255" s="15" t="s">
        <v>61</v>
      </c>
      <c r="B255" s="16">
        <v>2016.0</v>
      </c>
      <c r="C255" s="16">
        <v>138.0</v>
      </c>
      <c r="D255" s="16">
        <v>3.956</v>
      </c>
      <c r="E255" s="16">
        <v>0.27509</v>
      </c>
      <c r="F255" s="16">
        <v>0.60323</v>
      </c>
      <c r="G255" s="16">
        <v>0.29981</v>
      </c>
      <c r="H255" s="16">
        <v>0.15412</v>
      </c>
      <c r="I255" s="16">
        <v>0.1827</v>
      </c>
      <c r="J255" s="16">
        <v>0.18437</v>
      </c>
      <c r="K255" s="12"/>
      <c r="L255" s="12"/>
      <c r="M255" s="16">
        <v>1.58147075055187</v>
      </c>
      <c r="N255" s="16">
        <v>1.79999995231628</v>
      </c>
      <c r="O255" s="12"/>
      <c r="P255" s="12"/>
      <c r="Q255" s="17" t="s">
        <v>28</v>
      </c>
      <c r="S255" s="14">
        <v>0.766</v>
      </c>
      <c r="T255" s="14">
        <v>0.377922267</v>
      </c>
      <c r="U255" s="14">
        <v>0.064</v>
      </c>
    </row>
    <row r="256">
      <c r="A256" s="10" t="s">
        <v>61</v>
      </c>
      <c r="B256" s="11">
        <v>2019.0</v>
      </c>
      <c r="C256" s="11">
        <v>142.0</v>
      </c>
      <c r="D256" s="11">
        <v>3.973</v>
      </c>
      <c r="E256" s="11">
        <v>0.274</v>
      </c>
      <c r="F256" s="11">
        <v>0.757</v>
      </c>
      <c r="G256" s="11">
        <v>0.505</v>
      </c>
      <c r="H256" s="11">
        <v>0.142</v>
      </c>
      <c r="I256" s="11">
        <v>0.275</v>
      </c>
      <c r="J256" s="11">
        <v>0.078</v>
      </c>
      <c r="K256" s="12"/>
      <c r="L256" s="12"/>
      <c r="M256" s="11">
        <v>4.59007025446233</v>
      </c>
      <c r="N256" s="11">
        <v>3.70099997520446</v>
      </c>
      <c r="O256" s="12"/>
      <c r="P256" s="12"/>
      <c r="Q256" s="13" t="s">
        <v>28</v>
      </c>
      <c r="S256" s="14">
        <v>0.767</v>
      </c>
      <c r="T256" s="14">
        <v>0.37904</v>
      </c>
      <c r="U256" s="14">
        <v>0.06413</v>
      </c>
    </row>
    <row r="257">
      <c r="A257" s="15" t="s">
        <v>61</v>
      </c>
      <c r="B257" s="16">
        <v>2020.0</v>
      </c>
      <c r="C257" s="16">
        <v>134.0</v>
      </c>
      <c r="D257" s="16">
        <v>4.288599968</v>
      </c>
      <c r="E257" s="16">
        <v>0.415620774</v>
      </c>
      <c r="F257" s="16">
        <v>0.625662446</v>
      </c>
      <c r="G257" s="16">
        <v>57.34901047</v>
      </c>
      <c r="H257" s="16">
        <v>0.547612607</v>
      </c>
      <c r="I257" s="16">
        <v>0.090008408</v>
      </c>
      <c r="J257" s="16">
        <v>0.780622602</v>
      </c>
      <c r="K257" s="12"/>
      <c r="L257" s="12"/>
      <c r="M257" s="16">
        <v>1.20522585932603</v>
      </c>
      <c r="N257" s="16">
        <v>3.0</v>
      </c>
      <c r="O257" s="12"/>
      <c r="P257" s="12"/>
      <c r="Q257" s="17" t="s">
        <v>28</v>
      </c>
      <c r="S257" s="14">
        <v>0.768</v>
      </c>
      <c r="T257" s="14">
        <v>0.37938</v>
      </c>
      <c r="U257" s="14">
        <v>0.06442</v>
      </c>
    </row>
    <row r="258">
      <c r="A258" s="10" t="s">
        <v>61</v>
      </c>
      <c r="B258" s="11">
        <v>2021.0</v>
      </c>
      <c r="C258" s="11">
        <v>131.0</v>
      </c>
      <c r="D258" s="11">
        <v>4.289</v>
      </c>
      <c r="E258" s="11">
        <v>8.031</v>
      </c>
      <c r="F258" s="11">
        <v>0.626</v>
      </c>
      <c r="G258" s="11">
        <v>57.349</v>
      </c>
      <c r="H258" s="11">
        <v>0.548</v>
      </c>
      <c r="I258" s="11">
        <v>0.082</v>
      </c>
      <c r="J258" s="11">
        <v>0.781</v>
      </c>
      <c r="K258" s="12"/>
      <c r="L258" s="12"/>
      <c r="M258" s="11">
        <v>0.0595773973808757</v>
      </c>
      <c r="N258" s="11">
        <v>-0.176</v>
      </c>
      <c r="O258" s="12"/>
      <c r="P258" s="12"/>
      <c r="Q258" s="13" t="s">
        <v>28</v>
      </c>
      <c r="S258" s="14">
        <v>0.77</v>
      </c>
      <c r="T258" s="14">
        <v>0.38</v>
      </c>
      <c r="U258" s="14">
        <v>0.064641319</v>
      </c>
    </row>
    <row r="259">
      <c r="A259" s="15" t="s">
        <v>61</v>
      </c>
      <c r="B259" s="16">
        <v>2023.0</v>
      </c>
      <c r="C259" s="16">
        <v>130.0</v>
      </c>
      <c r="D259" s="16">
        <v>3.545</v>
      </c>
      <c r="E259" s="16">
        <v>8.075</v>
      </c>
      <c r="F259" s="16">
        <v>0.471</v>
      </c>
      <c r="G259" s="16">
        <v>59.425</v>
      </c>
      <c r="H259" s="16">
        <v>0.47</v>
      </c>
      <c r="I259" s="16">
        <v>-0.014</v>
      </c>
      <c r="J259" s="16">
        <v>0.727</v>
      </c>
      <c r="K259" s="12"/>
      <c r="L259" s="12"/>
      <c r="M259" s="16">
        <v>2.90734458970156</v>
      </c>
      <c r="N259" s="16">
        <v>8.482</v>
      </c>
      <c r="O259" s="12"/>
      <c r="P259" s="12"/>
      <c r="Q259" s="17" t="s">
        <v>28</v>
      </c>
      <c r="S259" s="14">
        <v>0.770290196</v>
      </c>
      <c r="T259" s="14">
        <v>0.38041</v>
      </c>
      <c r="U259" s="14">
        <v>0.065</v>
      </c>
    </row>
    <row r="260">
      <c r="A260" s="10" t="s">
        <v>62</v>
      </c>
      <c r="B260" s="11">
        <v>2015.0</v>
      </c>
      <c r="C260" s="11">
        <v>12.0</v>
      </c>
      <c r="D260" s="11">
        <v>7.226</v>
      </c>
      <c r="E260" s="11">
        <v>0.95578</v>
      </c>
      <c r="F260" s="11">
        <v>1.23788</v>
      </c>
      <c r="G260" s="11">
        <v>0.86027</v>
      </c>
      <c r="H260" s="11">
        <v>0.63376</v>
      </c>
      <c r="I260" s="11">
        <v>0.25497</v>
      </c>
      <c r="J260" s="11">
        <v>0.10583</v>
      </c>
      <c r="K260" s="11">
        <v>-2.15755295753479</v>
      </c>
      <c r="L260" s="11">
        <v>3.18539547920227</v>
      </c>
      <c r="M260" s="11">
        <v>3.95530117198146</v>
      </c>
      <c r="N260" s="11">
        <v>0.801950454711914</v>
      </c>
      <c r="O260" s="11">
        <v>1.81223320960998</v>
      </c>
      <c r="P260" s="11">
        <v>1.29379117488861</v>
      </c>
      <c r="Q260" s="13" t="s">
        <v>43</v>
      </c>
      <c r="S260" s="14">
        <v>0.77265</v>
      </c>
      <c r="T260" s="14">
        <v>0.380426139</v>
      </c>
      <c r="U260" s="14">
        <v>0.06547</v>
      </c>
    </row>
    <row r="261">
      <c r="A261" s="15" t="s">
        <v>62</v>
      </c>
      <c r="B261" s="16">
        <v>2016.0</v>
      </c>
      <c r="C261" s="16">
        <v>14.0</v>
      </c>
      <c r="D261" s="16">
        <v>7.087</v>
      </c>
      <c r="E261" s="16">
        <v>1.06879</v>
      </c>
      <c r="F261" s="16">
        <v>1.02152</v>
      </c>
      <c r="G261" s="16">
        <v>0.76146</v>
      </c>
      <c r="H261" s="16">
        <v>0.55225</v>
      </c>
      <c r="I261" s="16">
        <v>0.22553</v>
      </c>
      <c r="J261" s="16">
        <v>0.10547</v>
      </c>
      <c r="K261" s="16">
        <v>1.14804315567016</v>
      </c>
      <c r="L261" s="16">
        <v>-0.813522279262542</v>
      </c>
      <c r="M261" s="16">
        <v>1.95903642255619</v>
      </c>
      <c r="N261" s="16">
        <v>-0.0175552368164062</v>
      </c>
      <c r="O261" s="16">
        <v>0.143937870860099</v>
      </c>
      <c r="P261" s="16">
        <v>-1.05755293369293</v>
      </c>
      <c r="Q261" s="17" t="s">
        <v>43</v>
      </c>
      <c r="S261" s="14">
        <v>0.773080647</v>
      </c>
      <c r="T261" s="14">
        <v>0.381</v>
      </c>
      <c r="U261" s="14">
        <v>0.065600708</v>
      </c>
    </row>
    <row r="262">
      <c r="A262" s="10" t="s">
        <v>62</v>
      </c>
      <c r="B262" s="11">
        <v>2017.0</v>
      </c>
      <c r="C262" s="11">
        <v>12.0</v>
      </c>
      <c r="D262" s="11">
        <v>7.078999996</v>
      </c>
      <c r="E262" s="11">
        <v>1.109706283</v>
      </c>
      <c r="F262" s="11">
        <v>1.416403651</v>
      </c>
      <c r="G262" s="11">
        <v>0.759509265</v>
      </c>
      <c r="H262" s="11">
        <v>0.58013165</v>
      </c>
      <c r="I262" s="11">
        <v>0.214613229</v>
      </c>
      <c r="J262" s="11">
        <v>0.100106589</v>
      </c>
      <c r="K262" s="11">
        <v>1.23162317276</v>
      </c>
      <c r="L262" s="11">
        <v>1.68395614624023</v>
      </c>
      <c r="M262" s="11">
        <v>2.85843593462317</v>
      </c>
      <c r="N262" s="11">
        <v>1.626</v>
      </c>
      <c r="O262" s="11">
        <v>1.24176883697509</v>
      </c>
      <c r="P262" s="11">
        <v>2.31963372230529</v>
      </c>
      <c r="Q262" s="13" t="s">
        <v>43</v>
      </c>
      <c r="S262" s="14">
        <v>0.7737</v>
      </c>
      <c r="T262" s="14">
        <v>0.381</v>
      </c>
      <c r="U262" s="14">
        <v>0.066</v>
      </c>
    </row>
    <row r="263">
      <c r="A263" s="15" t="s">
        <v>62</v>
      </c>
      <c r="B263" s="16">
        <v>2018.0</v>
      </c>
      <c r="C263" s="16">
        <v>13.0</v>
      </c>
      <c r="D263" s="16">
        <v>7.072</v>
      </c>
      <c r="E263" s="16">
        <v>1.01</v>
      </c>
      <c r="F263" s="16">
        <v>1.459</v>
      </c>
      <c r="G263" s="16">
        <v>0.817</v>
      </c>
      <c r="H263" s="16">
        <v>0.632</v>
      </c>
      <c r="I263" s="16">
        <v>0.143</v>
      </c>
      <c r="J263" s="16">
        <v>0.101</v>
      </c>
      <c r="K263" s="16">
        <v>4.33759546279907</v>
      </c>
      <c r="L263" s="16">
        <v>1.63299417495727</v>
      </c>
      <c r="M263" s="16">
        <v>2.614</v>
      </c>
      <c r="N263" s="16">
        <v>2.22</v>
      </c>
      <c r="O263" s="16">
        <v>2.09650516510009</v>
      </c>
      <c r="P263" s="16">
        <v>3.29988074302673</v>
      </c>
      <c r="Q263" s="17" t="s">
        <v>43</v>
      </c>
      <c r="S263" s="14">
        <v>0.774</v>
      </c>
      <c r="T263" s="14">
        <v>0.381498635</v>
      </c>
      <c r="U263" s="14">
        <v>0.066</v>
      </c>
    </row>
    <row r="264">
      <c r="A264" s="10" t="s">
        <v>62</v>
      </c>
      <c r="B264" s="11">
        <v>2019.0</v>
      </c>
      <c r="C264" s="11">
        <v>12.0</v>
      </c>
      <c r="D264" s="11">
        <v>7.167</v>
      </c>
      <c r="E264" s="11">
        <v>1.034</v>
      </c>
      <c r="F264" s="11">
        <v>1.441</v>
      </c>
      <c r="G264" s="11">
        <v>0.963</v>
      </c>
      <c r="H264" s="11">
        <v>0.558</v>
      </c>
      <c r="I264" s="11">
        <v>0.144</v>
      </c>
      <c r="J264" s="11">
        <v>0.093</v>
      </c>
      <c r="K264" s="11">
        <v>-1.01177501678466</v>
      </c>
      <c r="L264" s="11">
        <v>0.798682868480682</v>
      </c>
      <c r="M264" s="11">
        <v>2.2111992515641</v>
      </c>
      <c r="N264" s="11">
        <v>2.09699988365173</v>
      </c>
      <c r="O264" s="11">
        <v>2.37925839424133</v>
      </c>
      <c r="P264" s="11">
        <v>2.60442042350769</v>
      </c>
      <c r="Q264" s="13" t="s">
        <v>43</v>
      </c>
      <c r="S264" s="14">
        <v>0.774</v>
      </c>
      <c r="T264" s="14">
        <v>0.382</v>
      </c>
      <c r="U264" s="14">
        <v>0.066035107</v>
      </c>
    </row>
    <row r="265">
      <c r="A265" s="15" t="s">
        <v>62</v>
      </c>
      <c r="B265" s="16">
        <v>2020.0</v>
      </c>
      <c r="C265" s="16">
        <v>15.0</v>
      </c>
      <c r="D265" s="16">
        <v>7.121399879</v>
      </c>
      <c r="E265" s="16">
        <v>0.981107712</v>
      </c>
      <c r="F265" s="16">
        <v>0.901545942</v>
      </c>
      <c r="G265" s="16">
        <v>71.29985046</v>
      </c>
      <c r="H265" s="16">
        <v>0.934738934</v>
      </c>
      <c r="I265" s="16">
        <v>-0.10242971</v>
      </c>
      <c r="J265" s="16">
        <v>0.786332428</v>
      </c>
      <c r="K265" s="16">
        <v>1.91277541944613</v>
      </c>
      <c r="L265" s="16">
        <v>0.484795838594436</v>
      </c>
      <c r="M265" s="16">
        <v>0.524393848383447</v>
      </c>
      <c r="N265" s="16">
        <v>0.724911478131001</v>
      </c>
      <c r="O265" s="16">
        <v>1.310271</v>
      </c>
      <c r="P265" s="16">
        <v>0.135368481278419</v>
      </c>
      <c r="Q265" s="17" t="s">
        <v>43</v>
      </c>
      <c r="S265" s="14">
        <v>0.77416</v>
      </c>
      <c r="T265" s="14">
        <v>0.382</v>
      </c>
      <c r="U265" s="14">
        <v>0.06681</v>
      </c>
    </row>
    <row r="266">
      <c r="A266" s="10" t="s">
        <v>62</v>
      </c>
      <c r="B266" s="11">
        <v>2021.0</v>
      </c>
      <c r="C266" s="11">
        <v>16.0</v>
      </c>
      <c r="D266" s="11">
        <v>7.069</v>
      </c>
      <c r="E266" s="11">
        <v>9.88</v>
      </c>
      <c r="F266" s="11">
        <v>0.891</v>
      </c>
      <c r="G266" s="11">
        <v>71.4</v>
      </c>
      <c r="H266" s="11">
        <v>0.934</v>
      </c>
      <c r="I266" s="11">
        <v>-0.126</v>
      </c>
      <c r="J266" s="11">
        <v>0.809</v>
      </c>
      <c r="K266" s="11">
        <v>7.07</v>
      </c>
      <c r="L266" s="11">
        <v>2.241</v>
      </c>
      <c r="M266" s="11">
        <v>2.02914007969832</v>
      </c>
      <c r="N266" s="11">
        <v>1.726478</v>
      </c>
      <c r="O266" s="11">
        <v>0.884</v>
      </c>
      <c r="P266" s="11">
        <v>2.73721264567625</v>
      </c>
      <c r="Q266" s="13" t="s">
        <v>43</v>
      </c>
      <c r="S266" s="14">
        <v>0.774864435</v>
      </c>
      <c r="T266" s="14">
        <v>0.382</v>
      </c>
      <c r="U266" s="14">
        <v>0.06686</v>
      </c>
    </row>
    <row r="267">
      <c r="A267" s="15" t="s">
        <v>62</v>
      </c>
      <c r="B267" s="16">
        <v>2022.0</v>
      </c>
      <c r="C267" s="16">
        <v>23.0</v>
      </c>
      <c r="D267" s="16">
        <v>6.582</v>
      </c>
      <c r="E267" s="16">
        <v>1.584</v>
      </c>
      <c r="F267" s="16">
        <v>1.054</v>
      </c>
      <c r="G267" s="16">
        <v>0.744</v>
      </c>
      <c r="H267" s="16">
        <v>0.661</v>
      </c>
      <c r="I267" s="16">
        <v>0.089</v>
      </c>
      <c r="J267" s="16">
        <v>0.102</v>
      </c>
      <c r="K267" s="12"/>
      <c r="L267" s="16">
        <v>14.9596153878487</v>
      </c>
      <c r="M267" s="16">
        <v>5.45040697931105</v>
      </c>
      <c r="N267" s="16">
        <v>8.27477490232662</v>
      </c>
      <c r="O267" s="16">
        <v>4.54113073328095</v>
      </c>
      <c r="P267" s="16">
        <v>8.92475543634875</v>
      </c>
      <c r="Q267" s="17" t="s">
        <v>43</v>
      </c>
      <c r="S267" s="14">
        <v>0.776</v>
      </c>
      <c r="T267" s="14">
        <v>0.38282</v>
      </c>
      <c r="U267" s="14">
        <v>0.067</v>
      </c>
    </row>
    <row r="268">
      <c r="A268" s="10" t="s">
        <v>62</v>
      </c>
      <c r="B268" s="11">
        <v>2023.0</v>
      </c>
      <c r="C268" s="11">
        <v>23.0</v>
      </c>
      <c r="D268" s="11">
        <v>6.609</v>
      </c>
      <c r="E268" s="11">
        <v>9.952</v>
      </c>
      <c r="F268" s="11">
        <v>0.872</v>
      </c>
      <c r="G268" s="11">
        <v>70.0</v>
      </c>
      <c r="H268" s="11">
        <v>0.895</v>
      </c>
      <c r="I268" s="11">
        <v>-0.07</v>
      </c>
      <c r="J268" s="11">
        <v>0.768</v>
      </c>
      <c r="K268" s="11">
        <v>-9.90131384726841</v>
      </c>
      <c r="L268" s="11">
        <v>3.38263288914921</v>
      </c>
      <c r="M268" s="11">
        <v>-0.128822273492358</v>
      </c>
      <c r="N268" s="11">
        <v>0.525193508693455</v>
      </c>
      <c r="O268" s="11">
        <v>1.03909777872306</v>
      </c>
      <c r="P268" s="11">
        <v>-2.22585322073365</v>
      </c>
      <c r="Q268" s="13" t="s">
        <v>43</v>
      </c>
      <c r="S268" s="14">
        <v>0.776</v>
      </c>
      <c r="T268" s="14">
        <v>0.383</v>
      </c>
      <c r="U268" s="14">
        <v>0.067231975</v>
      </c>
    </row>
    <row r="269">
      <c r="A269" s="15" t="s">
        <v>63</v>
      </c>
      <c r="B269" s="16">
        <v>2015.0</v>
      </c>
      <c r="C269" s="16">
        <v>62.0</v>
      </c>
      <c r="D269" s="16">
        <v>5.759</v>
      </c>
      <c r="E269" s="16">
        <v>1.08254</v>
      </c>
      <c r="F269" s="16">
        <v>0.79624</v>
      </c>
      <c r="G269" s="16">
        <v>0.78805</v>
      </c>
      <c r="H269" s="16">
        <v>0.25883</v>
      </c>
      <c r="I269" s="16">
        <v>0.05444</v>
      </c>
      <c r="J269" s="16">
        <v>0.0243</v>
      </c>
      <c r="K269" s="16">
        <v>-5.9</v>
      </c>
      <c r="L269" s="16">
        <v>0.393169730901718</v>
      </c>
      <c r="M269" s="16">
        <v>0.0830689472261961</v>
      </c>
      <c r="N269" s="16">
        <v>-0.461234509944915</v>
      </c>
      <c r="O269" s="16">
        <v>0.730294644832611</v>
      </c>
      <c r="P269" s="16">
        <v>-3.68408393859863</v>
      </c>
      <c r="Q269" s="17" t="s">
        <v>26</v>
      </c>
      <c r="S269" s="14">
        <v>0.77623</v>
      </c>
      <c r="T269" s="14">
        <v>0.383</v>
      </c>
      <c r="U269" s="14">
        <v>0.068</v>
      </c>
    </row>
    <row r="270">
      <c r="A270" s="10" t="s">
        <v>63</v>
      </c>
      <c r="B270" s="11">
        <v>2016.0</v>
      </c>
      <c r="C270" s="11">
        <v>74.0</v>
      </c>
      <c r="D270" s="11">
        <v>5.488</v>
      </c>
      <c r="E270" s="11">
        <v>1.18649</v>
      </c>
      <c r="F270" s="11">
        <v>0.60809</v>
      </c>
      <c r="G270" s="11">
        <v>0.70524</v>
      </c>
      <c r="H270" s="11">
        <v>0.23907</v>
      </c>
      <c r="I270" s="11">
        <v>0.18434</v>
      </c>
      <c r="J270" s="11">
        <v>0.04002</v>
      </c>
      <c r="K270" s="11">
        <v>-5.7</v>
      </c>
      <c r="L270" s="11">
        <v>-0.474958896636962</v>
      </c>
      <c r="M270" s="11">
        <v>-0.0979999999999989</v>
      </c>
      <c r="N270" s="11">
        <v>-1.12009608745574</v>
      </c>
      <c r="O270" s="11">
        <v>0.141666665673255</v>
      </c>
      <c r="P270" s="11">
        <v>-3.96666741371154</v>
      </c>
      <c r="Q270" s="13" t="s">
        <v>26</v>
      </c>
      <c r="S270" s="14">
        <v>0.77711</v>
      </c>
      <c r="T270" s="14">
        <v>0.384</v>
      </c>
      <c r="U270" s="14">
        <v>0.068105951</v>
      </c>
    </row>
    <row r="271">
      <c r="A271" s="15" t="s">
        <v>63</v>
      </c>
      <c r="B271" s="16">
        <v>2017.0</v>
      </c>
      <c r="C271" s="16">
        <v>77.0</v>
      </c>
      <c r="D271" s="16">
        <v>5.293000221</v>
      </c>
      <c r="E271" s="16">
        <v>1.222556233</v>
      </c>
      <c r="F271" s="16">
        <v>0.967983007</v>
      </c>
      <c r="G271" s="16">
        <v>0.701288521</v>
      </c>
      <c r="H271" s="16">
        <v>0.255772293</v>
      </c>
      <c r="I271" s="16">
        <v>0.248002976</v>
      </c>
      <c r="J271" s="16">
        <v>0.04310311</v>
      </c>
      <c r="K271" s="16">
        <v>-0.1</v>
      </c>
      <c r="L271" s="16">
        <v>2.91359829902648</v>
      </c>
      <c r="M271" s="16">
        <v>1.16213889611819</v>
      </c>
      <c r="N271" s="16">
        <v>1.129</v>
      </c>
      <c r="O271" s="16">
        <v>0.707331299781799</v>
      </c>
      <c r="P271" s="16">
        <v>2.01318955421447</v>
      </c>
      <c r="Q271" s="17" t="s">
        <v>26</v>
      </c>
      <c r="S271" s="14">
        <v>0.77866</v>
      </c>
      <c r="T271" s="14">
        <v>0.387</v>
      </c>
      <c r="U271" s="14">
        <v>0.06825</v>
      </c>
    </row>
    <row r="272">
      <c r="A272" s="10" t="s">
        <v>63</v>
      </c>
      <c r="B272" s="11">
        <v>2018.0</v>
      </c>
      <c r="C272" s="11">
        <v>82.0</v>
      </c>
      <c r="D272" s="11">
        <v>5.321</v>
      </c>
      <c r="E272" s="11">
        <v>1.115</v>
      </c>
      <c r="F272" s="11">
        <v>1.161</v>
      </c>
      <c r="G272" s="11">
        <v>0.737</v>
      </c>
      <c r="H272" s="11">
        <v>0.38</v>
      </c>
      <c r="I272" s="11">
        <v>0.12</v>
      </c>
      <c r="J272" s="11">
        <v>0.039</v>
      </c>
      <c r="K272" s="11">
        <v>5.6</v>
      </c>
      <c r="L272" s="11">
        <v>0.992511451244354</v>
      </c>
      <c r="M272" s="11">
        <v>1.99974273472982</v>
      </c>
      <c r="N272" s="11">
        <v>1.5</v>
      </c>
      <c r="O272" s="11">
        <v>0.859362065792083</v>
      </c>
      <c r="P272" s="11">
        <v>2.11806774139404</v>
      </c>
      <c r="Q272" s="13" t="s">
        <v>26</v>
      </c>
      <c r="S272" s="14">
        <v>0.779</v>
      </c>
      <c r="T272" s="14">
        <v>0.38857</v>
      </c>
      <c r="U272" s="14">
        <v>0.069</v>
      </c>
    </row>
    <row r="273">
      <c r="A273" s="15" t="s">
        <v>63</v>
      </c>
      <c r="B273" s="16">
        <v>2019.0</v>
      </c>
      <c r="C273" s="16">
        <v>75.0</v>
      </c>
      <c r="D273" s="16">
        <v>5.432</v>
      </c>
      <c r="E273" s="16">
        <v>1.155</v>
      </c>
      <c r="F273" s="16">
        <v>1.266</v>
      </c>
      <c r="G273" s="16">
        <v>0.914</v>
      </c>
      <c r="H273" s="16">
        <v>0.296</v>
      </c>
      <c r="I273" s="16">
        <v>0.119</v>
      </c>
      <c r="J273" s="16">
        <v>0.022</v>
      </c>
      <c r="K273" s="16">
        <v>0.9</v>
      </c>
      <c r="L273" s="16">
        <v>-0.120831318199634</v>
      </c>
      <c r="M273" s="16">
        <v>1.49974777851072</v>
      </c>
      <c r="N273" s="16">
        <v>0.772000014781951</v>
      </c>
      <c r="O273" s="16">
        <v>0.909388840198516</v>
      </c>
      <c r="P273" s="16">
        <v>0.699707806110382</v>
      </c>
      <c r="Q273" s="17" t="s">
        <v>26</v>
      </c>
      <c r="S273" s="14">
        <v>0.779121757</v>
      </c>
      <c r="T273" s="14">
        <v>0.389</v>
      </c>
      <c r="U273" s="14">
        <v>0.06906</v>
      </c>
    </row>
    <row r="274">
      <c r="A274" s="10" t="s">
        <v>63</v>
      </c>
      <c r="B274" s="11">
        <v>2020.0</v>
      </c>
      <c r="C274" s="11">
        <v>79.0</v>
      </c>
      <c r="D274" s="11">
        <v>5.504700184</v>
      </c>
      <c r="E274" s="11">
        <v>1.109024286</v>
      </c>
      <c r="F274" s="11">
        <v>0.874623716</v>
      </c>
      <c r="G274" s="11">
        <v>70.21490479</v>
      </c>
      <c r="H274" s="11">
        <v>0.714838803</v>
      </c>
      <c r="I274" s="11">
        <v>-0.128538325</v>
      </c>
      <c r="J274" s="11">
        <v>0.916495264</v>
      </c>
      <c r="K274" s="11">
        <v>-6.5</v>
      </c>
      <c r="L274" s="11">
        <v>1.92757475376129</v>
      </c>
      <c r="M274" s="11">
        <v>0.995890280034408</v>
      </c>
      <c r="N274" s="11">
        <v>0.275000005960464</v>
      </c>
      <c r="O274" s="11">
        <v>0.998619794845581</v>
      </c>
      <c r="P274" s="11">
        <v>-3.31706547737121</v>
      </c>
      <c r="Q274" s="13" t="s">
        <v>26</v>
      </c>
      <c r="S274" s="14">
        <v>0.78</v>
      </c>
      <c r="T274" s="14">
        <v>0.389</v>
      </c>
      <c r="U274" s="14">
        <v>0.069720335</v>
      </c>
    </row>
    <row r="275">
      <c r="A275" s="15" t="s">
        <v>63</v>
      </c>
      <c r="B275" s="16">
        <v>2021.0</v>
      </c>
      <c r="C275" s="16">
        <v>60.0</v>
      </c>
      <c r="D275" s="16">
        <v>5.882</v>
      </c>
      <c r="E275" s="16">
        <v>10.217</v>
      </c>
      <c r="F275" s="16">
        <v>0.924</v>
      </c>
      <c r="G275" s="16">
        <v>70.799</v>
      </c>
      <c r="H275" s="16">
        <v>0.754</v>
      </c>
      <c r="I275" s="16">
        <v>-0.118</v>
      </c>
      <c r="J275" s="16">
        <v>0.939</v>
      </c>
      <c r="K275" s="16">
        <v>8.8</v>
      </c>
      <c r="L275" s="16">
        <v>1.62</v>
      </c>
      <c r="M275" s="16">
        <v>2.03495600097931</v>
      </c>
      <c r="N275" s="16">
        <v>2.55450699642042</v>
      </c>
      <c r="O275" s="16">
        <v>1.60771704180062</v>
      </c>
      <c r="P275" s="16">
        <v>8.0338809034914</v>
      </c>
      <c r="Q275" s="17" t="s">
        <v>26</v>
      </c>
      <c r="S275" s="14">
        <v>0.780495703</v>
      </c>
      <c r="T275" s="14">
        <v>0.39</v>
      </c>
      <c r="U275" s="14">
        <v>0.06977</v>
      </c>
    </row>
    <row r="276">
      <c r="A276" s="10" t="s">
        <v>63</v>
      </c>
      <c r="B276" s="11">
        <v>2022.0</v>
      </c>
      <c r="C276" s="11">
        <v>47.0</v>
      </c>
      <c r="D276" s="11">
        <v>6.125</v>
      </c>
      <c r="E276" s="11">
        <v>1.705</v>
      </c>
      <c r="F276" s="11">
        <v>1.183</v>
      </c>
      <c r="G276" s="11">
        <v>0.709</v>
      </c>
      <c r="H276" s="11">
        <v>0.535</v>
      </c>
      <c r="I276" s="11">
        <v>0.109</v>
      </c>
      <c r="J276" s="11">
        <v>0.0</v>
      </c>
      <c r="K276" s="11">
        <v>19.2074958957616</v>
      </c>
      <c r="L276" s="11">
        <v>14.8038982084937</v>
      </c>
      <c r="M276" s="11">
        <v>8.15774284881854</v>
      </c>
      <c r="N276" s="11">
        <v>10.7805806758686</v>
      </c>
      <c r="O276" s="11">
        <v>9.13581018771787</v>
      </c>
      <c r="P276" s="11">
        <v>19.9809931100021</v>
      </c>
      <c r="Q276" s="13" t="s">
        <v>26</v>
      </c>
      <c r="S276" s="14">
        <v>0.781</v>
      </c>
      <c r="T276" s="14">
        <v>0.39</v>
      </c>
      <c r="U276" s="14">
        <v>0.07008</v>
      </c>
    </row>
    <row r="277">
      <c r="A277" s="15" t="s">
        <v>63</v>
      </c>
      <c r="B277" s="16">
        <v>2023.0</v>
      </c>
      <c r="C277" s="16">
        <v>48.0</v>
      </c>
      <c r="D277" s="16">
        <v>6.125</v>
      </c>
      <c r="E277" s="16">
        <v>10.341</v>
      </c>
      <c r="F277" s="16">
        <v>0.917</v>
      </c>
      <c r="G277" s="16">
        <v>68.95</v>
      </c>
      <c r="H277" s="16">
        <v>0.757</v>
      </c>
      <c r="I277" s="16">
        <v>-0.093</v>
      </c>
      <c r="J277" s="16">
        <v>0.925</v>
      </c>
      <c r="K277" s="16">
        <v>0.375710822744121</v>
      </c>
      <c r="L277" s="16">
        <v>12.6864668727318</v>
      </c>
      <c r="M277" s="16">
        <v>8.65538239245456</v>
      </c>
      <c r="N277" s="16">
        <v>7.9412817758683</v>
      </c>
      <c r="O277" s="16">
        <v>7.63183267818738</v>
      </c>
      <c r="P277" s="16">
        <v>3.9273927392738</v>
      </c>
      <c r="Q277" s="17" t="s">
        <v>26</v>
      </c>
      <c r="S277" s="14">
        <v>0.782</v>
      </c>
      <c r="T277" s="14">
        <v>0.390017778</v>
      </c>
      <c r="U277" s="14">
        <v>0.070914097</v>
      </c>
    </row>
    <row r="278">
      <c r="A278" s="10" t="s">
        <v>64</v>
      </c>
      <c r="B278" s="11">
        <v>2015.0</v>
      </c>
      <c r="C278" s="11">
        <v>67.0</v>
      </c>
      <c r="D278" s="11">
        <v>5.689</v>
      </c>
      <c r="E278" s="11">
        <v>1.20813</v>
      </c>
      <c r="F278" s="11">
        <v>0.89318</v>
      </c>
      <c r="G278" s="11">
        <v>0.92356</v>
      </c>
      <c r="H278" s="11">
        <v>0.40672</v>
      </c>
      <c r="I278" s="11">
        <v>0.30638</v>
      </c>
      <c r="J278" s="11">
        <v>0.06146</v>
      </c>
      <c r="K278" s="11">
        <v>-14.8</v>
      </c>
      <c r="L278" s="11">
        <v>-0.31070002913475</v>
      </c>
      <c r="M278" s="11">
        <v>-0.59617536666766</v>
      </c>
      <c r="N278" s="11">
        <v>-2.09847855567932</v>
      </c>
      <c r="O278" s="11">
        <v>-0.338847917081924</v>
      </c>
      <c r="P278" s="11">
        <v>-5.13875579833984</v>
      </c>
      <c r="Q278" s="13" t="s">
        <v>26</v>
      </c>
      <c r="S278" s="14">
        <v>0.782</v>
      </c>
      <c r="T278" s="14">
        <v>0.39031</v>
      </c>
      <c r="U278" s="14">
        <v>0.070983924</v>
      </c>
    </row>
    <row r="279">
      <c r="A279" s="15" t="s">
        <v>64</v>
      </c>
      <c r="B279" s="16">
        <v>2016.0</v>
      </c>
      <c r="C279" s="16">
        <v>69.0</v>
      </c>
      <c r="D279" s="16">
        <v>5.546</v>
      </c>
      <c r="E279" s="16">
        <v>1.31857</v>
      </c>
      <c r="F279" s="16">
        <v>0.70697</v>
      </c>
      <c r="G279" s="16">
        <v>0.8488</v>
      </c>
      <c r="H279" s="16">
        <v>0.29507</v>
      </c>
      <c r="I279" s="16">
        <v>0.27906</v>
      </c>
      <c r="J279" s="16">
        <v>0.05228</v>
      </c>
      <c r="K279" s="16">
        <v>-9.5</v>
      </c>
      <c r="L279" s="16">
        <v>-0.260002136230468</v>
      </c>
      <c r="M279" s="16">
        <v>-0.556911581569113</v>
      </c>
      <c r="N279" s="16">
        <v>-1.42758119106292</v>
      </c>
      <c r="O279" s="16">
        <v>-0.659999999999996</v>
      </c>
      <c r="P279" s="16">
        <v>-4.11698818206787</v>
      </c>
      <c r="Q279" s="17" t="s">
        <v>26</v>
      </c>
      <c r="S279" s="14">
        <v>0.784</v>
      </c>
      <c r="T279" s="14">
        <v>0.390661299</v>
      </c>
      <c r="U279" s="14">
        <v>0.071</v>
      </c>
    </row>
    <row r="280">
      <c r="A280" s="10" t="s">
        <v>64</v>
      </c>
      <c r="B280" s="11">
        <v>2017.0</v>
      </c>
      <c r="C280" s="11">
        <v>65.0</v>
      </c>
      <c r="D280" s="11">
        <v>5.620999813</v>
      </c>
      <c r="E280" s="11">
        <v>1.355938077</v>
      </c>
      <c r="F280" s="11">
        <v>1.131363273</v>
      </c>
      <c r="G280" s="11">
        <v>0.844714701</v>
      </c>
      <c r="H280" s="11">
        <v>0.355111539</v>
      </c>
      <c r="I280" s="11">
        <v>0.271254301</v>
      </c>
      <c r="J280" s="11">
        <v>0.041237976</v>
      </c>
      <c r="K280" s="11">
        <v>8.4</v>
      </c>
      <c r="L280" s="11">
        <v>-0.29159066081047</v>
      </c>
      <c r="M280" s="11">
        <v>1.07998717640458</v>
      </c>
      <c r="N280" s="11">
        <v>0.681</v>
      </c>
      <c r="O280" s="11">
        <v>-0.0301993154821835</v>
      </c>
      <c r="P280" s="11">
        <v>3.08559489250183</v>
      </c>
      <c r="Q280" s="13" t="s">
        <v>26</v>
      </c>
      <c r="S280" s="14">
        <v>0.784</v>
      </c>
      <c r="T280" s="14">
        <v>0.39237</v>
      </c>
      <c r="U280" s="14">
        <v>0.071</v>
      </c>
    </row>
    <row r="281">
      <c r="A281" s="15" t="s">
        <v>64</v>
      </c>
      <c r="B281" s="16">
        <v>2018.0</v>
      </c>
      <c r="C281" s="16">
        <v>61.0</v>
      </c>
      <c r="D281" s="16">
        <v>5.762</v>
      </c>
      <c r="E281" s="16">
        <v>1.229</v>
      </c>
      <c r="F281" s="16">
        <v>1.191</v>
      </c>
      <c r="G281" s="16">
        <v>0.909</v>
      </c>
      <c r="H281" s="16">
        <v>0.423</v>
      </c>
      <c r="I281" s="16">
        <v>0.202</v>
      </c>
      <c r="J281" s="16">
        <v>0.035</v>
      </c>
      <c r="K281" s="16">
        <v>7.8</v>
      </c>
      <c r="L281" s="16">
        <v>0.726505517959594</v>
      </c>
      <c r="M281" s="16">
        <v>1.21910123495945</v>
      </c>
      <c r="N281" s="16">
        <v>1.43</v>
      </c>
      <c r="O281" s="16">
        <v>0.0604168764474899</v>
      </c>
      <c r="P281" s="16">
        <v>2.32716917991638</v>
      </c>
      <c r="Q281" s="17" t="s">
        <v>26</v>
      </c>
      <c r="S281" s="14">
        <v>0.78440702</v>
      </c>
      <c r="T281" s="14">
        <v>0.394</v>
      </c>
      <c r="U281" s="14">
        <v>0.071095176</v>
      </c>
    </row>
    <row r="282">
      <c r="A282" s="10" t="s">
        <v>64</v>
      </c>
      <c r="B282" s="11">
        <v>2019.0</v>
      </c>
      <c r="C282" s="11">
        <v>49.0</v>
      </c>
      <c r="D282" s="11">
        <v>6.046</v>
      </c>
      <c r="E282" s="11">
        <v>1.263</v>
      </c>
      <c r="F282" s="11">
        <v>1.223</v>
      </c>
      <c r="G282" s="11">
        <v>1.042</v>
      </c>
      <c r="H282" s="11">
        <v>0.406</v>
      </c>
      <c r="I282" s="11">
        <v>0.19</v>
      </c>
      <c r="J282" s="11">
        <v>0.041</v>
      </c>
      <c r="K282" s="11">
        <v>-2.0</v>
      </c>
      <c r="L282" s="11">
        <v>0.446109622716903</v>
      </c>
      <c r="M282" s="11">
        <v>0.88323998276605</v>
      </c>
      <c r="N282" s="11">
        <v>0.555999994277954</v>
      </c>
      <c r="O282" s="11">
        <v>0.633994163228333</v>
      </c>
      <c r="P282" s="11">
        <v>2.45550394058227</v>
      </c>
      <c r="Q282" s="13" t="s">
        <v>26</v>
      </c>
      <c r="S282" s="14">
        <v>0.785512447</v>
      </c>
      <c r="T282" s="14">
        <v>0.394</v>
      </c>
      <c r="U282" s="14">
        <v>0.07112</v>
      </c>
    </row>
    <row r="283">
      <c r="A283" s="15" t="s">
        <v>64</v>
      </c>
      <c r="B283" s="16">
        <v>2020.0</v>
      </c>
      <c r="C283" s="16">
        <v>45.0</v>
      </c>
      <c r="D283" s="16">
        <v>6.15899992</v>
      </c>
      <c r="E283" s="16">
        <v>1.21279943</v>
      </c>
      <c r="F283" s="16">
        <v>0.805996239</v>
      </c>
      <c r="G283" s="16">
        <v>73.70222473</v>
      </c>
      <c r="H283" s="16">
        <v>0.779858291</v>
      </c>
      <c r="I283" s="16">
        <v>0.043731496</v>
      </c>
      <c r="J283" s="16">
        <v>0.856271744</v>
      </c>
      <c r="K283" s="16">
        <v>-9.5</v>
      </c>
      <c r="L283" s="16">
        <v>1.22369084375777</v>
      </c>
      <c r="M283" s="16">
        <v>-0.703705860656527</v>
      </c>
      <c r="N283" s="16">
        <v>-0.638422797979639</v>
      </c>
      <c r="O283" s="16">
        <v>-0.620000000000004</v>
      </c>
      <c r="P283" s="16">
        <v>-2.5157261891598</v>
      </c>
      <c r="Q283" s="17" t="s">
        <v>26</v>
      </c>
      <c r="S283" s="14">
        <v>0.787</v>
      </c>
      <c r="T283" s="14">
        <v>0.394143969</v>
      </c>
      <c r="U283" s="14">
        <v>0.07122</v>
      </c>
    </row>
    <row r="284">
      <c r="A284" s="10" t="s">
        <v>64</v>
      </c>
      <c r="B284" s="11">
        <v>2021.0</v>
      </c>
      <c r="C284" s="11">
        <v>39.0</v>
      </c>
      <c r="D284" s="11">
        <v>6.223</v>
      </c>
      <c r="E284" s="11">
        <v>10.576</v>
      </c>
      <c r="F284" s="11">
        <v>0.802</v>
      </c>
      <c r="G284" s="11">
        <v>73.898</v>
      </c>
      <c r="H284" s="11">
        <v>0.763</v>
      </c>
      <c r="I284" s="11">
        <v>-0.015</v>
      </c>
      <c r="J284" s="11">
        <v>0.844</v>
      </c>
      <c r="K284" s="11">
        <v>14.3</v>
      </c>
      <c r="L284" s="11">
        <v>-0.38</v>
      </c>
      <c r="M284" s="11">
        <v>2.87114487078118</v>
      </c>
      <c r="N284" s="11">
        <v>0.492</v>
      </c>
      <c r="O284" s="11">
        <v>1.02636345341115</v>
      </c>
      <c r="P284" s="11">
        <v>6.56657317274377</v>
      </c>
      <c r="Q284" s="13" t="s">
        <v>26</v>
      </c>
      <c r="S284" s="14">
        <v>0.787</v>
      </c>
      <c r="T284" s="14">
        <v>0.39493</v>
      </c>
      <c r="U284" s="14">
        <v>0.072</v>
      </c>
    </row>
    <row r="285">
      <c r="A285" s="15" t="s">
        <v>64</v>
      </c>
      <c r="B285" s="16">
        <v>2022.0</v>
      </c>
      <c r="C285" s="16">
        <v>41.0</v>
      </c>
      <c r="D285" s="16">
        <v>6.221</v>
      </c>
      <c r="E285" s="16">
        <v>1.815</v>
      </c>
      <c r="F285" s="16">
        <v>0.909</v>
      </c>
      <c r="G285" s="16">
        <v>0.819</v>
      </c>
      <c r="H285" s="16">
        <v>0.448</v>
      </c>
      <c r="I285" s="16">
        <v>0.123</v>
      </c>
      <c r="J285" s="16">
        <v>0.062</v>
      </c>
      <c r="K285" s="16">
        <v>32.0830204306924</v>
      </c>
      <c r="L285" s="16">
        <v>7.94077991125914</v>
      </c>
      <c r="M285" s="16">
        <v>6.07181332621753</v>
      </c>
      <c r="N285" s="16">
        <v>8.3954829799334</v>
      </c>
      <c r="O285" s="16">
        <v>5.33716258839933</v>
      </c>
      <c r="P285" s="16">
        <v>22.8413657637796</v>
      </c>
      <c r="Q285" s="17" t="s">
        <v>26</v>
      </c>
      <c r="S285" s="14">
        <v>0.787</v>
      </c>
      <c r="T285" s="14">
        <v>0.394952565</v>
      </c>
      <c r="U285" s="14">
        <v>0.07247</v>
      </c>
    </row>
    <row r="286">
      <c r="A286" s="10" t="s">
        <v>64</v>
      </c>
      <c r="B286" s="11">
        <v>2023.0</v>
      </c>
      <c r="C286" s="11">
        <v>46.0</v>
      </c>
      <c r="D286" s="11">
        <v>6.13</v>
      </c>
      <c r="E286" s="11">
        <v>10.611</v>
      </c>
      <c r="F286" s="11">
        <v>0.826</v>
      </c>
      <c r="G286" s="11">
        <v>72.802</v>
      </c>
      <c r="H286" s="11">
        <v>0.724</v>
      </c>
      <c r="I286" s="11">
        <v>-0.06</v>
      </c>
      <c r="J286" s="11">
        <v>0.86</v>
      </c>
      <c r="K286" s="11">
        <v>-0.640382071295987</v>
      </c>
      <c r="L286" s="11">
        <v>7.73764215571717</v>
      </c>
      <c r="M286" s="11">
        <v>4.5692919830567</v>
      </c>
      <c r="N286" s="11">
        <v>3.54134188751663</v>
      </c>
      <c r="O286" s="11">
        <v>4.44975020881594</v>
      </c>
      <c r="P286" s="11">
        <v>4.95492655865811</v>
      </c>
      <c r="Q286" s="13" t="s">
        <v>26</v>
      </c>
      <c r="S286" s="14">
        <v>0.787886858</v>
      </c>
      <c r="T286" s="14">
        <v>0.395</v>
      </c>
      <c r="U286" s="14">
        <v>0.072509497</v>
      </c>
    </row>
    <row r="287">
      <c r="A287" s="15" t="s">
        <v>65</v>
      </c>
      <c r="B287" s="16">
        <v>2015.0</v>
      </c>
      <c r="C287" s="16">
        <v>31.0</v>
      </c>
      <c r="D287" s="16">
        <v>6.505</v>
      </c>
      <c r="E287" s="16">
        <v>1.17898</v>
      </c>
      <c r="F287" s="16">
        <v>1.20643</v>
      </c>
      <c r="G287" s="16">
        <v>0.84483</v>
      </c>
      <c r="H287" s="16">
        <v>0.46364</v>
      </c>
      <c r="I287" s="16">
        <v>0.10686</v>
      </c>
      <c r="J287" s="16">
        <v>0.02652</v>
      </c>
      <c r="K287" s="16">
        <v>1.04438591003417</v>
      </c>
      <c r="L287" s="16">
        <v>-1.10451900959014</v>
      </c>
      <c r="M287" s="16">
        <v>0.992758819192668</v>
      </c>
      <c r="N287" s="16">
        <v>0.309365570545196</v>
      </c>
      <c r="O287" s="16">
        <v>0.151813328266143</v>
      </c>
      <c r="P287" s="16">
        <v>-3.19560933113098</v>
      </c>
      <c r="Q287" s="12"/>
      <c r="S287" s="14">
        <v>0.78968</v>
      </c>
      <c r="T287" s="14">
        <v>0.396573007</v>
      </c>
      <c r="U287" s="14">
        <v>0.07267</v>
      </c>
    </row>
    <row r="288">
      <c r="A288" s="10" t="s">
        <v>65</v>
      </c>
      <c r="B288" s="11">
        <v>2016.0</v>
      </c>
      <c r="C288" s="11">
        <v>27.0</v>
      </c>
      <c r="D288" s="11">
        <v>6.596</v>
      </c>
      <c r="E288" s="11">
        <v>1.30915</v>
      </c>
      <c r="F288" s="11">
        <v>1.00793</v>
      </c>
      <c r="G288" s="11">
        <v>0.76376</v>
      </c>
      <c r="H288" s="11">
        <v>0.41418</v>
      </c>
      <c r="I288" s="11">
        <v>0.09929</v>
      </c>
      <c r="J288" s="11">
        <v>0.03986</v>
      </c>
      <c r="K288" s="11">
        <v>0.600148499011993</v>
      </c>
      <c r="L288" s="11">
        <v>-0.933482348918914</v>
      </c>
      <c r="M288" s="11">
        <v>1.141</v>
      </c>
      <c r="N288" s="11">
        <v>0.683505237102508</v>
      </c>
      <c r="O288" s="11">
        <v>0.505916237831115</v>
      </c>
      <c r="P288" s="11">
        <v>-3.25109648704528</v>
      </c>
      <c r="Q288" s="12"/>
      <c r="S288" s="14">
        <v>0.79</v>
      </c>
      <c r="T288" s="14">
        <v>0.397</v>
      </c>
      <c r="U288" s="14">
        <v>0.072711654</v>
      </c>
    </row>
    <row r="289">
      <c r="A289" s="15" t="s">
        <v>65</v>
      </c>
      <c r="B289" s="16">
        <v>2017.0</v>
      </c>
      <c r="C289" s="16">
        <v>23.0</v>
      </c>
      <c r="D289" s="16">
        <v>6.609000206</v>
      </c>
      <c r="E289" s="16">
        <v>1.352682352</v>
      </c>
      <c r="F289" s="16">
        <v>1.433885217</v>
      </c>
      <c r="G289" s="16">
        <v>0.754444003</v>
      </c>
      <c r="H289" s="16">
        <v>0.490946174</v>
      </c>
      <c r="I289" s="16">
        <v>0.088106759</v>
      </c>
      <c r="J289" s="16">
        <v>0.036872927</v>
      </c>
      <c r="K289" s="16">
        <v>1.64885199069976</v>
      </c>
      <c r="L289" s="16">
        <v>5.18256568908691</v>
      </c>
      <c r="M289" s="16">
        <v>1.30708614706201</v>
      </c>
      <c r="N289" s="16">
        <v>2.451</v>
      </c>
      <c r="O289" s="16">
        <v>2.56684517860412</v>
      </c>
      <c r="P289" s="16">
        <v>1.8352723121643</v>
      </c>
      <c r="Q289" s="12"/>
      <c r="S289" s="14">
        <v>0.790819228</v>
      </c>
      <c r="T289" s="14">
        <v>0.39747</v>
      </c>
      <c r="U289" s="14">
        <v>0.07296</v>
      </c>
    </row>
    <row r="290">
      <c r="A290" s="10" t="s">
        <v>65</v>
      </c>
      <c r="B290" s="11">
        <v>2018.0</v>
      </c>
      <c r="C290" s="11">
        <v>21.0</v>
      </c>
      <c r="D290" s="11">
        <v>6.711</v>
      </c>
      <c r="E290" s="11">
        <v>1.233</v>
      </c>
      <c r="F290" s="11">
        <v>1.489</v>
      </c>
      <c r="G290" s="11">
        <v>0.854</v>
      </c>
      <c r="H290" s="11">
        <v>0.543</v>
      </c>
      <c r="I290" s="11">
        <v>0.064</v>
      </c>
      <c r="J290" s="11">
        <v>0.034</v>
      </c>
      <c r="K290" s="11">
        <v>2.95891904830932</v>
      </c>
      <c r="L290" s="11">
        <v>1.31179201602935</v>
      </c>
      <c r="M290" s="11">
        <v>2.56873212769488</v>
      </c>
      <c r="N290" s="11">
        <v>2.15</v>
      </c>
      <c r="O290" s="11">
        <v>1.85783696174621</v>
      </c>
      <c r="P290" s="11">
        <v>2.04754590988159</v>
      </c>
      <c r="Q290" s="12"/>
      <c r="S290" s="14">
        <v>0.79117</v>
      </c>
      <c r="T290" s="14">
        <v>0.39778</v>
      </c>
      <c r="U290" s="14">
        <v>0.072975546</v>
      </c>
    </row>
    <row r="291">
      <c r="A291" s="15" t="s">
        <v>65</v>
      </c>
      <c r="B291" s="16">
        <v>2019.0</v>
      </c>
      <c r="C291" s="16">
        <v>20.0</v>
      </c>
      <c r="D291" s="16">
        <v>6.852</v>
      </c>
      <c r="E291" s="16">
        <v>1.269</v>
      </c>
      <c r="F291" s="16">
        <v>1.487</v>
      </c>
      <c r="G291" s="16">
        <v>0.92</v>
      </c>
      <c r="H291" s="16">
        <v>0.457</v>
      </c>
      <c r="I291" s="16">
        <v>0.046</v>
      </c>
      <c r="J291" s="16">
        <v>0.036</v>
      </c>
      <c r="K291" s="16">
        <v>5.05622577667236</v>
      </c>
      <c r="L291" s="16">
        <v>2.81856942176818</v>
      </c>
      <c r="M291" s="16">
        <v>3.86602597649745</v>
      </c>
      <c r="N291" s="16">
        <v>2.85599994659423</v>
      </c>
      <c r="O291" s="16">
        <v>2.2161693572998</v>
      </c>
      <c r="P291" s="16">
        <v>2.56196737289428</v>
      </c>
      <c r="Q291" s="12"/>
      <c r="S291" s="14">
        <v>0.791244686</v>
      </c>
      <c r="T291" s="14">
        <v>0.39786</v>
      </c>
      <c r="U291" s="14">
        <v>0.073</v>
      </c>
    </row>
    <row r="292">
      <c r="A292" s="10" t="s">
        <v>65</v>
      </c>
      <c r="B292" s="11">
        <v>2020.0</v>
      </c>
      <c r="C292" s="11">
        <v>19.0</v>
      </c>
      <c r="D292" s="11">
        <v>6.910900116</v>
      </c>
      <c r="E292" s="11">
        <v>1.212322354</v>
      </c>
      <c r="F292" s="11">
        <v>0.914430678</v>
      </c>
      <c r="G292" s="11">
        <v>70.04793549</v>
      </c>
      <c r="H292" s="11">
        <v>0.818537354</v>
      </c>
      <c r="I292" s="11">
        <v>-0.230861515</v>
      </c>
      <c r="J292" s="11">
        <v>0.85844624</v>
      </c>
      <c r="K292" s="11">
        <v>2.87088531489554</v>
      </c>
      <c r="L292" s="11">
        <v>4.53812503814697</v>
      </c>
      <c r="M292" s="11">
        <v>3.21918686674361</v>
      </c>
      <c r="N292" s="11">
        <v>3.1612952849774</v>
      </c>
      <c r="O292" s="11">
        <v>3.631627</v>
      </c>
      <c r="P292" s="11">
        <v>0.113171607255935</v>
      </c>
      <c r="Q292" s="12"/>
      <c r="S292" s="14">
        <v>0.792</v>
      </c>
      <c r="T292" s="14">
        <v>0.398</v>
      </c>
      <c r="U292" s="14">
        <v>0.073</v>
      </c>
    </row>
    <row r="293">
      <c r="A293" s="15" t="s">
        <v>65</v>
      </c>
      <c r="B293" s="16">
        <v>2021.0</v>
      </c>
      <c r="C293" s="16">
        <v>18.0</v>
      </c>
      <c r="D293" s="16">
        <v>6.965</v>
      </c>
      <c r="E293" s="16">
        <v>10.556</v>
      </c>
      <c r="F293" s="16">
        <v>0.947</v>
      </c>
      <c r="G293" s="16">
        <v>70.807</v>
      </c>
      <c r="H293" s="16">
        <v>0.858</v>
      </c>
      <c r="I293" s="16">
        <v>-0.208</v>
      </c>
      <c r="J293" s="16">
        <v>0.868</v>
      </c>
      <c r="K293" s="16">
        <v>1.394059</v>
      </c>
      <c r="L293" s="16">
        <v>0.801</v>
      </c>
      <c r="M293" s="16">
        <v>3.3317002737171</v>
      </c>
      <c r="N293" s="16">
        <v>3.839845</v>
      </c>
      <c r="O293" s="16">
        <v>4.99</v>
      </c>
      <c r="P293" s="16">
        <v>5.75</v>
      </c>
      <c r="Q293" s="12"/>
      <c r="S293" s="14">
        <v>0.79273</v>
      </c>
      <c r="T293" s="14">
        <v>0.398155838</v>
      </c>
      <c r="U293" s="14">
        <v>0.073345453</v>
      </c>
    </row>
    <row r="294">
      <c r="A294" s="10" t="s">
        <v>66</v>
      </c>
      <c r="B294" s="11">
        <v>2015.0</v>
      </c>
      <c r="C294" s="11">
        <v>3.0</v>
      </c>
      <c r="D294" s="11">
        <v>7.527</v>
      </c>
      <c r="E294" s="11">
        <v>1.32548</v>
      </c>
      <c r="F294" s="11">
        <v>1.36058</v>
      </c>
      <c r="G294" s="11">
        <v>0.87464</v>
      </c>
      <c r="H294" s="11">
        <v>0.64938</v>
      </c>
      <c r="I294" s="11">
        <v>0.34139</v>
      </c>
      <c r="J294" s="11">
        <v>0.48357</v>
      </c>
      <c r="K294" s="11">
        <v>0.0500280670821666</v>
      </c>
      <c r="L294" s="11">
        <v>1.03552949428558</v>
      </c>
      <c r="M294" s="11">
        <v>0.432306842636494</v>
      </c>
      <c r="N294" s="11">
        <v>0.452031075954437</v>
      </c>
      <c r="O294" s="11">
        <v>-19.07710647583</v>
      </c>
      <c r="P294" s="11">
        <v>-3.68380784988403</v>
      </c>
      <c r="Q294" s="13" t="s">
        <v>26</v>
      </c>
      <c r="S294" s="14">
        <v>0.79381</v>
      </c>
      <c r="T294" s="14">
        <v>0.401</v>
      </c>
      <c r="U294" s="14">
        <v>0.073653966</v>
      </c>
    </row>
    <row r="295">
      <c r="A295" s="15" t="s">
        <v>66</v>
      </c>
      <c r="B295" s="16">
        <v>2016.0</v>
      </c>
      <c r="C295" s="16">
        <v>1.0</v>
      </c>
      <c r="D295" s="16">
        <v>7.526</v>
      </c>
      <c r="E295" s="16">
        <v>1.44178</v>
      </c>
      <c r="F295" s="16">
        <v>1.16374</v>
      </c>
      <c r="G295" s="16">
        <v>0.79504</v>
      </c>
      <c r="H295" s="16">
        <v>0.57941</v>
      </c>
      <c r="I295" s="16">
        <v>0.36171</v>
      </c>
      <c r="J295" s="16">
        <v>0.44453</v>
      </c>
      <c r="K295" s="16">
        <v>0.808334350585937</v>
      </c>
      <c r="L295" s="16">
        <v>0.0999901443719863</v>
      </c>
      <c r="M295" s="16">
        <v>0.253147754854378</v>
      </c>
      <c r="N295" s="16">
        <v>0.25</v>
      </c>
      <c r="O295" s="16">
        <v>2.05450725555419</v>
      </c>
      <c r="P295" s="16">
        <v>-1.3998520374298</v>
      </c>
      <c r="Q295" s="17" t="s">
        <v>26</v>
      </c>
      <c r="S295" s="14">
        <v>0.794</v>
      </c>
      <c r="T295" s="14">
        <v>0.40148</v>
      </c>
      <c r="U295" s="14">
        <v>0.073842727</v>
      </c>
    </row>
    <row r="296">
      <c r="A296" s="10" t="s">
        <v>66</v>
      </c>
      <c r="B296" s="11">
        <v>2017.0</v>
      </c>
      <c r="C296" s="11">
        <v>2.0</v>
      </c>
      <c r="D296" s="11">
        <v>7.521999836</v>
      </c>
      <c r="E296" s="11">
        <v>1.482383013</v>
      </c>
      <c r="F296" s="11">
        <v>1.551121593</v>
      </c>
      <c r="G296" s="11">
        <v>0.792565525</v>
      </c>
      <c r="H296" s="11">
        <v>0.626006722</v>
      </c>
      <c r="I296" s="11">
        <v>0.355280489</v>
      </c>
      <c r="J296" s="11">
        <v>0.400770068</v>
      </c>
      <c r="K296" s="11">
        <v>1.23171234130859</v>
      </c>
      <c r="L296" s="11">
        <v>2.8052954673767</v>
      </c>
      <c r="M296" s="11">
        <v>1.18783041261975</v>
      </c>
      <c r="N296" s="11">
        <v>1.058</v>
      </c>
      <c r="O296" s="11">
        <v>14.4720621109008</v>
      </c>
      <c r="P296" s="11">
        <v>2.50146007537841</v>
      </c>
      <c r="Q296" s="13" t="s">
        <v>26</v>
      </c>
      <c r="S296" s="14">
        <v>0.795</v>
      </c>
      <c r="T296" s="14">
        <v>0.402</v>
      </c>
      <c r="U296" s="14">
        <v>0.07396</v>
      </c>
    </row>
    <row r="297">
      <c r="A297" s="15" t="s">
        <v>66</v>
      </c>
      <c r="B297" s="16">
        <v>2018.0</v>
      </c>
      <c r="C297" s="16">
        <v>3.0</v>
      </c>
      <c r="D297" s="16">
        <v>7.555</v>
      </c>
      <c r="E297" s="16">
        <v>1.351</v>
      </c>
      <c r="F297" s="16">
        <v>1.59</v>
      </c>
      <c r="G297" s="16">
        <v>0.868</v>
      </c>
      <c r="H297" s="16">
        <v>0.683</v>
      </c>
      <c r="I297" s="16">
        <v>0.284</v>
      </c>
      <c r="J297" s="16">
        <v>0.408</v>
      </c>
      <c r="K297" s="16">
        <v>1.17589116096496</v>
      </c>
      <c r="L297" s="16">
        <v>0.0404907688498497</v>
      </c>
      <c r="M297" s="16">
        <v>0.573858591522959</v>
      </c>
      <c r="N297" s="16">
        <v>0.81</v>
      </c>
      <c r="O297" s="16">
        <v>0.649819314479827</v>
      </c>
      <c r="P297" s="16">
        <v>4.30373239517211</v>
      </c>
      <c r="Q297" s="17" t="s">
        <v>26</v>
      </c>
      <c r="S297" s="14">
        <v>0.79624</v>
      </c>
      <c r="T297" s="14">
        <v>0.402264982</v>
      </c>
      <c r="U297" s="14">
        <v>0.074</v>
      </c>
    </row>
    <row r="298">
      <c r="A298" s="10" t="s">
        <v>66</v>
      </c>
      <c r="B298" s="11">
        <v>2019.0</v>
      </c>
      <c r="C298" s="11">
        <v>2.0</v>
      </c>
      <c r="D298" s="11">
        <v>7.6</v>
      </c>
      <c r="E298" s="11">
        <v>1.383</v>
      </c>
      <c r="F298" s="11">
        <v>1.573</v>
      </c>
      <c r="G298" s="11">
        <v>0.996</v>
      </c>
      <c r="H298" s="11">
        <v>0.592</v>
      </c>
      <c r="I298" s="11">
        <v>0.252</v>
      </c>
      <c r="J298" s="11">
        <v>0.41</v>
      </c>
      <c r="K298" s="11">
        <v>-0.291685312986373</v>
      </c>
      <c r="L298" s="11">
        <v>1.39214897155761</v>
      </c>
      <c r="M298" s="11">
        <v>0.742502950496711</v>
      </c>
      <c r="N298" s="11">
        <v>0.728999972343444</v>
      </c>
      <c r="O298" s="11">
        <v>0.764254808425903</v>
      </c>
      <c r="P298" s="11">
        <v>-0.648156940937042</v>
      </c>
      <c r="Q298" s="13" t="s">
        <v>26</v>
      </c>
      <c r="S298" s="14">
        <v>0.797</v>
      </c>
      <c r="T298" s="14">
        <v>0.4027</v>
      </c>
      <c r="U298" s="14">
        <v>0.074</v>
      </c>
    </row>
    <row r="299">
      <c r="A299" s="15" t="s">
        <v>66</v>
      </c>
      <c r="B299" s="16">
        <v>2020.0</v>
      </c>
      <c r="C299" s="16">
        <v>2.0</v>
      </c>
      <c r="D299" s="16">
        <v>7.645599842</v>
      </c>
      <c r="E299" s="16">
        <v>1.326948524</v>
      </c>
      <c r="F299" s="16">
        <v>0.955990791</v>
      </c>
      <c r="G299" s="16">
        <v>72.40250397</v>
      </c>
      <c r="H299" s="16">
        <v>0.951444268</v>
      </c>
      <c r="I299" s="16">
        <v>0.066201776</v>
      </c>
      <c r="J299" s="16">
        <v>0.168489456</v>
      </c>
      <c r="K299" s="16">
        <v>0.256266517177864</v>
      </c>
      <c r="L299" s="16">
        <v>0.638955106891153</v>
      </c>
      <c r="M299" s="16">
        <v>2.04505202568076</v>
      </c>
      <c r="N299" s="16">
        <v>0.420711974110026</v>
      </c>
      <c r="O299" s="16">
        <v>0.9335784</v>
      </c>
      <c r="P299" s="16">
        <v>-2.73689235420556</v>
      </c>
      <c r="Q299" s="17" t="s">
        <v>26</v>
      </c>
      <c r="S299" s="14">
        <v>0.798</v>
      </c>
      <c r="T299" s="14">
        <v>0.40285</v>
      </c>
      <c r="U299" s="14">
        <v>0.074</v>
      </c>
    </row>
    <row r="300">
      <c r="A300" s="10" t="s">
        <v>66</v>
      </c>
      <c r="B300" s="11">
        <v>2021.0</v>
      </c>
      <c r="C300" s="11">
        <v>2.0</v>
      </c>
      <c r="D300" s="11">
        <v>7.62</v>
      </c>
      <c r="E300" s="11">
        <v>10.933</v>
      </c>
      <c r="F300" s="11">
        <v>0.954</v>
      </c>
      <c r="G300" s="11">
        <v>72.7</v>
      </c>
      <c r="H300" s="11">
        <v>0.946</v>
      </c>
      <c r="I300" s="11">
        <v>0.03</v>
      </c>
      <c r="J300" s="11">
        <v>0.179</v>
      </c>
      <c r="K300" s="11">
        <v>11.53909</v>
      </c>
      <c r="L300" s="11">
        <v>0.579</v>
      </c>
      <c r="M300" s="11">
        <v>2.76660819348506</v>
      </c>
      <c r="N300" s="11">
        <v>1.853045</v>
      </c>
      <c r="O300" s="11">
        <v>1.2</v>
      </c>
      <c r="P300" s="11">
        <v>13.6359918200412</v>
      </c>
      <c r="Q300" s="13" t="s">
        <v>26</v>
      </c>
      <c r="S300" s="14">
        <v>0.798760593</v>
      </c>
      <c r="T300" s="14">
        <v>0.4035</v>
      </c>
      <c r="U300" s="14">
        <v>0.074</v>
      </c>
    </row>
    <row r="301">
      <c r="A301" s="15" t="s">
        <v>66</v>
      </c>
      <c r="B301" s="16">
        <v>2022.0</v>
      </c>
      <c r="C301" s="16">
        <v>2.0</v>
      </c>
      <c r="D301" s="16">
        <v>7.636</v>
      </c>
      <c r="E301" s="16">
        <v>1.953</v>
      </c>
      <c r="F301" s="16">
        <v>1.243</v>
      </c>
      <c r="G301" s="16">
        <v>0.777</v>
      </c>
      <c r="H301" s="16">
        <v>0.719</v>
      </c>
      <c r="I301" s="16">
        <v>0.188</v>
      </c>
      <c r="J301" s="16">
        <v>0.532</v>
      </c>
      <c r="K301" s="16">
        <v>41.5648939697812</v>
      </c>
      <c r="L301" s="16">
        <v>11.5142</v>
      </c>
      <c r="M301" s="16">
        <v>7.04514439359506</v>
      </c>
      <c r="N301" s="16">
        <v>7.696567</v>
      </c>
      <c r="O301" s="16">
        <v>4.03156895323997</v>
      </c>
      <c r="P301" s="16">
        <v>28.8799308954793</v>
      </c>
      <c r="Q301" s="17" t="s">
        <v>26</v>
      </c>
      <c r="S301" s="14">
        <v>0.799</v>
      </c>
      <c r="T301" s="14">
        <v>0.40425</v>
      </c>
      <c r="U301" s="14">
        <v>0.074</v>
      </c>
    </row>
    <row r="302">
      <c r="A302" s="10" t="s">
        <v>66</v>
      </c>
      <c r="B302" s="11">
        <v>2023.0</v>
      </c>
      <c r="C302" s="11">
        <v>2.0</v>
      </c>
      <c r="D302" s="11">
        <v>7.586</v>
      </c>
      <c r="E302" s="11">
        <v>10.962</v>
      </c>
      <c r="F302" s="11">
        <v>0.954</v>
      </c>
      <c r="G302" s="11">
        <v>71.25</v>
      </c>
      <c r="H302" s="11">
        <v>0.934</v>
      </c>
      <c r="I302" s="11">
        <v>0.134</v>
      </c>
      <c r="J302" s="11">
        <v>0.196</v>
      </c>
      <c r="K302" s="11">
        <v>-10.9338234816053</v>
      </c>
      <c r="L302" s="11">
        <v>8.39465584007237</v>
      </c>
      <c r="M302" s="11">
        <v>-3.08579268920312</v>
      </c>
      <c r="N302" s="11">
        <v>3.30517811237606</v>
      </c>
      <c r="O302" s="11">
        <v>4.31171860881565</v>
      </c>
      <c r="P302" s="11">
        <v>-0.296023235031336</v>
      </c>
      <c r="Q302" s="13" t="s">
        <v>26</v>
      </c>
      <c r="S302" s="14">
        <v>0.799</v>
      </c>
      <c r="T302" s="14">
        <v>0.4052</v>
      </c>
      <c r="U302" s="14">
        <v>0.074</v>
      </c>
    </row>
    <row r="303">
      <c r="A303" s="15" t="s">
        <v>67</v>
      </c>
      <c r="B303" s="16">
        <v>2015.0</v>
      </c>
      <c r="C303" s="16">
        <v>126.0</v>
      </c>
      <c r="D303" s="16">
        <v>4.369</v>
      </c>
      <c r="E303" s="16">
        <v>0.44025</v>
      </c>
      <c r="F303" s="16">
        <v>0.59207</v>
      </c>
      <c r="G303" s="16">
        <v>0.36291</v>
      </c>
      <c r="H303" s="16">
        <v>0.46074</v>
      </c>
      <c r="I303" s="16">
        <v>0.18093</v>
      </c>
      <c r="J303" s="16">
        <v>0.28105</v>
      </c>
      <c r="K303" s="16">
        <v>-2.59999990463256</v>
      </c>
      <c r="L303" s="16">
        <v>3.11999988555908</v>
      </c>
      <c r="M303" s="16">
        <v>2.47996684166897</v>
      </c>
      <c r="N303" s="16">
        <v>2.10400009155273</v>
      </c>
      <c r="O303" s="16">
        <v>1.97618705</v>
      </c>
      <c r="P303" s="12"/>
      <c r="Q303" s="17" t="s">
        <v>28</v>
      </c>
      <c r="S303" s="14">
        <v>0.80001</v>
      </c>
      <c r="T303" s="14">
        <v>0.40576</v>
      </c>
      <c r="U303" s="14">
        <v>0.07506</v>
      </c>
    </row>
    <row r="304">
      <c r="A304" s="10" t="s">
        <v>68</v>
      </c>
      <c r="B304" s="11">
        <v>2015.0</v>
      </c>
      <c r="C304" s="11">
        <v>98.0</v>
      </c>
      <c r="D304" s="11">
        <v>4.885</v>
      </c>
      <c r="E304" s="11">
        <v>0.89537</v>
      </c>
      <c r="F304" s="11">
        <v>1.17202</v>
      </c>
      <c r="G304" s="11">
        <v>0.66825</v>
      </c>
      <c r="H304" s="11">
        <v>0.57672</v>
      </c>
      <c r="I304" s="11">
        <v>0.21684</v>
      </c>
      <c r="J304" s="11">
        <v>0.14234</v>
      </c>
      <c r="K304" s="11">
        <v>-4.47534656524658</v>
      </c>
      <c r="L304" s="11">
        <v>6.73625516891479</v>
      </c>
      <c r="M304" s="11">
        <v>2.47204395339654</v>
      </c>
      <c r="N304" s="11">
        <v>0.846721231937408</v>
      </c>
      <c r="O304" s="11">
        <v>2.23233890533447</v>
      </c>
      <c r="P304" s="12"/>
      <c r="Q304" s="13" t="s">
        <v>43</v>
      </c>
      <c r="S304" s="14">
        <v>0.802</v>
      </c>
      <c r="T304" s="14">
        <v>0.40577</v>
      </c>
      <c r="U304" s="14">
        <v>0.07521</v>
      </c>
    </row>
    <row r="305">
      <c r="A305" s="15" t="s">
        <v>68</v>
      </c>
      <c r="B305" s="16">
        <v>2016.0</v>
      </c>
      <c r="C305" s="16">
        <v>89.0</v>
      </c>
      <c r="D305" s="16">
        <v>5.155</v>
      </c>
      <c r="E305" s="16">
        <v>1.02787</v>
      </c>
      <c r="F305" s="16">
        <v>0.99496</v>
      </c>
      <c r="G305" s="16">
        <v>0.57669</v>
      </c>
      <c r="H305" s="16">
        <v>0.52259</v>
      </c>
      <c r="I305" s="16">
        <v>0.21286</v>
      </c>
      <c r="J305" s="16">
        <v>0.12372</v>
      </c>
      <c r="K305" s="16">
        <v>1.99500906467437</v>
      </c>
      <c r="L305" s="16">
        <v>2.15000557899475</v>
      </c>
      <c r="M305" s="16">
        <v>1.99379591836734</v>
      </c>
      <c r="N305" s="16">
        <v>1.62539672851562</v>
      </c>
      <c r="O305" s="16">
        <v>1.68413972854614</v>
      </c>
      <c r="P305" s="12"/>
      <c r="Q305" s="17" t="s">
        <v>43</v>
      </c>
      <c r="S305" s="14">
        <v>0.802</v>
      </c>
      <c r="T305" s="14">
        <v>0.405988604</v>
      </c>
      <c r="U305" s="14">
        <v>0.07564</v>
      </c>
    </row>
    <row r="306">
      <c r="A306" s="10" t="s">
        <v>68</v>
      </c>
      <c r="B306" s="11">
        <v>2017.0</v>
      </c>
      <c r="C306" s="11">
        <v>86.0</v>
      </c>
      <c r="D306" s="11">
        <v>5.230000019</v>
      </c>
      <c r="E306" s="11">
        <v>1.079373837</v>
      </c>
      <c r="F306" s="11">
        <v>1.402416706</v>
      </c>
      <c r="G306" s="11">
        <v>0.574873745</v>
      </c>
      <c r="H306" s="11">
        <v>0.552589834</v>
      </c>
      <c r="I306" s="11">
        <v>0.18696785</v>
      </c>
      <c r="J306" s="11">
        <v>0.113945253</v>
      </c>
      <c r="K306" s="11">
        <v>5.32224082946777</v>
      </c>
      <c r="L306" s="11">
        <v>2.31342029571533</v>
      </c>
      <c r="M306" s="11">
        <v>4.18112666316638</v>
      </c>
      <c r="N306" s="11">
        <v>3.28</v>
      </c>
      <c r="O306" s="11">
        <v>2.18231558799743</v>
      </c>
      <c r="P306" s="12"/>
      <c r="Q306" s="13" t="s">
        <v>43</v>
      </c>
      <c r="S306" s="14">
        <v>0.80216372</v>
      </c>
      <c r="T306" s="14">
        <v>0.406</v>
      </c>
      <c r="U306" s="14">
        <v>0.076</v>
      </c>
    </row>
    <row r="307">
      <c r="A307" s="15" t="s">
        <v>68</v>
      </c>
      <c r="B307" s="16">
        <v>2018.0</v>
      </c>
      <c r="C307" s="16">
        <v>83.0</v>
      </c>
      <c r="D307" s="16">
        <v>5.302</v>
      </c>
      <c r="E307" s="16">
        <v>0.982</v>
      </c>
      <c r="F307" s="16">
        <v>1.441</v>
      </c>
      <c r="G307" s="16">
        <v>0.614</v>
      </c>
      <c r="H307" s="16">
        <v>0.578</v>
      </c>
      <c r="I307" s="16">
        <v>0.12</v>
      </c>
      <c r="J307" s="16">
        <v>0.106</v>
      </c>
      <c r="K307" s="16">
        <v>3.89873528480529</v>
      </c>
      <c r="L307" s="16">
        <v>3.60906720161438</v>
      </c>
      <c r="M307" s="16">
        <v>4.12149371880914</v>
      </c>
      <c r="N307" s="16">
        <v>3.56</v>
      </c>
      <c r="O307" s="16">
        <v>2.57506871223449</v>
      </c>
      <c r="P307" s="12"/>
      <c r="Q307" s="17" t="s">
        <v>43</v>
      </c>
      <c r="S307" s="14">
        <v>0.803108692</v>
      </c>
      <c r="T307" s="14">
        <v>0.406</v>
      </c>
      <c r="U307" s="14">
        <v>0.076</v>
      </c>
    </row>
    <row r="308">
      <c r="A308" s="10" t="s">
        <v>68</v>
      </c>
      <c r="B308" s="11">
        <v>2019.0</v>
      </c>
      <c r="C308" s="11">
        <v>77.0</v>
      </c>
      <c r="D308" s="11">
        <v>5.425</v>
      </c>
      <c r="E308" s="11">
        <v>1.015</v>
      </c>
      <c r="F308" s="11">
        <v>1.401</v>
      </c>
      <c r="G308" s="11">
        <v>0.779</v>
      </c>
      <c r="H308" s="11">
        <v>0.497</v>
      </c>
      <c r="I308" s="11">
        <v>0.113</v>
      </c>
      <c r="J308" s="11">
        <v>0.101</v>
      </c>
      <c r="K308" s="11">
        <v>-2.25208091735839</v>
      </c>
      <c r="L308" s="11">
        <v>3.75223135948181</v>
      </c>
      <c r="M308" s="11">
        <v>2.52576528504139</v>
      </c>
      <c r="N308" s="11">
        <v>1.81099998950958</v>
      </c>
      <c r="O308" s="11">
        <v>2.14165592193603</v>
      </c>
      <c r="P308" s="12"/>
      <c r="Q308" s="13" t="s">
        <v>43</v>
      </c>
      <c r="S308" s="14">
        <v>0.803385139</v>
      </c>
      <c r="T308" s="14">
        <v>0.406</v>
      </c>
      <c r="U308" s="14">
        <v>0.076</v>
      </c>
    </row>
    <row r="309">
      <c r="A309" s="15" t="s">
        <v>68</v>
      </c>
      <c r="B309" s="16">
        <v>2020.0</v>
      </c>
      <c r="C309" s="16">
        <v>68.0</v>
      </c>
      <c r="D309" s="16">
        <v>5.689199924</v>
      </c>
      <c r="E309" s="16">
        <v>0.983191848</v>
      </c>
      <c r="F309" s="16">
        <v>0.882085383</v>
      </c>
      <c r="G309" s="16">
        <v>65.80748749</v>
      </c>
      <c r="H309" s="16">
        <v>0.866202772</v>
      </c>
      <c r="I309" s="16">
        <v>-0.131263286</v>
      </c>
      <c r="J309" s="16">
        <v>0.755999923</v>
      </c>
      <c r="K309" s="16">
        <v>2.20389076500978</v>
      </c>
      <c r="L309" s="16">
        <v>6.35360097885131</v>
      </c>
      <c r="M309" s="16">
        <v>4.48147018014542</v>
      </c>
      <c r="N309" s="16">
        <v>3.78103179457831</v>
      </c>
      <c r="O309" s="16">
        <v>3.62836480140686</v>
      </c>
      <c r="P309" s="12"/>
      <c r="Q309" s="17" t="s">
        <v>43</v>
      </c>
      <c r="S309" s="14">
        <v>0.803685248</v>
      </c>
      <c r="T309" s="14">
        <v>0.40661</v>
      </c>
      <c r="U309" s="14">
        <v>0.076046787</v>
      </c>
    </row>
    <row r="310">
      <c r="A310" s="10" t="s">
        <v>68</v>
      </c>
      <c r="B310" s="11">
        <v>2021.0</v>
      </c>
      <c r="C310" s="11">
        <v>73.0</v>
      </c>
      <c r="D310" s="11">
        <v>5.545</v>
      </c>
      <c r="E310" s="11">
        <v>9.802</v>
      </c>
      <c r="F310" s="11">
        <v>0.853</v>
      </c>
      <c r="G310" s="11">
        <v>66.102</v>
      </c>
      <c r="H310" s="11">
        <v>0.86</v>
      </c>
      <c r="I310" s="11">
        <v>-0.133</v>
      </c>
      <c r="J310" s="11">
        <v>0.714</v>
      </c>
      <c r="K310" s="11">
        <v>6.47</v>
      </c>
      <c r="L310" s="11">
        <v>9.87</v>
      </c>
      <c r="M310" s="11">
        <v>7.77715811920449</v>
      </c>
      <c r="N310" s="11">
        <v>8.24292075447792</v>
      </c>
      <c r="O310" s="11">
        <v>5.92436279377688</v>
      </c>
      <c r="P310" s="12"/>
      <c r="Q310" s="13" t="s">
        <v>43</v>
      </c>
      <c r="S310" s="14">
        <v>0.804</v>
      </c>
      <c r="T310" s="14">
        <v>0.40672</v>
      </c>
      <c r="U310" s="14">
        <v>0.077</v>
      </c>
    </row>
    <row r="311">
      <c r="A311" s="15" t="s">
        <v>68</v>
      </c>
      <c r="B311" s="16">
        <v>2022.0</v>
      </c>
      <c r="C311" s="16">
        <v>69.0</v>
      </c>
      <c r="D311" s="16">
        <v>5.737</v>
      </c>
      <c r="E311" s="16">
        <v>1.538</v>
      </c>
      <c r="F311" s="16">
        <v>1.003</v>
      </c>
      <c r="G311" s="16">
        <v>0.577</v>
      </c>
      <c r="H311" s="16">
        <v>0.606</v>
      </c>
      <c r="I311" s="16">
        <v>0.084</v>
      </c>
      <c r="J311" s="16">
        <v>0.179</v>
      </c>
      <c r="K311" s="16">
        <v>10.9034011352471</v>
      </c>
      <c r="L311" s="16">
        <v>10.645691611314</v>
      </c>
      <c r="M311" s="16">
        <v>10.7537263586474</v>
      </c>
      <c r="N311" s="16">
        <v>8.81109209279581</v>
      </c>
      <c r="O311" s="16">
        <v>6.9897891422723</v>
      </c>
      <c r="P311" s="12"/>
      <c r="Q311" s="17" t="s">
        <v>43</v>
      </c>
      <c r="S311" s="14">
        <v>0.804</v>
      </c>
      <c r="T311" s="14">
        <v>0.40672</v>
      </c>
      <c r="U311" s="14">
        <v>0.077</v>
      </c>
    </row>
    <row r="312">
      <c r="A312" s="10" t="s">
        <v>68</v>
      </c>
      <c r="B312" s="11">
        <v>2023.0</v>
      </c>
      <c r="C312" s="11">
        <v>73.0</v>
      </c>
      <c r="D312" s="11">
        <v>5.569</v>
      </c>
      <c r="E312" s="11">
        <v>9.811</v>
      </c>
      <c r="F312" s="11">
        <v>0.827</v>
      </c>
      <c r="G312" s="11">
        <v>64.399</v>
      </c>
      <c r="H312" s="11">
        <v>0.85</v>
      </c>
      <c r="I312" s="11">
        <v>-0.099</v>
      </c>
      <c r="J312" s="11">
        <v>0.657</v>
      </c>
      <c r="K312" s="11">
        <v>-0.580069390963639</v>
      </c>
      <c r="L312" s="11">
        <v>7.8062462669294</v>
      </c>
      <c r="M312" s="11">
        <v>6.49968291867115</v>
      </c>
      <c r="N312" s="11">
        <v>4.78561281021135</v>
      </c>
      <c r="O312" s="11">
        <v>5.29843880069517</v>
      </c>
      <c r="P312" s="12"/>
      <c r="Q312" s="13" t="s">
        <v>43</v>
      </c>
      <c r="S312" s="14">
        <v>0.80434</v>
      </c>
      <c r="T312" s="14">
        <v>0.408158332</v>
      </c>
      <c r="U312" s="14">
        <v>0.077</v>
      </c>
    </row>
    <row r="313">
      <c r="A313" s="15" t="s">
        <v>69</v>
      </c>
      <c r="B313" s="16">
        <v>2015.0</v>
      </c>
      <c r="C313" s="16">
        <v>48.0</v>
      </c>
      <c r="D313" s="16">
        <v>5.975</v>
      </c>
      <c r="E313" s="16">
        <v>0.86402</v>
      </c>
      <c r="F313" s="16">
        <v>0.99903</v>
      </c>
      <c r="G313" s="16">
        <v>0.79075</v>
      </c>
      <c r="H313" s="16">
        <v>0.48574</v>
      </c>
      <c r="I313" s="16">
        <v>0.11541</v>
      </c>
      <c r="J313" s="16">
        <v>0.1809</v>
      </c>
      <c r="K313" s="16">
        <v>5.52626895904541</v>
      </c>
      <c r="L313" s="16">
        <v>4.20998954772949</v>
      </c>
      <c r="M313" s="16">
        <v>-2.49129940387993</v>
      </c>
      <c r="N313" s="16">
        <v>3.96911025047302</v>
      </c>
      <c r="O313" s="12"/>
      <c r="P313" s="16">
        <v>1.97097158432006</v>
      </c>
      <c r="Q313" s="17" t="s">
        <v>32</v>
      </c>
      <c r="S313" s="14">
        <v>0.805</v>
      </c>
      <c r="T313" s="14">
        <v>0.4082</v>
      </c>
      <c r="U313" s="14">
        <v>0.077223279</v>
      </c>
    </row>
    <row r="314">
      <c r="A314" s="10" t="s">
        <v>69</v>
      </c>
      <c r="B314" s="11">
        <v>2016.0</v>
      </c>
      <c r="C314" s="11">
        <v>51.0</v>
      </c>
      <c r="D314" s="11">
        <v>5.976</v>
      </c>
      <c r="E314" s="11">
        <v>0.97306</v>
      </c>
      <c r="F314" s="11">
        <v>0.85974</v>
      </c>
      <c r="G314" s="11">
        <v>0.68613</v>
      </c>
      <c r="H314" s="11">
        <v>0.4027</v>
      </c>
      <c r="I314" s="11">
        <v>0.10074</v>
      </c>
      <c r="J314" s="11">
        <v>0.18037</v>
      </c>
      <c r="K314" s="11">
        <v>3.46393370628356</v>
      </c>
      <c r="L314" s="11">
        <v>2.53581309318542</v>
      </c>
      <c r="M314" s="11">
        <v>1.9019011944307</v>
      </c>
      <c r="N314" s="11">
        <v>1.73001325130462</v>
      </c>
      <c r="O314" s="12"/>
      <c r="P314" s="11">
        <v>0.054906703531742</v>
      </c>
      <c r="Q314" s="13" t="s">
        <v>32</v>
      </c>
      <c r="S314" s="14">
        <v>0.805</v>
      </c>
      <c r="T314" s="14">
        <v>0.4084</v>
      </c>
      <c r="U314" s="14">
        <v>0.07746</v>
      </c>
    </row>
    <row r="315">
      <c r="A315" s="15" t="s">
        <v>69</v>
      </c>
      <c r="B315" s="16">
        <v>2017.0</v>
      </c>
      <c r="C315" s="16">
        <v>44.0</v>
      </c>
      <c r="D315" s="16">
        <v>6.007999897</v>
      </c>
      <c r="E315" s="16">
        <v>1.000820398</v>
      </c>
      <c r="F315" s="16">
        <v>1.286168814</v>
      </c>
      <c r="G315" s="16">
        <v>0.685636222</v>
      </c>
      <c r="H315" s="16">
        <v>0.455198199</v>
      </c>
      <c r="I315" s="16">
        <v>0.150112465</v>
      </c>
      <c r="J315" s="16">
        <v>0.140134647</v>
      </c>
      <c r="K315" s="16">
        <v>2.03347182273864</v>
      </c>
      <c r="L315" s="16">
        <v>0.499474316835403</v>
      </c>
      <c r="M315" s="16">
        <v>1.94616488996468</v>
      </c>
      <c r="N315" s="16">
        <v>0.417</v>
      </c>
      <c r="O315" s="12"/>
      <c r="P315" s="16">
        <v>-0.663770794868469</v>
      </c>
      <c r="Q315" s="17" t="s">
        <v>32</v>
      </c>
      <c r="S315" s="14">
        <v>0.805996239</v>
      </c>
      <c r="T315" s="14">
        <v>0.40878123</v>
      </c>
      <c r="U315" s="14">
        <v>0.07785</v>
      </c>
    </row>
    <row r="316">
      <c r="A316" s="10" t="s">
        <v>69</v>
      </c>
      <c r="B316" s="11">
        <v>2018.0</v>
      </c>
      <c r="C316" s="11">
        <v>48.0</v>
      </c>
      <c r="D316" s="11">
        <v>5.973</v>
      </c>
      <c r="E316" s="11">
        <v>0.889</v>
      </c>
      <c r="F316" s="11">
        <v>1.33</v>
      </c>
      <c r="G316" s="11">
        <v>0.736</v>
      </c>
      <c r="H316" s="11">
        <v>0.556</v>
      </c>
      <c r="I316" s="11">
        <v>0.114</v>
      </c>
      <c r="J316" s="11">
        <v>0.12</v>
      </c>
      <c r="K316" s="11">
        <v>1.43294239044189</v>
      </c>
      <c r="L316" s="11">
        <v>-1.63114035129547</v>
      </c>
      <c r="M316" s="11">
        <v>1.8192085014321</v>
      </c>
      <c r="N316" s="11">
        <v>-0.22</v>
      </c>
      <c r="O316" s="12"/>
      <c r="P316" s="11">
        <v>1.31191754341125</v>
      </c>
      <c r="Q316" s="13" t="s">
        <v>32</v>
      </c>
      <c r="S316" s="14">
        <v>0.806</v>
      </c>
      <c r="T316" s="14">
        <v>0.408842742</v>
      </c>
      <c r="U316" s="14">
        <v>0.078</v>
      </c>
    </row>
    <row r="317">
      <c r="A317" s="15" t="s">
        <v>69</v>
      </c>
      <c r="B317" s="16">
        <v>2019.0</v>
      </c>
      <c r="C317" s="16">
        <v>50.0</v>
      </c>
      <c r="D317" s="16">
        <v>6.028</v>
      </c>
      <c r="E317" s="16">
        <v>0.912</v>
      </c>
      <c r="F317" s="16">
        <v>1.312</v>
      </c>
      <c r="G317" s="16">
        <v>0.868</v>
      </c>
      <c r="H317" s="16">
        <v>0.498</v>
      </c>
      <c r="I317" s="16">
        <v>0.126</v>
      </c>
      <c r="J317" s="16">
        <v>0.087</v>
      </c>
      <c r="K317" s="16">
        <v>0.806352138519287</v>
      </c>
      <c r="L317" s="16">
        <v>0.0445237047970294</v>
      </c>
      <c r="M317" s="16">
        <v>0.495118968869635</v>
      </c>
      <c r="N317" s="16">
        <v>0.266000002622604</v>
      </c>
      <c r="O317" s="12"/>
      <c r="P317" s="16">
        <v>-0.12351156771183</v>
      </c>
      <c r="Q317" s="17" t="s">
        <v>32</v>
      </c>
      <c r="S317" s="14">
        <v>0.806092262</v>
      </c>
      <c r="T317" s="14">
        <v>0.40973</v>
      </c>
      <c r="U317" s="14">
        <v>0.078</v>
      </c>
    </row>
    <row r="318">
      <c r="A318" s="10" t="s">
        <v>69</v>
      </c>
      <c r="B318" s="11">
        <v>2020.0</v>
      </c>
      <c r="C318" s="11">
        <v>58.0</v>
      </c>
      <c r="D318" s="11">
        <v>5.925199986</v>
      </c>
      <c r="E318" s="11">
        <v>0.853383601</v>
      </c>
      <c r="F318" s="11">
        <v>0.836418986</v>
      </c>
      <c r="G318" s="11">
        <v>68.50003815</v>
      </c>
      <c r="H318" s="11">
        <v>0.859828949</v>
      </c>
      <c r="I318" s="11">
        <v>-0.127014965</v>
      </c>
      <c r="J318" s="11">
        <v>0.801215112</v>
      </c>
      <c r="K318" s="11">
        <v>0.380556020747513</v>
      </c>
      <c r="L318" s="11">
        <v>0.760116934776306</v>
      </c>
      <c r="M318" s="11">
        <v>-3.33439714897407</v>
      </c>
      <c r="N318" s="11">
        <v>-0.338872392561816</v>
      </c>
      <c r="O318" s="12"/>
      <c r="P318" s="11">
        <v>-0.958640694618225</v>
      </c>
      <c r="Q318" s="13" t="s">
        <v>32</v>
      </c>
      <c r="S318" s="14">
        <v>0.808379889</v>
      </c>
      <c r="T318" s="14">
        <v>0.41</v>
      </c>
      <c r="U318" s="14">
        <v>0.078</v>
      </c>
    </row>
    <row r="319">
      <c r="A319" s="15" t="s">
        <v>69</v>
      </c>
      <c r="B319" s="16">
        <v>2021.0</v>
      </c>
      <c r="C319" s="16">
        <v>66.0</v>
      </c>
      <c r="D319" s="16">
        <v>5.764</v>
      </c>
      <c r="E319" s="16">
        <v>9.313</v>
      </c>
      <c r="F319" s="16">
        <v>0.821</v>
      </c>
      <c r="G319" s="16">
        <v>68.8</v>
      </c>
      <c r="H319" s="16">
        <v>0.842</v>
      </c>
      <c r="I319" s="16">
        <v>-0.124</v>
      </c>
      <c r="J319" s="16">
        <v>0.843</v>
      </c>
      <c r="K319" s="16">
        <v>0.02</v>
      </c>
      <c r="L319" s="16">
        <v>-0.85</v>
      </c>
      <c r="M319" s="16">
        <v>2.57933093464713</v>
      </c>
      <c r="N319" s="16">
        <v>0.133170041496763</v>
      </c>
      <c r="O319" s="12"/>
      <c r="P319" s="16">
        <v>0.874064522447392</v>
      </c>
      <c r="Q319" s="17" t="s">
        <v>32</v>
      </c>
      <c r="S319" s="14">
        <v>0.809</v>
      </c>
      <c r="T319" s="14">
        <v>0.412</v>
      </c>
      <c r="U319" s="14">
        <v>0.078</v>
      </c>
    </row>
    <row r="320">
      <c r="A320" s="10" t="s">
        <v>69</v>
      </c>
      <c r="B320" s="11">
        <v>2022.0</v>
      </c>
      <c r="C320" s="11">
        <v>76.0</v>
      </c>
      <c r="D320" s="11">
        <v>5.533</v>
      </c>
      <c r="E320" s="11">
        <v>1.352</v>
      </c>
      <c r="F320" s="11">
        <v>0.879</v>
      </c>
      <c r="G320" s="11">
        <v>0.708</v>
      </c>
      <c r="H320" s="11">
        <v>0.565</v>
      </c>
      <c r="I320" s="11">
        <v>0.08</v>
      </c>
      <c r="J320" s="11">
        <v>0.083</v>
      </c>
      <c r="K320" s="11">
        <v>1.5968824721368</v>
      </c>
      <c r="L320" s="11">
        <v>4.73993403681322</v>
      </c>
      <c r="M320" s="11">
        <v>5.27257933279088</v>
      </c>
      <c r="N320" s="11">
        <v>3.46616972213077</v>
      </c>
      <c r="O320" s="12"/>
      <c r="P320" s="11">
        <v>6.73290076212357</v>
      </c>
      <c r="Q320" s="13" t="s">
        <v>32</v>
      </c>
      <c r="S320" s="14">
        <v>0.80975</v>
      </c>
      <c r="T320" s="14">
        <v>0.412730008</v>
      </c>
      <c r="U320" s="14">
        <v>0.078</v>
      </c>
    </row>
    <row r="321">
      <c r="A321" s="15" t="s">
        <v>69</v>
      </c>
      <c r="B321" s="16">
        <v>2023.0</v>
      </c>
      <c r="C321" s="16">
        <v>74.0</v>
      </c>
      <c r="D321" s="16">
        <v>5.559</v>
      </c>
      <c r="E321" s="16">
        <v>9.27</v>
      </c>
      <c r="F321" s="16">
        <v>0.806</v>
      </c>
      <c r="G321" s="16">
        <v>69.0</v>
      </c>
      <c r="H321" s="16">
        <v>0.802</v>
      </c>
      <c r="I321" s="16">
        <v>-0.108</v>
      </c>
      <c r="J321" s="16">
        <v>0.833</v>
      </c>
      <c r="K321" s="16">
        <v>1.01468908342895</v>
      </c>
      <c r="L321" s="16">
        <v>5.55714341649277</v>
      </c>
      <c r="M321" s="16">
        <v>-0.371712411117225</v>
      </c>
      <c r="N321" s="16">
        <v>2.21568764237058</v>
      </c>
      <c r="O321" s="12"/>
      <c r="P321" s="12"/>
      <c r="Q321" s="17" t="s">
        <v>32</v>
      </c>
      <c r="S321" s="14">
        <v>0.81</v>
      </c>
      <c r="T321" s="14">
        <v>0.41319</v>
      </c>
      <c r="U321" s="14">
        <v>0.07821355</v>
      </c>
    </row>
    <row r="322">
      <c r="A322" s="10" t="s">
        <v>70</v>
      </c>
      <c r="B322" s="11">
        <v>2015.0</v>
      </c>
      <c r="C322" s="11">
        <v>42.0</v>
      </c>
      <c r="D322" s="11">
        <v>6.13</v>
      </c>
      <c r="E322" s="11">
        <v>0.76454</v>
      </c>
      <c r="F322" s="11">
        <v>1.02507</v>
      </c>
      <c r="G322" s="11">
        <v>0.67737</v>
      </c>
      <c r="H322" s="11">
        <v>0.4035</v>
      </c>
      <c r="I322" s="11">
        <v>0.10692</v>
      </c>
      <c r="J322" s="11">
        <v>0.11776</v>
      </c>
      <c r="K322" s="11">
        <v>-2.6582772731781</v>
      </c>
      <c r="L322" s="11">
        <v>1.3742583990097</v>
      </c>
      <c r="M322" s="11">
        <v>1.313</v>
      </c>
      <c r="N322" s="11">
        <v>-0.731405317783355</v>
      </c>
      <c r="O322" s="11">
        <v>0.223148927092552</v>
      </c>
      <c r="P322" s="11">
        <v>-0.108951307833194</v>
      </c>
      <c r="Q322" s="13" t="s">
        <v>43</v>
      </c>
      <c r="S322" s="14">
        <v>0.81</v>
      </c>
      <c r="T322" s="14">
        <v>0.41418</v>
      </c>
      <c r="U322" s="14">
        <v>0.079</v>
      </c>
    </row>
    <row r="323">
      <c r="A323" s="15" t="s">
        <v>70</v>
      </c>
      <c r="B323" s="16">
        <v>2016.0</v>
      </c>
      <c r="C323" s="16">
        <v>46.0</v>
      </c>
      <c r="D323" s="16">
        <v>6.068</v>
      </c>
      <c r="E323" s="16">
        <v>0.8737</v>
      </c>
      <c r="F323" s="16">
        <v>0.80975</v>
      </c>
      <c r="G323" s="16">
        <v>0.596</v>
      </c>
      <c r="H323" s="16">
        <v>0.37269</v>
      </c>
      <c r="I323" s="16">
        <v>0.08877</v>
      </c>
      <c r="J323" s="16">
        <v>0.10613</v>
      </c>
      <c r="K323" s="16">
        <v>9.30072498321533</v>
      </c>
      <c r="L323" s="16">
        <v>-0.564205884933471</v>
      </c>
      <c r="M323" s="16">
        <v>0.650459467195712</v>
      </c>
      <c r="N323" s="16">
        <v>0.609549343585968</v>
      </c>
      <c r="O323" s="16">
        <v>-0.0165804736316204</v>
      </c>
      <c r="P323" s="16">
        <v>-0.889474153518676</v>
      </c>
      <c r="Q323" s="17" t="s">
        <v>43</v>
      </c>
      <c r="S323" s="14">
        <v>0.811</v>
      </c>
      <c r="T323" s="14">
        <v>0.4143</v>
      </c>
      <c r="U323" s="14">
        <v>0.079</v>
      </c>
    </row>
    <row r="324">
      <c r="A324" s="10" t="s">
        <v>70</v>
      </c>
      <c r="B324" s="11">
        <v>2017.0</v>
      </c>
      <c r="C324" s="11">
        <v>45.0</v>
      </c>
      <c r="D324" s="11">
        <v>6.002999783</v>
      </c>
      <c r="E324" s="11">
        <v>0.909784496</v>
      </c>
      <c r="F324" s="11">
        <v>1.182125092</v>
      </c>
      <c r="G324" s="11">
        <v>0.596018553</v>
      </c>
      <c r="H324" s="11">
        <v>0.43245253</v>
      </c>
      <c r="I324" s="11">
        <v>0.078257985</v>
      </c>
      <c r="J324" s="11">
        <v>0.08998096</v>
      </c>
      <c r="K324" s="11">
        <v>4.89515399932861</v>
      </c>
      <c r="L324" s="11">
        <v>0.160014316439628</v>
      </c>
      <c r="M324" s="11">
        <v>0.983603342093908</v>
      </c>
      <c r="N324" s="11">
        <v>1.014</v>
      </c>
      <c r="O324" s="11">
        <v>0.115292891860008</v>
      </c>
      <c r="P324" s="11">
        <v>1.27145266532897</v>
      </c>
      <c r="Q324" s="13" t="s">
        <v>43</v>
      </c>
      <c r="S324" s="14">
        <v>0.811</v>
      </c>
      <c r="T324" s="14">
        <v>0.41496</v>
      </c>
      <c r="U324" s="14">
        <v>0.079</v>
      </c>
    </row>
    <row r="325">
      <c r="A325" s="15" t="s">
        <v>70</v>
      </c>
      <c r="B325" s="16">
        <v>2018.0</v>
      </c>
      <c r="C325" s="16">
        <v>40.0</v>
      </c>
      <c r="D325" s="16">
        <v>6.167</v>
      </c>
      <c r="E325" s="16">
        <v>0.806</v>
      </c>
      <c r="F325" s="16">
        <v>1.231</v>
      </c>
      <c r="G325" s="16">
        <v>0.639</v>
      </c>
      <c r="H325" s="16">
        <v>0.461</v>
      </c>
      <c r="I325" s="16">
        <v>0.065</v>
      </c>
      <c r="J325" s="16">
        <v>0.082</v>
      </c>
      <c r="K325" s="16">
        <v>3.26832628250122</v>
      </c>
      <c r="L325" s="16">
        <v>0.529531180858612</v>
      </c>
      <c r="M325" s="16">
        <v>2.07526098567613</v>
      </c>
      <c r="N325" s="16">
        <v>1.09</v>
      </c>
      <c r="O325" s="16">
        <v>0.192459374666214</v>
      </c>
      <c r="P325" s="16">
        <v>1.57195377349853</v>
      </c>
      <c r="Q325" s="17" t="s">
        <v>43</v>
      </c>
      <c r="S325" s="14">
        <v>0.811</v>
      </c>
      <c r="T325" s="14">
        <v>0.41511</v>
      </c>
      <c r="U325" s="14">
        <v>0.07964</v>
      </c>
    </row>
    <row r="326">
      <c r="A326" s="10" t="s">
        <v>70</v>
      </c>
      <c r="B326" s="11">
        <v>2019.0</v>
      </c>
      <c r="C326" s="11">
        <v>35.0</v>
      </c>
      <c r="D326" s="11">
        <v>6.253</v>
      </c>
      <c r="E326" s="11">
        <v>0.794</v>
      </c>
      <c r="F326" s="11">
        <v>1.242</v>
      </c>
      <c r="G326" s="11">
        <v>0.789</v>
      </c>
      <c r="H326" s="11">
        <v>0.43</v>
      </c>
      <c r="I326" s="11">
        <v>0.093</v>
      </c>
      <c r="J326" s="11">
        <v>0.074</v>
      </c>
      <c r="K326" s="11">
        <v>-0.672226846218109</v>
      </c>
      <c r="L326" s="11">
        <v>1.15687572956085</v>
      </c>
      <c r="M326" s="11">
        <v>1.0588705380927</v>
      </c>
      <c r="N326" s="11">
        <v>0.0740000009536743</v>
      </c>
      <c r="O326" s="11">
        <v>0.0669164881110191</v>
      </c>
      <c r="P326" s="11">
        <v>0.939709186553955</v>
      </c>
      <c r="Q326" s="13" t="s">
        <v>43</v>
      </c>
      <c r="S326" s="14">
        <v>0.81198</v>
      </c>
      <c r="T326" s="14">
        <v>0.416</v>
      </c>
      <c r="U326" s="14">
        <v>0.08</v>
      </c>
    </row>
    <row r="327">
      <c r="A327" s="15" t="s">
        <v>70</v>
      </c>
      <c r="B327" s="16">
        <v>2020.0</v>
      </c>
      <c r="C327" s="16">
        <v>34.0</v>
      </c>
      <c r="D327" s="16">
        <v>6.34829998</v>
      </c>
      <c r="E327" s="16">
        <v>0.748940408</v>
      </c>
      <c r="F327" s="16">
        <v>0.806092262</v>
      </c>
      <c r="G327" s="16">
        <v>66.10826111</v>
      </c>
      <c r="H327" s="16">
        <v>0.833805263</v>
      </c>
      <c r="I327" s="16">
        <v>-0.121072978</v>
      </c>
      <c r="J327" s="16">
        <v>0.754319906</v>
      </c>
      <c r="K327" s="16">
        <v>-3.42690992355346</v>
      </c>
      <c r="L327" s="16">
        <v>1.58203101158142</v>
      </c>
      <c r="M327" s="16">
        <v>-0.384090374205696</v>
      </c>
      <c r="N327" s="16">
        <v>-0.371590212324274</v>
      </c>
      <c r="O327" s="16">
        <v>0.322557806968688</v>
      </c>
      <c r="P327" s="16">
        <v>-0.214121982455253</v>
      </c>
      <c r="Q327" s="17" t="s">
        <v>43</v>
      </c>
      <c r="S327" s="14">
        <v>0.812</v>
      </c>
      <c r="T327" s="14">
        <v>0.41668</v>
      </c>
      <c r="U327" s="14">
        <v>0.08</v>
      </c>
    </row>
    <row r="328">
      <c r="A328" s="10" t="s">
        <v>70</v>
      </c>
      <c r="B328" s="11">
        <v>2021.0</v>
      </c>
      <c r="C328" s="11">
        <v>49.0</v>
      </c>
      <c r="D328" s="11">
        <v>6.061</v>
      </c>
      <c r="E328" s="11">
        <v>9.054</v>
      </c>
      <c r="F328" s="11">
        <v>0.762</v>
      </c>
      <c r="G328" s="11">
        <v>66.402</v>
      </c>
      <c r="H328" s="11">
        <v>0.888</v>
      </c>
      <c r="I328" s="11">
        <v>-0.11</v>
      </c>
      <c r="J328" s="11">
        <v>0.688</v>
      </c>
      <c r="K328" s="11">
        <v>5.78</v>
      </c>
      <c r="L328" s="11">
        <v>2.27</v>
      </c>
      <c r="M328" s="11">
        <v>6.08842532119114</v>
      </c>
      <c r="N328" s="11">
        <v>3.46692585313078</v>
      </c>
      <c r="O328" s="11">
        <v>2.11341055058462</v>
      </c>
      <c r="P328" s="11">
        <v>3.08665011267242</v>
      </c>
      <c r="Q328" s="13" t="s">
        <v>43</v>
      </c>
      <c r="S328" s="14">
        <v>0.812</v>
      </c>
      <c r="T328" s="14">
        <v>0.41691</v>
      </c>
      <c r="U328" s="14">
        <v>0.08</v>
      </c>
    </row>
    <row r="329">
      <c r="A329" s="15" t="s">
        <v>70</v>
      </c>
      <c r="B329" s="16">
        <v>2022.0</v>
      </c>
      <c r="C329" s="16">
        <v>49.0</v>
      </c>
      <c r="D329" s="16">
        <v>6.12</v>
      </c>
      <c r="E329" s="16">
        <v>1.265</v>
      </c>
      <c r="F329" s="16">
        <v>0.768</v>
      </c>
      <c r="G329" s="16">
        <v>0.607</v>
      </c>
      <c r="H329" s="16">
        <v>0.666</v>
      </c>
      <c r="I329" s="16">
        <v>0.089</v>
      </c>
      <c r="J329" s="16">
        <v>0.212</v>
      </c>
      <c r="K329" s="16">
        <v>2.65304431803344</v>
      </c>
      <c r="L329" s="16">
        <v>11.6008552842159</v>
      </c>
      <c r="M329" s="16">
        <v>7.57652925649702</v>
      </c>
      <c r="N329" s="16">
        <v>7.19861615609868</v>
      </c>
      <c r="O329" s="16">
        <v>4.87563258817835</v>
      </c>
      <c r="P329" s="16">
        <v>5.70121713024278</v>
      </c>
      <c r="Q329" s="17" t="s">
        <v>43</v>
      </c>
      <c r="S329" s="14">
        <v>0.81255</v>
      </c>
      <c r="T329" s="14">
        <v>0.417</v>
      </c>
      <c r="U329" s="14">
        <v>0.0801</v>
      </c>
    </row>
    <row r="330">
      <c r="A330" s="10" t="s">
        <v>70</v>
      </c>
      <c r="B330" s="11">
        <v>2023.0</v>
      </c>
      <c r="C330" s="11">
        <v>50.0</v>
      </c>
      <c r="D330" s="11">
        <v>6.122</v>
      </c>
      <c r="E330" s="11">
        <v>9.089</v>
      </c>
      <c r="F330" s="11">
        <v>0.755</v>
      </c>
      <c r="G330" s="11">
        <v>65.597</v>
      </c>
      <c r="H330" s="11">
        <v>0.918</v>
      </c>
      <c r="I330" s="11">
        <v>-0.108</v>
      </c>
      <c r="J330" s="11">
        <v>0.62</v>
      </c>
      <c r="K330" s="11">
        <v>1.47949146392744</v>
      </c>
      <c r="L330" s="11">
        <v>7.8346714810738</v>
      </c>
      <c r="M330" s="11">
        <v>3.26404051268046</v>
      </c>
      <c r="N330" s="11">
        <v>4.04554694222477</v>
      </c>
      <c r="O330" s="11">
        <v>2.68726660320712</v>
      </c>
      <c r="P330" s="12"/>
      <c r="Q330" s="13" t="s">
        <v>43</v>
      </c>
      <c r="S330" s="14">
        <v>0.813</v>
      </c>
      <c r="T330" s="14">
        <v>0.417</v>
      </c>
      <c r="U330" s="14">
        <v>0.08079</v>
      </c>
    </row>
    <row r="331">
      <c r="A331" s="15" t="s">
        <v>71</v>
      </c>
      <c r="B331" s="16">
        <v>2015.0</v>
      </c>
      <c r="C331" s="16">
        <v>73.0</v>
      </c>
      <c r="D331" s="16">
        <v>5.429</v>
      </c>
      <c r="E331" s="16">
        <v>1.15174</v>
      </c>
      <c r="F331" s="16">
        <v>1.22791</v>
      </c>
      <c r="G331" s="16">
        <v>0.77361</v>
      </c>
      <c r="H331" s="16">
        <v>0.44888</v>
      </c>
      <c r="I331" s="16">
        <v>0.0868</v>
      </c>
      <c r="J331" s="16">
        <v>0.15184</v>
      </c>
      <c r="K331" s="16">
        <v>-1.462815284729</v>
      </c>
      <c r="L331" s="16">
        <v>-0.537040710449218</v>
      </c>
      <c r="M331" s="16">
        <v>1.11836916294213</v>
      </c>
      <c r="N331" s="16">
        <v>-0.49232280254364</v>
      </c>
      <c r="O331" s="16">
        <v>1.42130804061889</v>
      </c>
      <c r="P331" s="16">
        <v>-2.04881238937377</v>
      </c>
      <c r="Q331" s="17" t="s">
        <v>26</v>
      </c>
      <c r="S331" s="14">
        <v>0.813</v>
      </c>
      <c r="T331" s="14">
        <v>0.418</v>
      </c>
      <c r="U331" s="14">
        <v>0.08092</v>
      </c>
    </row>
    <row r="332">
      <c r="A332" s="10" t="s">
        <v>71</v>
      </c>
      <c r="B332" s="11">
        <v>2016.0</v>
      </c>
      <c r="C332" s="11">
        <v>72.0</v>
      </c>
      <c r="D332" s="11">
        <v>5.517</v>
      </c>
      <c r="E332" s="11">
        <v>1.27964</v>
      </c>
      <c r="F332" s="11">
        <v>1.05163</v>
      </c>
      <c r="G332" s="11">
        <v>0.68098</v>
      </c>
      <c r="H332" s="11">
        <v>0.41511</v>
      </c>
      <c r="I332" s="11">
        <v>0.08423</v>
      </c>
      <c r="J332" s="11">
        <v>0.18519</v>
      </c>
      <c r="K332" s="11">
        <v>-1.72278189659118</v>
      </c>
      <c r="L332" s="11">
        <v>0.0400931686162948</v>
      </c>
      <c r="M332" s="11">
        <v>2.26999999999999</v>
      </c>
      <c r="N332" s="11">
        <v>0.148681640625</v>
      </c>
      <c r="O332" s="11">
        <v>1.33233702182769</v>
      </c>
      <c r="P332" s="11">
        <v>-0.70831698179245</v>
      </c>
      <c r="Q332" s="13" t="s">
        <v>26</v>
      </c>
      <c r="S332" s="14">
        <v>0.81329</v>
      </c>
      <c r="T332" s="14">
        <v>0.418271929</v>
      </c>
      <c r="U332" s="14">
        <v>0.081</v>
      </c>
    </row>
    <row r="333">
      <c r="A333" s="15" t="s">
        <v>71</v>
      </c>
      <c r="B333" s="16">
        <v>2017.0</v>
      </c>
      <c r="C333" s="16">
        <v>66.0</v>
      </c>
      <c r="D333" s="16">
        <v>5.611000061</v>
      </c>
      <c r="E333" s="16">
        <v>1.32087934</v>
      </c>
      <c r="F333" s="16">
        <v>1.4766711</v>
      </c>
      <c r="G333" s="16">
        <v>0.695168316</v>
      </c>
      <c r="H333" s="16">
        <v>0.47913143</v>
      </c>
      <c r="I333" s="16">
        <v>0.098890811</v>
      </c>
      <c r="J333" s="16">
        <v>0.183248922</v>
      </c>
      <c r="K333" s="16">
        <v>2.15070223808288</v>
      </c>
      <c r="L333" s="16">
        <v>5.71433401107788</v>
      </c>
      <c r="M333" s="16">
        <v>3.11234966265767</v>
      </c>
      <c r="N333" s="16">
        <v>3.651</v>
      </c>
      <c r="O333" s="16">
        <v>2.12368702888488</v>
      </c>
      <c r="P333" s="16">
        <v>3.60050439834594</v>
      </c>
      <c r="Q333" s="17" t="s">
        <v>26</v>
      </c>
      <c r="S333" s="14">
        <v>0.814380348</v>
      </c>
      <c r="T333" s="14">
        <v>0.418421149</v>
      </c>
      <c r="U333" s="14">
        <v>0.081</v>
      </c>
    </row>
    <row r="334">
      <c r="A334" s="10" t="s">
        <v>71</v>
      </c>
      <c r="B334" s="11">
        <v>2018.0</v>
      </c>
      <c r="C334" s="11">
        <v>63.0</v>
      </c>
      <c r="D334" s="11">
        <v>5.739</v>
      </c>
      <c r="E334" s="11">
        <v>1.2</v>
      </c>
      <c r="F334" s="11">
        <v>1.532</v>
      </c>
      <c r="G334" s="11">
        <v>0.737</v>
      </c>
      <c r="H334" s="11">
        <v>0.553</v>
      </c>
      <c r="I334" s="11">
        <v>0.086</v>
      </c>
      <c r="J334" s="11">
        <v>0.174</v>
      </c>
      <c r="K334" s="11">
        <v>6.29139280319213</v>
      </c>
      <c r="L334" s="11">
        <v>3.06416082382202</v>
      </c>
      <c r="M334" s="11">
        <v>4.18100954927786</v>
      </c>
      <c r="N334" s="11">
        <v>3.44</v>
      </c>
      <c r="O334" s="11">
        <v>2.30347299575805</v>
      </c>
      <c r="P334" s="11">
        <v>2.64095640182495</v>
      </c>
      <c r="Q334" s="13" t="s">
        <v>26</v>
      </c>
      <c r="S334" s="14">
        <v>0.816509426</v>
      </c>
      <c r="T334" s="14">
        <v>0.419</v>
      </c>
      <c r="U334" s="14">
        <v>0.08124</v>
      </c>
    </row>
    <row r="335">
      <c r="A335" s="15" t="s">
        <v>71</v>
      </c>
      <c r="B335" s="16">
        <v>2019.0</v>
      </c>
      <c r="C335" s="16">
        <v>55.0</v>
      </c>
      <c r="D335" s="16">
        <v>5.893</v>
      </c>
      <c r="E335" s="16">
        <v>1.237</v>
      </c>
      <c r="F335" s="16">
        <v>1.528</v>
      </c>
      <c r="G335" s="16">
        <v>0.874</v>
      </c>
      <c r="H335" s="16">
        <v>0.495</v>
      </c>
      <c r="I335" s="16">
        <v>0.103</v>
      </c>
      <c r="J335" s="16">
        <v>0.161</v>
      </c>
      <c r="K335" s="16">
        <v>1.90596103668212</v>
      </c>
      <c r="L335" s="16">
        <v>2.98613619804382</v>
      </c>
      <c r="M335" s="16">
        <v>3.22677540914966</v>
      </c>
      <c r="N335" s="16">
        <v>2.26799988746643</v>
      </c>
      <c r="O335" s="16">
        <v>2.12205100059509</v>
      </c>
      <c r="P335" s="16">
        <v>-0.189432173967361</v>
      </c>
      <c r="Q335" s="17" t="s">
        <v>26</v>
      </c>
      <c r="S335" s="14">
        <v>0.816621482</v>
      </c>
      <c r="T335" s="14">
        <v>0.419</v>
      </c>
      <c r="U335" s="14">
        <v>0.0817</v>
      </c>
    </row>
    <row r="336">
      <c r="A336" s="10" t="s">
        <v>71</v>
      </c>
      <c r="B336" s="11">
        <v>2020.0</v>
      </c>
      <c r="C336" s="11">
        <v>51.0</v>
      </c>
      <c r="D336" s="11">
        <v>6.021800041</v>
      </c>
      <c r="E336" s="11">
        <v>1.192441225</v>
      </c>
      <c r="F336" s="11">
        <v>0.934729993</v>
      </c>
      <c r="G336" s="11">
        <v>68.60495758</v>
      </c>
      <c r="H336" s="11">
        <v>0.87770915</v>
      </c>
      <c r="I336" s="11">
        <v>-0.111697771</v>
      </c>
      <c r="J336" s="11">
        <v>0.623073816</v>
      </c>
      <c r="K336" s="11">
        <v>-3.72236080501806</v>
      </c>
      <c r="L336" s="11">
        <v>2.13596868515014</v>
      </c>
      <c r="M336" s="11">
        <v>-0.44441701129559</v>
      </c>
      <c r="N336" s="11">
        <v>-0.444531097679904</v>
      </c>
      <c r="O336" s="11">
        <v>0.148737907409667</v>
      </c>
      <c r="P336" s="11">
        <v>-2.43749237060546</v>
      </c>
      <c r="Q336" s="13" t="s">
        <v>26</v>
      </c>
      <c r="S336" s="14">
        <v>0.817</v>
      </c>
      <c r="T336" s="14">
        <v>0.42215</v>
      </c>
      <c r="U336" s="14">
        <v>0.08196</v>
      </c>
    </row>
    <row r="337">
      <c r="A337" s="15" t="s">
        <v>71</v>
      </c>
      <c r="B337" s="16">
        <v>2021.0</v>
      </c>
      <c r="C337" s="16">
        <v>40.0</v>
      </c>
      <c r="D337" s="16">
        <v>6.189</v>
      </c>
      <c r="E337" s="16">
        <v>10.481</v>
      </c>
      <c r="F337" s="16">
        <v>0.941</v>
      </c>
      <c r="G337" s="16">
        <v>68.8</v>
      </c>
      <c r="H337" s="16">
        <v>0.909</v>
      </c>
      <c r="I337" s="16">
        <v>-0.106</v>
      </c>
      <c r="J337" s="16">
        <v>0.527</v>
      </c>
      <c r="K337" s="16">
        <v>18.43826</v>
      </c>
      <c r="L337" s="16">
        <v>1.838</v>
      </c>
      <c r="M337" s="16">
        <v>5.99690607967075</v>
      </c>
      <c r="N337" s="16">
        <v>4.653167</v>
      </c>
      <c r="O337" s="16">
        <v>2.783</v>
      </c>
      <c r="P337" s="16">
        <v>12.46757457847</v>
      </c>
      <c r="Q337" s="17" t="s">
        <v>26</v>
      </c>
      <c r="S337" s="14">
        <v>0.817</v>
      </c>
      <c r="T337" s="14">
        <v>0.42284</v>
      </c>
      <c r="U337" s="14">
        <v>0.082</v>
      </c>
    </row>
    <row r="338">
      <c r="A338" s="10" t="s">
        <v>71</v>
      </c>
      <c r="B338" s="11">
        <v>2022.0</v>
      </c>
      <c r="C338" s="11">
        <v>36.0</v>
      </c>
      <c r="D338" s="11">
        <v>6.341</v>
      </c>
      <c r="E338" s="11">
        <v>1.793</v>
      </c>
      <c r="F338" s="11">
        <v>1.232</v>
      </c>
      <c r="G338" s="11">
        <v>0.728</v>
      </c>
      <c r="H338" s="11">
        <v>0.689</v>
      </c>
      <c r="I338" s="11">
        <v>0.123</v>
      </c>
      <c r="J338" s="11">
        <v>0.333</v>
      </c>
      <c r="K338" s="11">
        <v>64.0649462443573</v>
      </c>
      <c r="L338" s="11">
        <v>19.91215</v>
      </c>
      <c r="M338" s="11">
        <v>14.2099105969628</v>
      </c>
      <c r="N338" s="11">
        <v>19.39826</v>
      </c>
      <c r="O338" s="11">
        <v>9.71316262354</v>
      </c>
      <c r="P338" s="11">
        <v>26.9568977944352</v>
      </c>
      <c r="Q338" s="13" t="s">
        <v>26</v>
      </c>
      <c r="S338" s="14">
        <v>0.818</v>
      </c>
      <c r="T338" s="14">
        <v>0.423</v>
      </c>
      <c r="U338" s="14">
        <v>0.082</v>
      </c>
    </row>
    <row r="339">
      <c r="A339" s="15" t="s">
        <v>71</v>
      </c>
      <c r="B339" s="16">
        <v>2023.0</v>
      </c>
      <c r="C339" s="16">
        <v>31.0</v>
      </c>
      <c r="D339" s="16">
        <v>6.455</v>
      </c>
      <c r="E339" s="16">
        <v>10.541</v>
      </c>
      <c r="F339" s="16">
        <v>0.946</v>
      </c>
      <c r="G339" s="16">
        <v>69.65</v>
      </c>
      <c r="H339" s="16">
        <v>0.929</v>
      </c>
      <c r="I339" s="16">
        <v>0.032</v>
      </c>
      <c r="J339" s="16">
        <v>0.409</v>
      </c>
      <c r="K339" s="16">
        <v>4.72585071867207</v>
      </c>
      <c r="L339" s="16">
        <v>15.8064764963094</v>
      </c>
      <c r="M339" s="16">
        <v>8.17070697978068</v>
      </c>
      <c r="N339" s="16">
        <v>9.45217670350763</v>
      </c>
      <c r="O339" s="16">
        <v>8.41807090686195</v>
      </c>
      <c r="P339" s="16">
        <v>0.85159532190325</v>
      </c>
      <c r="Q339" s="17" t="s">
        <v>26</v>
      </c>
      <c r="S339" s="14">
        <v>0.81889</v>
      </c>
      <c r="T339" s="14">
        <v>0.423</v>
      </c>
      <c r="U339" s="14">
        <v>0.082</v>
      </c>
    </row>
    <row r="340">
      <c r="A340" s="10" t="s">
        <v>72</v>
      </c>
      <c r="B340" s="11">
        <v>2015.0</v>
      </c>
      <c r="C340" s="11">
        <v>122.0</v>
      </c>
      <c r="D340" s="11">
        <v>4.512</v>
      </c>
      <c r="E340" s="11">
        <v>0.19073</v>
      </c>
      <c r="F340" s="11">
        <v>0.60406</v>
      </c>
      <c r="G340" s="11">
        <v>0.44055</v>
      </c>
      <c r="H340" s="11">
        <v>0.4345</v>
      </c>
      <c r="I340" s="11">
        <v>0.24325</v>
      </c>
      <c r="J340" s="11">
        <v>0.15048</v>
      </c>
      <c r="K340" s="11">
        <v>8.73898315429687</v>
      </c>
      <c r="L340" s="11">
        <v>12.1445789337158</v>
      </c>
      <c r="M340" s="11">
        <v>10.8276897338054</v>
      </c>
      <c r="N340" s="11">
        <v>10.0840263366699</v>
      </c>
      <c r="O340" s="12"/>
      <c r="P340" s="12"/>
      <c r="Q340" s="13" t="s">
        <v>28</v>
      </c>
      <c r="S340" s="14">
        <v>0.81928</v>
      </c>
      <c r="T340" s="14">
        <v>0.423026294</v>
      </c>
      <c r="U340" s="14">
        <v>0.082</v>
      </c>
    </row>
    <row r="341">
      <c r="A341" s="15" t="s">
        <v>72</v>
      </c>
      <c r="B341" s="16">
        <v>2016.0</v>
      </c>
      <c r="C341" s="16">
        <v>115.0</v>
      </c>
      <c r="D341" s="16">
        <v>4.508</v>
      </c>
      <c r="E341" s="16">
        <v>0.29283</v>
      </c>
      <c r="F341" s="16">
        <v>0.37932</v>
      </c>
      <c r="G341" s="16">
        <v>0.34578</v>
      </c>
      <c r="H341" s="16">
        <v>0.36703</v>
      </c>
      <c r="I341" s="16">
        <v>0.29522</v>
      </c>
      <c r="J341" s="16">
        <v>0.1717</v>
      </c>
      <c r="K341" s="16">
        <v>12.3492488861083</v>
      </c>
      <c r="L341" s="16">
        <v>6.51727771759033</v>
      </c>
      <c r="M341" s="16">
        <v>11.8636006451879</v>
      </c>
      <c r="N341" s="16">
        <v>7.2791748046875</v>
      </c>
      <c r="O341" s="12"/>
      <c r="P341" s="16">
        <v>3.04525874123844</v>
      </c>
      <c r="Q341" s="17" t="s">
        <v>28</v>
      </c>
      <c r="S341" s="14">
        <v>0.819308281</v>
      </c>
      <c r="T341" s="14">
        <v>0.42342</v>
      </c>
      <c r="U341" s="14">
        <v>0.082</v>
      </c>
    </row>
    <row r="342">
      <c r="A342" s="10" t="s">
        <v>72</v>
      </c>
      <c r="B342" s="11">
        <v>2017.0</v>
      </c>
      <c r="C342" s="11">
        <v>119.0</v>
      </c>
      <c r="D342" s="11">
        <v>4.460000038</v>
      </c>
      <c r="E342" s="11">
        <v>0.339233845</v>
      </c>
      <c r="F342" s="11">
        <v>0.864669204</v>
      </c>
      <c r="G342" s="11">
        <v>0.353409708</v>
      </c>
      <c r="H342" s="11">
        <v>0.408842742</v>
      </c>
      <c r="I342" s="11">
        <v>0.31265074</v>
      </c>
      <c r="J342" s="11">
        <v>0.165455714</v>
      </c>
      <c r="K342" s="11">
        <v>12.7694330215454</v>
      </c>
      <c r="L342" s="11">
        <v>11.3569660186767</v>
      </c>
      <c r="M342" s="11">
        <v>6.05139107126351</v>
      </c>
      <c r="N342" s="11">
        <v>10.687</v>
      </c>
      <c r="O342" s="12"/>
      <c r="P342" s="11">
        <v>10.6453365618831</v>
      </c>
      <c r="Q342" s="13" t="s">
        <v>28</v>
      </c>
      <c r="S342" s="14">
        <v>0.82</v>
      </c>
      <c r="T342" s="14">
        <v>0.42483</v>
      </c>
      <c r="U342" s="14">
        <v>0.082</v>
      </c>
    </row>
    <row r="343">
      <c r="A343" s="15" t="s">
        <v>72</v>
      </c>
      <c r="B343" s="16">
        <v>2018.0</v>
      </c>
      <c r="C343" s="16">
        <v>127.0</v>
      </c>
      <c r="D343" s="16">
        <v>4.35</v>
      </c>
      <c r="E343" s="16">
        <v>0.308</v>
      </c>
      <c r="F343" s="16">
        <v>0.95</v>
      </c>
      <c r="G343" s="16">
        <v>0.391</v>
      </c>
      <c r="H343" s="16">
        <v>0.452</v>
      </c>
      <c r="I343" s="16">
        <v>0.22</v>
      </c>
      <c r="J343" s="16">
        <v>0.146</v>
      </c>
      <c r="K343" s="16">
        <v>17.0423336029052</v>
      </c>
      <c r="L343" s="16">
        <v>12.5169315338134</v>
      </c>
      <c r="M343" s="16">
        <v>11.4575071685681</v>
      </c>
      <c r="N343" s="16">
        <v>13.84</v>
      </c>
      <c r="O343" s="12"/>
      <c r="P343" s="16">
        <v>4.43085998378948</v>
      </c>
      <c r="Q343" s="17" t="s">
        <v>28</v>
      </c>
      <c r="S343" s="14">
        <v>0.820726514</v>
      </c>
      <c r="T343" s="14">
        <v>0.425962776</v>
      </c>
      <c r="U343" s="14">
        <v>0.082</v>
      </c>
    </row>
    <row r="344">
      <c r="A344" s="10" t="s">
        <v>72</v>
      </c>
      <c r="B344" s="11">
        <v>2019.0</v>
      </c>
      <c r="C344" s="11">
        <v>134.0</v>
      </c>
      <c r="D344" s="11">
        <v>4.286</v>
      </c>
      <c r="E344" s="11">
        <v>0.336</v>
      </c>
      <c r="F344" s="11">
        <v>1.033</v>
      </c>
      <c r="G344" s="11">
        <v>0.532</v>
      </c>
      <c r="H344" s="11">
        <v>0.344</v>
      </c>
      <c r="I344" s="11">
        <v>0.209</v>
      </c>
      <c r="J344" s="11">
        <v>0.1</v>
      </c>
      <c r="K344" s="11">
        <v>10.9549827575683</v>
      </c>
      <c r="L344" s="11">
        <v>18.9377212524414</v>
      </c>
      <c r="M344" s="11">
        <v>12.1634619144061</v>
      </c>
      <c r="N344" s="11">
        <v>15.8100004196167</v>
      </c>
      <c r="O344" s="12"/>
      <c r="P344" s="12"/>
      <c r="Q344" s="13" t="s">
        <v>28</v>
      </c>
      <c r="S344" s="14">
        <v>0.821</v>
      </c>
      <c r="T344" s="14">
        <v>0.426</v>
      </c>
      <c r="U344" s="14">
        <v>0.082</v>
      </c>
    </row>
    <row r="345">
      <c r="A345" s="15" t="s">
        <v>72</v>
      </c>
      <c r="B345" s="16">
        <v>2020.0</v>
      </c>
      <c r="C345" s="16">
        <v>136.0</v>
      </c>
      <c r="D345" s="16">
        <v>4.186200142</v>
      </c>
      <c r="E345" s="16">
        <v>0.315125644</v>
      </c>
      <c r="F345" s="16">
        <v>0.743307352</v>
      </c>
      <c r="G345" s="16">
        <v>58.63959122</v>
      </c>
      <c r="H345" s="16">
        <v>0.740795195</v>
      </c>
      <c r="I345" s="16">
        <v>0.043377332</v>
      </c>
      <c r="J345" s="16">
        <v>0.753690004</v>
      </c>
      <c r="K345" s="16">
        <v>20.0809097290039</v>
      </c>
      <c r="L345" s="16">
        <v>23.0821151733398</v>
      </c>
      <c r="M345" s="16">
        <v>18.2434222451512</v>
      </c>
      <c r="N345" s="16">
        <v>20.354</v>
      </c>
      <c r="O345" s="12"/>
      <c r="P345" s="12"/>
      <c r="Q345" s="17" t="s">
        <v>28</v>
      </c>
      <c r="S345" s="14">
        <v>0.821</v>
      </c>
      <c r="T345" s="14">
        <v>0.42662</v>
      </c>
      <c r="U345" s="14">
        <v>0.082</v>
      </c>
    </row>
    <row r="346">
      <c r="A346" s="10" t="s">
        <v>72</v>
      </c>
      <c r="B346" s="11">
        <v>2021.0</v>
      </c>
      <c r="C346" s="11">
        <v>133.0</v>
      </c>
      <c r="D346" s="11">
        <v>4.275</v>
      </c>
      <c r="E346" s="11">
        <v>7.694</v>
      </c>
      <c r="F346" s="11">
        <v>0.764</v>
      </c>
      <c r="G346" s="11">
        <v>59.0</v>
      </c>
      <c r="H346" s="11">
        <v>0.752</v>
      </c>
      <c r="I346" s="11">
        <v>0.082</v>
      </c>
      <c r="J346" s="11">
        <v>0.761</v>
      </c>
      <c r="K346" s="11">
        <v>15.89</v>
      </c>
      <c r="L346" s="11">
        <v>31.78</v>
      </c>
      <c r="M346" s="11">
        <v>21.7783223104984</v>
      </c>
      <c r="N346" s="11">
        <v>26.8434732383519</v>
      </c>
      <c r="O346" s="12"/>
      <c r="P346" s="12"/>
      <c r="Q346" s="13" t="s">
        <v>28</v>
      </c>
      <c r="S346" s="14">
        <v>0.821</v>
      </c>
      <c r="T346" s="14">
        <v>0.42692</v>
      </c>
      <c r="U346" s="14">
        <v>0.082287982</v>
      </c>
    </row>
    <row r="347">
      <c r="A347" s="15" t="s">
        <v>72</v>
      </c>
      <c r="B347" s="16">
        <v>2022.0</v>
      </c>
      <c r="C347" s="16">
        <v>131.0</v>
      </c>
      <c r="D347" s="16">
        <v>4.241</v>
      </c>
      <c r="E347" s="16">
        <v>0.788</v>
      </c>
      <c r="F347" s="16">
        <v>0.809</v>
      </c>
      <c r="G347" s="16">
        <v>0.457</v>
      </c>
      <c r="H347" s="16">
        <v>0.472</v>
      </c>
      <c r="I347" s="16">
        <v>0.205</v>
      </c>
      <c r="J347" s="16">
        <v>0.136</v>
      </c>
      <c r="K347" s="16">
        <v>19.1484397531235</v>
      </c>
      <c r="L347" s="16">
        <v>36.4031810725633</v>
      </c>
      <c r="M347" s="16">
        <v>21.0735469264059</v>
      </c>
      <c r="N347" s="16">
        <v>34.0037595969234</v>
      </c>
      <c r="O347" s="12"/>
      <c r="P347" s="12"/>
      <c r="Q347" s="17" t="s">
        <v>28</v>
      </c>
      <c r="S347" s="14">
        <v>0.821870148</v>
      </c>
      <c r="T347" s="14">
        <v>0.42736</v>
      </c>
      <c r="U347" s="14">
        <v>0.08242</v>
      </c>
    </row>
    <row r="348">
      <c r="A348" s="10" t="s">
        <v>72</v>
      </c>
      <c r="B348" s="11">
        <v>2023.0</v>
      </c>
      <c r="C348" s="11">
        <v>124.0</v>
      </c>
      <c r="D348" s="11">
        <v>4.091</v>
      </c>
      <c r="E348" s="11">
        <v>7.739</v>
      </c>
      <c r="F348" s="11">
        <v>0.782</v>
      </c>
      <c r="G348" s="11">
        <v>60.698</v>
      </c>
      <c r="H348" s="11">
        <v>0.72</v>
      </c>
      <c r="I348" s="11">
        <v>0.273</v>
      </c>
      <c r="J348" s="11">
        <v>0.789</v>
      </c>
      <c r="K348" s="11">
        <v>26.6477423090666</v>
      </c>
      <c r="L348" s="11">
        <v>29.5591258661387</v>
      </c>
      <c r="M348" s="11">
        <v>32.1685497476647</v>
      </c>
      <c r="N348" s="11">
        <v>32.2953467172109</v>
      </c>
      <c r="O348" s="12"/>
      <c r="P348" s="12"/>
      <c r="Q348" s="13" t="s">
        <v>28</v>
      </c>
      <c r="S348" s="14">
        <v>0.822</v>
      </c>
      <c r="T348" s="14">
        <v>0.43</v>
      </c>
      <c r="U348" s="14">
        <v>0.08289</v>
      </c>
    </row>
    <row r="349">
      <c r="A349" s="15" t="s">
        <v>73</v>
      </c>
      <c r="B349" s="16">
        <v>2015.0</v>
      </c>
      <c r="C349" s="16">
        <v>6.0</v>
      </c>
      <c r="D349" s="16">
        <v>7.406</v>
      </c>
      <c r="E349" s="16">
        <v>1.29025</v>
      </c>
      <c r="F349" s="16">
        <v>1.31826</v>
      </c>
      <c r="G349" s="16">
        <v>0.88911</v>
      </c>
      <c r="H349" s="16">
        <v>0.64169</v>
      </c>
      <c r="I349" s="16">
        <v>0.23351</v>
      </c>
      <c r="J349" s="16">
        <v>0.41372</v>
      </c>
      <c r="K349" s="16">
        <v>0.821114242076873</v>
      </c>
      <c r="L349" s="16">
        <v>-1.87259745597839</v>
      </c>
      <c r="M349" s="16">
        <v>1.61672204778017</v>
      </c>
      <c r="N349" s="16">
        <v>-0.207928299903869</v>
      </c>
      <c r="O349" s="16">
        <v>0.56192260980606</v>
      </c>
      <c r="P349" s="16">
        <v>-1.96046006679534</v>
      </c>
      <c r="Q349" s="17" t="s">
        <v>26</v>
      </c>
      <c r="S349" s="14">
        <v>0.822</v>
      </c>
      <c r="T349" s="14">
        <v>0.43</v>
      </c>
      <c r="U349" s="14">
        <v>0.083</v>
      </c>
    </row>
    <row r="350">
      <c r="A350" s="10" t="s">
        <v>73</v>
      </c>
      <c r="B350" s="11">
        <v>2016.0</v>
      </c>
      <c r="C350" s="11">
        <v>5.0</v>
      </c>
      <c r="D350" s="11">
        <v>7.413</v>
      </c>
      <c r="E350" s="11">
        <v>1.40598</v>
      </c>
      <c r="F350" s="11">
        <v>1.13464</v>
      </c>
      <c r="G350" s="11">
        <v>0.81091</v>
      </c>
      <c r="H350" s="11">
        <v>0.57104</v>
      </c>
      <c r="I350" s="11">
        <v>0.25492</v>
      </c>
      <c r="J350" s="11">
        <v>0.41004</v>
      </c>
      <c r="K350" s="11">
        <v>0.55168467760086</v>
      </c>
      <c r="L350" s="11">
        <v>-1.14167022705078</v>
      </c>
      <c r="M350" s="11">
        <v>0.0870000000000033</v>
      </c>
      <c r="N350" s="11">
        <v>0.356684386730194</v>
      </c>
      <c r="O350" s="11">
        <v>0.96338152885437</v>
      </c>
      <c r="P350" s="11">
        <v>-2.29980897903442</v>
      </c>
      <c r="Q350" s="13" t="s">
        <v>26</v>
      </c>
      <c r="S350" s="14">
        <v>0.823</v>
      </c>
      <c r="T350" s="14">
        <v>0.430388749</v>
      </c>
      <c r="U350" s="14">
        <v>0.083</v>
      </c>
    </row>
    <row r="351">
      <c r="A351" s="15" t="s">
        <v>73</v>
      </c>
      <c r="B351" s="16">
        <v>2017.0</v>
      </c>
      <c r="C351" s="16">
        <v>5.0</v>
      </c>
      <c r="D351" s="16">
        <v>7.468999863</v>
      </c>
      <c r="E351" s="16">
        <v>1.443571925</v>
      </c>
      <c r="F351" s="16">
        <v>1.540246725</v>
      </c>
      <c r="G351" s="16">
        <v>0.80915767</v>
      </c>
      <c r="H351" s="16">
        <v>0.617950857</v>
      </c>
      <c r="I351" s="16">
        <v>0.245482773</v>
      </c>
      <c r="J351" s="16">
        <v>0.382611543</v>
      </c>
      <c r="K351" s="16">
        <v>1.29705655574798</v>
      </c>
      <c r="L351" s="16">
        <v>-0.910387516021728</v>
      </c>
      <c r="M351" s="16">
        <v>0.81928722011849</v>
      </c>
      <c r="N351" s="16">
        <v>0.839</v>
      </c>
      <c r="O351" s="16">
        <v>0.658687591552734</v>
      </c>
      <c r="P351" s="16">
        <v>3.57355976104736</v>
      </c>
      <c r="Q351" s="17" t="s">
        <v>26</v>
      </c>
      <c r="S351" s="14">
        <v>0.824338138</v>
      </c>
      <c r="T351" s="14">
        <v>0.43054</v>
      </c>
      <c r="U351" s="14">
        <v>0.08404</v>
      </c>
    </row>
    <row r="352">
      <c r="A352" s="10" t="s">
        <v>73</v>
      </c>
      <c r="B352" s="11">
        <v>2018.0</v>
      </c>
      <c r="C352" s="11">
        <v>1.0</v>
      </c>
      <c r="D352" s="11">
        <v>7.632</v>
      </c>
      <c r="E352" s="11">
        <v>1.305</v>
      </c>
      <c r="F352" s="11">
        <v>1.592</v>
      </c>
      <c r="G352" s="11">
        <v>0.874</v>
      </c>
      <c r="H352" s="11">
        <v>0.681</v>
      </c>
      <c r="I352" s="11">
        <v>0.202</v>
      </c>
      <c r="J352" s="11">
        <v>0.393</v>
      </c>
      <c r="K352" s="11">
        <v>1.55126464366912</v>
      </c>
      <c r="L352" s="11">
        <v>1.91407907009124</v>
      </c>
      <c r="M352" s="11">
        <v>1.93148146312941</v>
      </c>
      <c r="N352" s="11">
        <v>1.08</v>
      </c>
      <c r="O352" s="11">
        <v>0.681438028812408</v>
      </c>
      <c r="P352" s="11">
        <v>4.70191192626953</v>
      </c>
      <c r="Q352" s="13" t="s">
        <v>26</v>
      </c>
      <c r="S352" s="14">
        <v>0.825161517</v>
      </c>
      <c r="T352" s="14">
        <v>0.431</v>
      </c>
      <c r="U352" s="14">
        <v>0.084147945</v>
      </c>
    </row>
    <row r="353">
      <c r="A353" s="15" t="s">
        <v>73</v>
      </c>
      <c r="B353" s="16">
        <v>2019.0</v>
      </c>
      <c r="C353" s="16">
        <v>1.0</v>
      </c>
      <c r="D353" s="16">
        <v>7.769</v>
      </c>
      <c r="E353" s="16">
        <v>1.34</v>
      </c>
      <c r="F353" s="16">
        <v>1.587</v>
      </c>
      <c r="G353" s="16">
        <v>0.986</v>
      </c>
      <c r="H353" s="16">
        <v>0.596</v>
      </c>
      <c r="I353" s="16">
        <v>0.153</v>
      </c>
      <c r="J353" s="16">
        <v>0.393</v>
      </c>
      <c r="K353" s="16">
        <v>2.98841905593872</v>
      </c>
      <c r="L353" s="16">
        <v>1.21196901798248</v>
      </c>
      <c r="M353" s="16">
        <v>1.51668351870576</v>
      </c>
      <c r="N353" s="16">
        <v>1.13699996471405</v>
      </c>
      <c r="O353" s="16">
        <v>0.82913202047348</v>
      </c>
      <c r="P353" s="16">
        <v>0.306724041700363</v>
      </c>
      <c r="Q353" s="17" t="s">
        <v>26</v>
      </c>
      <c r="S353" s="14">
        <v>0.825374067</v>
      </c>
      <c r="T353" s="14">
        <v>0.431</v>
      </c>
      <c r="U353" s="14">
        <v>0.08415</v>
      </c>
    </row>
    <row r="354">
      <c r="A354" s="10" t="s">
        <v>73</v>
      </c>
      <c r="B354" s="11">
        <v>2020.0</v>
      </c>
      <c r="C354" s="11">
        <v>1.0</v>
      </c>
      <c r="D354" s="11">
        <v>7.808700085</v>
      </c>
      <c r="E354" s="11">
        <v>1.285189509</v>
      </c>
      <c r="F354" s="11">
        <v>0.954329729</v>
      </c>
      <c r="G354" s="11">
        <v>71.9008255</v>
      </c>
      <c r="H354" s="11">
        <v>0.949172199</v>
      </c>
      <c r="I354" s="11">
        <v>-0.059482019</v>
      </c>
      <c r="J354" s="11">
        <v>0.195444584</v>
      </c>
      <c r="K354" s="11">
        <v>0.156608399905078</v>
      </c>
      <c r="L354" s="11">
        <v>1.15485119819641</v>
      </c>
      <c r="M354" s="11">
        <v>1.63959546429666</v>
      </c>
      <c r="N354" s="11">
        <v>0.290554555653768</v>
      </c>
      <c r="O354" s="11">
        <v>0.504051029682159</v>
      </c>
      <c r="P354" s="11">
        <v>-4.64503500715229</v>
      </c>
      <c r="Q354" s="13" t="s">
        <v>26</v>
      </c>
      <c r="S354" s="14">
        <v>0.825942934</v>
      </c>
      <c r="T354" s="14">
        <v>0.431</v>
      </c>
      <c r="U354" s="14">
        <v>0.08423</v>
      </c>
    </row>
    <row r="355">
      <c r="A355" s="15" t="s">
        <v>73</v>
      </c>
      <c r="B355" s="16">
        <v>2021.0</v>
      </c>
      <c r="C355" s="16">
        <v>1.0</v>
      </c>
      <c r="D355" s="16">
        <v>7.842</v>
      </c>
      <c r="E355" s="16">
        <v>10.775</v>
      </c>
      <c r="F355" s="16">
        <v>0.954</v>
      </c>
      <c r="G355" s="16">
        <v>72.0</v>
      </c>
      <c r="H355" s="16">
        <v>0.949</v>
      </c>
      <c r="I355" s="16">
        <v>-0.098</v>
      </c>
      <c r="J355" s="16">
        <v>0.186</v>
      </c>
      <c r="K355" s="16">
        <v>9.620338</v>
      </c>
      <c r="L355" s="16">
        <v>0.569</v>
      </c>
      <c r="M355" s="16">
        <v>2.54831154599869</v>
      </c>
      <c r="N355" s="16">
        <v>2.194574</v>
      </c>
      <c r="O355" s="16">
        <v>1.726</v>
      </c>
      <c r="P355" s="16">
        <v>12.7111953260701</v>
      </c>
      <c r="Q355" s="17" t="s">
        <v>26</v>
      </c>
      <c r="S355" s="14">
        <v>0.826</v>
      </c>
      <c r="T355" s="14">
        <v>0.43166</v>
      </c>
      <c r="U355" s="14">
        <v>0.08434</v>
      </c>
    </row>
    <row r="356">
      <c r="A356" s="10" t="s">
        <v>73</v>
      </c>
      <c r="B356" s="11">
        <v>2022.0</v>
      </c>
      <c r="C356" s="11">
        <v>1.0</v>
      </c>
      <c r="D356" s="11">
        <v>7.821</v>
      </c>
      <c r="E356" s="11">
        <v>1.892</v>
      </c>
      <c r="F356" s="11">
        <v>1.258</v>
      </c>
      <c r="G356" s="11">
        <v>0.775</v>
      </c>
      <c r="H356" s="11">
        <v>0.736</v>
      </c>
      <c r="I356" s="11">
        <v>0.109</v>
      </c>
      <c r="J356" s="11">
        <v>0.534</v>
      </c>
      <c r="K356" s="11">
        <v>30.6968068556357</v>
      </c>
      <c r="L356" s="11">
        <v>10.50721</v>
      </c>
      <c r="M356" s="11">
        <v>4.01675054520847</v>
      </c>
      <c r="N356" s="11">
        <v>7.123507</v>
      </c>
      <c r="O356" s="11">
        <v>4.16477003319109</v>
      </c>
      <c r="P356" s="11">
        <v>24.2154665172313</v>
      </c>
      <c r="Q356" s="13" t="s">
        <v>26</v>
      </c>
      <c r="S356" s="14">
        <v>0.826</v>
      </c>
      <c r="T356" s="14">
        <v>0.43245253</v>
      </c>
      <c r="U356" s="14">
        <v>0.08454</v>
      </c>
    </row>
    <row r="357">
      <c r="A357" s="15" t="s">
        <v>73</v>
      </c>
      <c r="B357" s="16">
        <v>2023.0</v>
      </c>
      <c r="C357" s="16">
        <v>1.0</v>
      </c>
      <c r="D357" s="16">
        <v>7.804</v>
      </c>
      <c r="E357" s="16">
        <v>10.792</v>
      </c>
      <c r="F357" s="16">
        <v>0.969</v>
      </c>
      <c r="G357" s="16">
        <v>71.15</v>
      </c>
      <c r="H357" s="16">
        <v>0.961</v>
      </c>
      <c r="I357" s="16">
        <v>-0.019</v>
      </c>
      <c r="J357" s="16">
        <v>0.182</v>
      </c>
      <c r="K357" s="16">
        <v>-1.18089400680715</v>
      </c>
      <c r="L357" s="16">
        <v>9.01256952656242</v>
      </c>
      <c r="M357" s="16">
        <v>4.82040619276719</v>
      </c>
      <c r="N357" s="16">
        <v>6.25064322154763</v>
      </c>
      <c r="O357" s="16">
        <v>6.64480589767375</v>
      </c>
      <c r="P357" s="16">
        <v>-3.90796819489088</v>
      </c>
      <c r="Q357" s="17" t="s">
        <v>26</v>
      </c>
      <c r="S357" s="14">
        <v>0.826</v>
      </c>
      <c r="T357" s="14">
        <v>0.433</v>
      </c>
      <c r="U357" s="14">
        <v>0.08484</v>
      </c>
    </row>
    <row r="358">
      <c r="A358" s="10" t="s">
        <v>74</v>
      </c>
      <c r="B358" s="11">
        <v>2015.0</v>
      </c>
      <c r="C358" s="11">
        <v>29.0</v>
      </c>
      <c r="D358" s="11">
        <v>6.575</v>
      </c>
      <c r="E358" s="11">
        <v>1.27778</v>
      </c>
      <c r="F358" s="11">
        <v>1.26038</v>
      </c>
      <c r="G358" s="11">
        <v>0.94579</v>
      </c>
      <c r="H358" s="11">
        <v>0.55011</v>
      </c>
      <c r="I358" s="11">
        <v>0.12332</v>
      </c>
      <c r="J358" s="11">
        <v>0.20646</v>
      </c>
      <c r="K358" s="11">
        <v>0.41000360250473</v>
      </c>
      <c r="L358" s="11">
        <v>0.403284579515457</v>
      </c>
      <c r="M358" s="11">
        <v>1.138</v>
      </c>
      <c r="N358" s="11">
        <v>0.0375128537416458</v>
      </c>
      <c r="O358" s="11">
        <v>0.551420986652374</v>
      </c>
      <c r="P358" s="11">
        <v>-1.63919067382812</v>
      </c>
      <c r="Q358" s="13" t="s">
        <v>26</v>
      </c>
      <c r="S358" s="14">
        <v>0.826313555</v>
      </c>
      <c r="T358" s="14">
        <v>0.434</v>
      </c>
      <c r="U358" s="14">
        <v>0.08492</v>
      </c>
    </row>
    <row r="359">
      <c r="A359" s="15" t="s">
        <v>74</v>
      </c>
      <c r="B359" s="16">
        <v>2016.0</v>
      </c>
      <c r="C359" s="16">
        <v>32.0</v>
      </c>
      <c r="D359" s="16">
        <v>6.478</v>
      </c>
      <c r="E359" s="16">
        <v>1.39488</v>
      </c>
      <c r="F359" s="16">
        <v>1.00508</v>
      </c>
      <c r="G359" s="16">
        <v>0.83795</v>
      </c>
      <c r="H359" s="16">
        <v>0.46562</v>
      </c>
      <c r="I359" s="16">
        <v>0.1216</v>
      </c>
      <c r="J359" s="16">
        <v>0.17808</v>
      </c>
      <c r="K359" s="16">
        <v>-0.114996910095214</v>
      </c>
      <c r="L359" s="16">
        <v>0.554168701171875</v>
      </c>
      <c r="M359" s="16">
        <v>0.523047716980755</v>
      </c>
      <c r="N359" s="16">
        <v>0.183335870504379</v>
      </c>
      <c r="O359" s="16">
        <v>0.419813096523284</v>
      </c>
      <c r="P359" s="16">
        <v>-2.23315739631652</v>
      </c>
      <c r="Q359" s="17" t="s">
        <v>26</v>
      </c>
      <c r="S359" s="14">
        <v>0.827</v>
      </c>
      <c r="T359" s="14">
        <v>0.43408</v>
      </c>
      <c r="U359" s="14">
        <v>0.085</v>
      </c>
    </row>
    <row r="360">
      <c r="A360" s="10" t="s">
        <v>74</v>
      </c>
      <c r="B360" s="11">
        <v>2017.0</v>
      </c>
      <c r="C360" s="11">
        <v>31.0</v>
      </c>
      <c r="D360" s="11">
        <v>6.441999912</v>
      </c>
      <c r="E360" s="11">
        <v>1.430923462</v>
      </c>
      <c r="F360" s="11">
        <v>1.387776852</v>
      </c>
      <c r="G360" s="11">
        <v>0.844465852</v>
      </c>
      <c r="H360" s="11">
        <v>0.470222116</v>
      </c>
      <c r="I360" s="11">
        <v>0.129762307</v>
      </c>
      <c r="J360" s="11">
        <v>0.172502428</v>
      </c>
      <c r="K360" s="11">
        <v>1.60182726383209</v>
      </c>
      <c r="L360" s="11">
        <v>1.08730483055114</v>
      </c>
      <c r="M360" s="11">
        <v>0.521309766197488</v>
      </c>
      <c r="N360" s="11">
        <v>1.163</v>
      </c>
      <c r="O360" s="11">
        <v>8.94086551666259</v>
      </c>
      <c r="P360" s="11">
        <v>2.35233783721923</v>
      </c>
      <c r="Q360" s="13" t="s">
        <v>26</v>
      </c>
      <c r="S360" s="14">
        <v>0.827</v>
      </c>
      <c r="T360" s="14">
        <v>0.4345</v>
      </c>
      <c r="U360" s="14">
        <v>0.085</v>
      </c>
    </row>
    <row r="361">
      <c r="A361" s="15" t="s">
        <v>74</v>
      </c>
      <c r="B361" s="16">
        <v>2018.0</v>
      </c>
      <c r="C361" s="16">
        <v>23.0</v>
      </c>
      <c r="D361" s="16">
        <v>6.489</v>
      </c>
      <c r="E361" s="16">
        <v>1.293</v>
      </c>
      <c r="F361" s="16">
        <v>1.466</v>
      </c>
      <c r="G361" s="16">
        <v>0.908</v>
      </c>
      <c r="H361" s="16">
        <v>0.52</v>
      </c>
      <c r="I361" s="16">
        <v>0.098</v>
      </c>
      <c r="J361" s="16">
        <v>0.176</v>
      </c>
      <c r="K361" s="16">
        <v>2.38292860984802</v>
      </c>
      <c r="L361" s="16">
        <v>1.9675840139389</v>
      </c>
      <c r="M361" s="16">
        <v>0.954039746763598</v>
      </c>
      <c r="N361" s="16">
        <v>1.85</v>
      </c>
      <c r="O361" s="16">
        <v>1.00579702854156</v>
      </c>
      <c r="P361" s="16">
        <v>2.38154053688049</v>
      </c>
      <c r="Q361" s="17" t="s">
        <v>26</v>
      </c>
      <c r="S361" s="14">
        <v>0.827</v>
      </c>
      <c r="T361" s="14">
        <v>0.435</v>
      </c>
      <c r="U361" s="14">
        <v>0.085</v>
      </c>
    </row>
    <row r="362">
      <c r="A362" s="10" t="s">
        <v>74</v>
      </c>
      <c r="B362" s="11">
        <v>2019.0</v>
      </c>
      <c r="C362" s="11">
        <v>24.0</v>
      </c>
      <c r="D362" s="11">
        <v>6.592</v>
      </c>
      <c r="E362" s="11">
        <v>1.324</v>
      </c>
      <c r="F362" s="11">
        <v>1.472</v>
      </c>
      <c r="G362" s="11">
        <v>1.045</v>
      </c>
      <c r="H362" s="11">
        <v>0.436</v>
      </c>
      <c r="I362" s="11">
        <v>0.111</v>
      </c>
      <c r="J362" s="11">
        <v>0.183</v>
      </c>
      <c r="K362" s="11">
        <v>1.74413502216339</v>
      </c>
      <c r="L362" s="11">
        <v>2.45118536416466</v>
      </c>
      <c r="M362" s="11">
        <v>1.22610785872135</v>
      </c>
      <c r="N362" s="11">
        <v>1.29999995231628</v>
      </c>
      <c r="O362" s="11">
        <v>0.739262521266937</v>
      </c>
      <c r="P362" s="11">
        <v>0.479880273342132</v>
      </c>
      <c r="Q362" s="13" t="s">
        <v>26</v>
      </c>
      <c r="S362" s="14">
        <v>0.829</v>
      </c>
      <c r="T362" s="14">
        <v>0.43597</v>
      </c>
      <c r="U362" s="14">
        <v>0.0852421</v>
      </c>
    </row>
    <row r="363">
      <c r="A363" s="15" t="s">
        <v>74</v>
      </c>
      <c r="B363" s="16">
        <v>2020.0</v>
      </c>
      <c r="C363" s="16">
        <v>23.0</v>
      </c>
      <c r="D363" s="16">
        <v>6.663799763</v>
      </c>
      <c r="E363" s="16">
        <v>1.268129349</v>
      </c>
      <c r="F363" s="16">
        <v>0.937103748</v>
      </c>
      <c r="G363" s="16">
        <v>73.80193329</v>
      </c>
      <c r="H363" s="16">
        <v>0.825467646</v>
      </c>
      <c r="I363" s="16">
        <v>-0.130641967</v>
      </c>
      <c r="J363" s="16">
        <v>0.583521128</v>
      </c>
      <c r="K363" s="16">
        <v>-0.206244221605888</v>
      </c>
      <c r="L363" s="16">
        <v>2.02567473026824</v>
      </c>
      <c r="M363" s="16">
        <v>2.24537280848741</v>
      </c>
      <c r="N363" s="16">
        <v>0.476498852725161</v>
      </c>
      <c r="O363" s="16">
        <v>0.9701529</v>
      </c>
      <c r="P363" s="16">
        <v>-1.9184069936866</v>
      </c>
      <c r="Q363" s="17" t="s">
        <v>26</v>
      </c>
      <c r="S363" s="14">
        <v>0.829</v>
      </c>
      <c r="T363" s="14">
        <v>0.436</v>
      </c>
      <c r="U363" s="14">
        <v>0.08546</v>
      </c>
    </row>
    <row r="364">
      <c r="A364" s="10" t="s">
        <v>74</v>
      </c>
      <c r="B364" s="11">
        <v>2021.0</v>
      </c>
      <c r="C364" s="11">
        <v>21.0</v>
      </c>
      <c r="D364" s="11">
        <v>6.69</v>
      </c>
      <c r="E364" s="11">
        <v>10.704</v>
      </c>
      <c r="F364" s="11">
        <v>0.942</v>
      </c>
      <c r="G364" s="11">
        <v>74.0</v>
      </c>
      <c r="H364" s="11">
        <v>0.822</v>
      </c>
      <c r="I364" s="11">
        <v>-0.147</v>
      </c>
      <c r="J364" s="11">
        <v>0.571</v>
      </c>
      <c r="K364" s="11">
        <v>10.45525</v>
      </c>
      <c r="L364" s="11">
        <v>0.615</v>
      </c>
      <c r="M364" s="11">
        <v>1.33331842600242</v>
      </c>
      <c r="N364" s="11">
        <v>1.642331</v>
      </c>
      <c r="O364" s="11">
        <v>0.956</v>
      </c>
      <c r="P364" s="11">
        <v>8.67304835781473</v>
      </c>
      <c r="Q364" s="13" t="s">
        <v>26</v>
      </c>
      <c r="S364" s="14">
        <v>0.829204142</v>
      </c>
      <c r="T364" s="14">
        <v>0.43626</v>
      </c>
      <c r="U364" s="14">
        <v>0.08582</v>
      </c>
    </row>
    <row r="365">
      <c r="A365" s="15" t="s">
        <v>74</v>
      </c>
      <c r="B365" s="16">
        <v>2022.0</v>
      </c>
      <c r="C365" s="16">
        <v>20.0</v>
      </c>
      <c r="D365" s="16">
        <v>6.687</v>
      </c>
      <c r="E365" s="16">
        <v>1.863</v>
      </c>
      <c r="F365" s="16">
        <v>1.219</v>
      </c>
      <c r="G365" s="16">
        <v>0.808</v>
      </c>
      <c r="H365" s="16">
        <v>0.567</v>
      </c>
      <c r="I365" s="16">
        <v>0.07</v>
      </c>
      <c r="J365" s="16">
        <v>0.266</v>
      </c>
      <c r="K365" s="16">
        <v>23.7354601908947</v>
      </c>
      <c r="L365" s="16">
        <v>7.277634</v>
      </c>
      <c r="M365" s="16">
        <v>2.94246360534228</v>
      </c>
      <c r="N365" s="16">
        <v>5.222367</v>
      </c>
      <c r="O365" s="16">
        <v>2.77483285577842</v>
      </c>
      <c r="P365" s="16">
        <v>23.092110258942</v>
      </c>
      <c r="Q365" s="17" t="s">
        <v>26</v>
      </c>
      <c r="S365" s="14">
        <v>0.83</v>
      </c>
      <c r="T365" s="14">
        <v>0.43653</v>
      </c>
      <c r="U365" s="14">
        <v>0.086</v>
      </c>
    </row>
    <row r="366">
      <c r="A366" s="10" t="s">
        <v>74</v>
      </c>
      <c r="B366" s="11">
        <v>2023.0</v>
      </c>
      <c r="C366" s="11">
        <v>21.0</v>
      </c>
      <c r="D366" s="11">
        <v>6.661</v>
      </c>
      <c r="E366" s="11">
        <v>10.701</v>
      </c>
      <c r="F366" s="11">
        <v>0.909</v>
      </c>
      <c r="G366" s="11">
        <v>72.3</v>
      </c>
      <c r="H366" s="11">
        <v>0.819</v>
      </c>
      <c r="I366" s="11">
        <v>-0.1</v>
      </c>
      <c r="J366" s="11">
        <v>0.553</v>
      </c>
      <c r="K366" s="11">
        <v>5.92570915874893</v>
      </c>
      <c r="L366" s="11">
        <v>12.3598743872444</v>
      </c>
      <c r="M366" s="11">
        <v>5.46638439693604</v>
      </c>
      <c r="N366" s="11">
        <v>4.87835726508441</v>
      </c>
      <c r="O366" s="11">
        <v>3.36954824897228</v>
      </c>
      <c r="P366" s="11">
        <v>2.78823021405209</v>
      </c>
      <c r="Q366" s="13" t="s">
        <v>26</v>
      </c>
      <c r="S366" s="14">
        <v>0.831</v>
      </c>
      <c r="T366" s="14">
        <v>0.437453747</v>
      </c>
      <c r="U366" s="14">
        <v>0.086</v>
      </c>
    </row>
    <row r="367">
      <c r="A367" s="15" t="s">
        <v>75</v>
      </c>
      <c r="B367" s="16">
        <v>2015.0</v>
      </c>
      <c r="C367" s="16">
        <v>143.0</v>
      </c>
      <c r="D367" s="16">
        <v>3.896</v>
      </c>
      <c r="E367" s="16">
        <v>1.06024</v>
      </c>
      <c r="F367" s="16">
        <v>0.90528</v>
      </c>
      <c r="G367" s="16">
        <v>0.43372</v>
      </c>
      <c r="H367" s="16">
        <v>0.31914</v>
      </c>
      <c r="I367" s="16">
        <v>0.06822</v>
      </c>
      <c r="J367" s="16">
        <v>0.11091</v>
      </c>
      <c r="K367" s="16">
        <v>-10.1899995803833</v>
      </c>
      <c r="L367" s="16">
        <v>2.82999992370605</v>
      </c>
      <c r="M367" s="16">
        <v>-8.92743630418224</v>
      </c>
      <c r="N367" s="16">
        <v>-0.14300000667572</v>
      </c>
      <c r="O367" s="12"/>
      <c r="P367" s="12"/>
      <c r="Q367" s="17" t="s">
        <v>28</v>
      </c>
      <c r="S367" s="14">
        <v>0.831075251</v>
      </c>
      <c r="T367" s="14">
        <v>0.437454283</v>
      </c>
      <c r="U367" s="14">
        <v>0.086723149</v>
      </c>
    </row>
    <row r="368">
      <c r="A368" s="10" t="s">
        <v>75</v>
      </c>
      <c r="B368" s="11">
        <v>2016.0</v>
      </c>
      <c r="C368" s="11">
        <v>134.0</v>
      </c>
      <c r="D368" s="11">
        <v>4.121</v>
      </c>
      <c r="E368" s="11">
        <v>1.15851</v>
      </c>
      <c r="F368" s="11">
        <v>0.72368</v>
      </c>
      <c r="G368" s="11">
        <v>0.3494</v>
      </c>
      <c r="H368" s="11">
        <v>0.28098</v>
      </c>
      <c r="I368" s="11">
        <v>0.06244</v>
      </c>
      <c r="J368" s="11">
        <v>0.09314</v>
      </c>
      <c r="K368" s="11">
        <v>1.49000000953674</v>
      </c>
      <c r="L368" s="11">
        <v>-0.0900000035762786</v>
      </c>
      <c r="M368" s="11">
        <v>-4.26963466012701</v>
      </c>
      <c r="N368" s="11">
        <v>2.08599996566772</v>
      </c>
      <c r="O368" s="12"/>
      <c r="P368" s="12"/>
      <c r="Q368" s="13" t="s">
        <v>28</v>
      </c>
      <c r="S368" s="14">
        <v>0.83132</v>
      </c>
      <c r="T368" s="14">
        <v>0.439</v>
      </c>
      <c r="U368" s="14">
        <v>0.087</v>
      </c>
    </row>
    <row r="369">
      <c r="A369" s="15" t="s">
        <v>75</v>
      </c>
      <c r="B369" s="16">
        <v>2017.0</v>
      </c>
      <c r="C369" s="16">
        <v>118.0</v>
      </c>
      <c r="D369" s="16">
        <v>4.465000153</v>
      </c>
      <c r="E369" s="16">
        <v>1.198210239</v>
      </c>
      <c r="F369" s="16">
        <v>1.155620217</v>
      </c>
      <c r="G369" s="16">
        <v>0.356578588</v>
      </c>
      <c r="H369" s="16">
        <v>0.312328577</v>
      </c>
      <c r="I369" s="16">
        <v>0.043785378</v>
      </c>
      <c r="J369" s="16">
        <v>0.076046787</v>
      </c>
      <c r="K369" s="16">
        <v>9.88394557990867</v>
      </c>
      <c r="L369" s="16">
        <v>-0.715937376855917</v>
      </c>
      <c r="M369" s="16">
        <v>3.8222543352601</v>
      </c>
      <c r="N369" s="16">
        <v>2.652</v>
      </c>
      <c r="O369" s="12"/>
      <c r="P369" s="12"/>
      <c r="Q369" s="17" t="s">
        <v>28</v>
      </c>
      <c r="S369" s="14">
        <v>0.832</v>
      </c>
      <c r="T369" s="14">
        <v>0.439</v>
      </c>
      <c r="U369" s="14">
        <v>0.087</v>
      </c>
    </row>
    <row r="370">
      <c r="A370" s="10" t="s">
        <v>75</v>
      </c>
      <c r="B370" s="11">
        <v>2018.0</v>
      </c>
      <c r="C370" s="11">
        <v>103.0</v>
      </c>
      <c r="D370" s="11">
        <v>4.758</v>
      </c>
      <c r="E370" s="11">
        <v>1.036</v>
      </c>
      <c r="F370" s="11">
        <v>1.164</v>
      </c>
      <c r="G370" s="11">
        <v>0.404</v>
      </c>
      <c r="H370" s="11">
        <v>0.356</v>
      </c>
      <c r="I370" s="11">
        <v>0.032</v>
      </c>
      <c r="J370" s="11">
        <v>0.052</v>
      </c>
      <c r="K370" s="11">
        <v>4.09971686070674</v>
      </c>
      <c r="L370" s="11">
        <v>1.85078154099076</v>
      </c>
      <c r="M370" s="11">
        <v>7.169474689831</v>
      </c>
      <c r="N370" s="11">
        <v>4.78</v>
      </c>
      <c r="O370" s="12"/>
      <c r="P370" s="12"/>
      <c r="Q370" s="13" t="s">
        <v>28</v>
      </c>
      <c r="S370" s="14">
        <v>0.832</v>
      </c>
      <c r="T370" s="14">
        <v>0.44</v>
      </c>
      <c r="U370" s="14">
        <v>0.08701</v>
      </c>
    </row>
    <row r="371">
      <c r="A371" s="15" t="s">
        <v>75</v>
      </c>
      <c r="B371" s="16">
        <v>2019.0</v>
      </c>
      <c r="C371" s="16">
        <v>104.0</v>
      </c>
      <c r="D371" s="16">
        <v>4.799</v>
      </c>
      <c r="E371" s="16">
        <v>1.057</v>
      </c>
      <c r="F371" s="16">
        <v>1.183</v>
      </c>
      <c r="G371" s="16">
        <v>0.571</v>
      </c>
      <c r="H371" s="16">
        <v>0.295</v>
      </c>
      <c r="I371" s="16">
        <v>0.043</v>
      </c>
      <c r="J371" s="16">
        <v>0.055</v>
      </c>
      <c r="K371" s="16">
        <v>9.88394557990867</v>
      </c>
      <c r="L371" s="16">
        <v>3.10114535560687</v>
      </c>
      <c r="M371" s="16">
        <v>1.52959720410175</v>
      </c>
      <c r="N371" s="16">
        <v>2.02200007438659</v>
      </c>
      <c r="O371" s="12"/>
      <c r="P371" s="12"/>
      <c r="Q371" s="17" t="s">
        <v>28</v>
      </c>
      <c r="S371" s="14">
        <v>0.83309</v>
      </c>
      <c r="T371" s="14">
        <v>0.44</v>
      </c>
      <c r="U371" s="14">
        <v>0.08722</v>
      </c>
    </row>
    <row r="372">
      <c r="A372" s="10" t="s">
        <v>75</v>
      </c>
      <c r="B372" s="11">
        <v>2020.0</v>
      </c>
      <c r="C372" s="11">
        <v>108.0</v>
      </c>
      <c r="D372" s="11">
        <v>4.829299927</v>
      </c>
      <c r="E372" s="11">
        <v>0.988044381</v>
      </c>
      <c r="F372" s="11">
        <v>0.787886858</v>
      </c>
      <c r="G372" s="11">
        <v>59.71533966</v>
      </c>
      <c r="H372" s="11">
        <v>0.704829216</v>
      </c>
      <c r="I372" s="11">
        <v>-0.222261623</v>
      </c>
      <c r="J372" s="11">
        <v>0.849150956</v>
      </c>
      <c r="K372" s="11">
        <v>0.102183112534684</v>
      </c>
      <c r="L372" s="11">
        <v>1.67284715175628</v>
      </c>
      <c r="M372" s="11">
        <v>-7.44205788977916</v>
      </c>
      <c r="N372" s="11">
        <v>1.37303606970073</v>
      </c>
      <c r="O372" s="12"/>
      <c r="P372" s="12"/>
      <c r="Q372" s="13" t="s">
        <v>28</v>
      </c>
      <c r="S372" s="14">
        <v>0.835</v>
      </c>
      <c r="T372" s="14">
        <v>0.44012</v>
      </c>
      <c r="U372" s="14">
        <v>0.08728</v>
      </c>
    </row>
    <row r="373">
      <c r="A373" s="15" t="s">
        <v>75</v>
      </c>
      <c r="B373" s="16">
        <v>2021.0</v>
      </c>
      <c r="C373" s="16">
        <v>112.0</v>
      </c>
      <c r="D373" s="16">
        <v>4.852</v>
      </c>
      <c r="E373" s="16">
        <v>9.603</v>
      </c>
      <c r="F373" s="16">
        <v>0.776</v>
      </c>
      <c r="G373" s="16">
        <v>59.962</v>
      </c>
      <c r="H373" s="16">
        <v>0.731</v>
      </c>
      <c r="I373" s="16">
        <v>-0.2</v>
      </c>
      <c r="J373" s="16">
        <v>0.84</v>
      </c>
      <c r="K373" s="16">
        <v>0.23</v>
      </c>
      <c r="L373" s="16">
        <v>1.35</v>
      </c>
      <c r="M373" s="16">
        <v>25.3484696509549</v>
      </c>
      <c r="N373" s="16">
        <v>1.079</v>
      </c>
      <c r="O373" s="12"/>
      <c r="P373" s="12"/>
      <c r="Q373" s="17" t="s">
        <v>28</v>
      </c>
      <c r="S373" s="14">
        <v>0.835297108</v>
      </c>
      <c r="T373" s="14">
        <v>0.44017</v>
      </c>
      <c r="U373" s="14">
        <v>0.087633237</v>
      </c>
    </row>
    <row r="374">
      <c r="A374" s="10" t="s">
        <v>75</v>
      </c>
      <c r="B374" s="11">
        <v>2022.0</v>
      </c>
      <c r="C374" s="11">
        <v>106.0</v>
      </c>
      <c r="D374" s="11">
        <v>4.958</v>
      </c>
      <c r="E374" s="11">
        <v>1.459</v>
      </c>
      <c r="F374" s="11">
        <v>0.738</v>
      </c>
      <c r="G374" s="11">
        <v>0.396</v>
      </c>
      <c r="H374" s="11">
        <v>0.343</v>
      </c>
      <c r="I374" s="11">
        <v>0.032</v>
      </c>
      <c r="J374" s="11">
        <v>0.099</v>
      </c>
      <c r="K374" s="11">
        <v>2.98483068929202</v>
      </c>
      <c r="L374" s="11">
        <v>5.70339625092924</v>
      </c>
      <c r="M374" s="11">
        <v>25.3953833555123</v>
      </c>
      <c r="N374" s="11">
        <v>4.23124798274574</v>
      </c>
      <c r="O374" s="12"/>
      <c r="P374" s="12"/>
      <c r="Q374" s="13" t="s">
        <v>28</v>
      </c>
      <c r="S374" s="14">
        <v>0.836</v>
      </c>
      <c r="T374" s="14">
        <v>0.440305948</v>
      </c>
      <c r="U374" s="14">
        <v>0.087763183</v>
      </c>
    </row>
    <row r="375">
      <c r="A375" s="15" t="s">
        <v>75</v>
      </c>
      <c r="B375" s="16">
        <v>2023.0</v>
      </c>
      <c r="C375" s="16">
        <v>94.0</v>
      </c>
      <c r="D375" s="16">
        <v>5.035</v>
      </c>
      <c r="E375" s="16">
        <v>9.537</v>
      </c>
      <c r="F375" s="16">
        <v>0.746</v>
      </c>
      <c r="G375" s="16">
        <v>58.252</v>
      </c>
      <c r="H375" s="16">
        <v>0.642</v>
      </c>
      <c r="I375" s="16">
        <v>-0.187</v>
      </c>
      <c r="J375" s="16">
        <v>0.786</v>
      </c>
      <c r="K375" s="16">
        <v>1.83893839906095</v>
      </c>
      <c r="L375" s="16">
        <v>5.91086698001018</v>
      </c>
      <c r="M375" s="16">
        <v>-7.21717625899281</v>
      </c>
      <c r="N375" s="16">
        <v>3.62901534185376</v>
      </c>
      <c r="O375" s="12"/>
      <c r="P375" s="12"/>
      <c r="Q375" s="17" t="s">
        <v>28</v>
      </c>
      <c r="S375" s="14">
        <v>0.836</v>
      </c>
      <c r="T375" s="14">
        <v>0.44089</v>
      </c>
      <c r="U375" s="14">
        <v>0.08786</v>
      </c>
    </row>
    <row r="376">
      <c r="A376" s="10" t="s">
        <v>76</v>
      </c>
      <c r="B376" s="11">
        <v>2015.0</v>
      </c>
      <c r="C376" s="11">
        <v>130.0</v>
      </c>
      <c r="D376" s="11">
        <v>4.297</v>
      </c>
      <c r="E376" s="11">
        <v>0.7419</v>
      </c>
      <c r="F376" s="11">
        <v>0.38562</v>
      </c>
      <c r="G376" s="11">
        <v>0.72926</v>
      </c>
      <c r="H376" s="11">
        <v>0.40577</v>
      </c>
      <c r="I376" s="11">
        <v>0.05547</v>
      </c>
      <c r="J376" s="11">
        <v>0.38331</v>
      </c>
      <c r="K376" s="11">
        <v>3.86999988555908</v>
      </c>
      <c r="L376" s="11">
        <v>4.1599998474121</v>
      </c>
      <c r="M376" s="11">
        <v>5.83311913635779</v>
      </c>
      <c r="N376" s="11">
        <v>4.02841711044311</v>
      </c>
      <c r="O376" s="12"/>
      <c r="P376" s="11">
        <v>7.49872016906738</v>
      </c>
      <c r="Q376" s="13" t="s">
        <v>26</v>
      </c>
      <c r="S376" s="14">
        <v>0.836</v>
      </c>
      <c r="T376" s="14">
        <v>0.44132</v>
      </c>
      <c r="U376" s="14">
        <v>0.088</v>
      </c>
    </row>
    <row r="377">
      <c r="A377" s="15" t="s">
        <v>76</v>
      </c>
      <c r="B377" s="16">
        <v>2016.0</v>
      </c>
      <c r="C377" s="16">
        <v>126.0</v>
      </c>
      <c r="D377" s="16">
        <v>4.252</v>
      </c>
      <c r="E377" s="16">
        <v>0.83792</v>
      </c>
      <c r="F377" s="16">
        <v>0.19249</v>
      </c>
      <c r="G377" s="16">
        <v>0.64035</v>
      </c>
      <c r="H377" s="16">
        <v>0.32461</v>
      </c>
      <c r="I377" s="16">
        <v>0.06786</v>
      </c>
      <c r="J377" s="16">
        <v>0.3188</v>
      </c>
      <c r="K377" s="16">
        <v>3.49000000953674</v>
      </c>
      <c r="L377" s="16">
        <v>1.64999997615814</v>
      </c>
      <c r="M377" s="16">
        <v>2.61931829571065</v>
      </c>
      <c r="N377" s="16">
        <v>2.12147736549377</v>
      </c>
      <c r="O377" s="12"/>
      <c r="P377" s="16">
        <v>-0.125562191009521</v>
      </c>
      <c r="Q377" s="17" t="s">
        <v>26</v>
      </c>
      <c r="S377" s="14">
        <v>0.836</v>
      </c>
      <c r="T377" s="14">
        <v>0.442</v>
      </c>
      <c r="U377" s="14">
        <v>0.088</v>
      </c>
    </row>
    <row r="378">
      <c r="A378" s="10" t="s">
        <v>76</v>
      </c>
      <c r="B378" s="11">
        <v>2017.0</v>
      </c>
      <c r="C378" s="11">
        <v>125.0</v>
      </c>
      <c r="D378" s="11">
        <v>4.285999775</v>
      </c>
      <c r="E378" s="11">
        <v>0.950612664</v>
      </c>
      <c r="F378" s="11">
        <v>0.570614934</v>
      </c>
      <c r="G378" s="11">
        <v>0.649546981</v>
      </c>
      <c r="H378" s="11">
        <v>0.309410036</v>
      </c>
      <c r="I378" s="11">
        <v>0.054008815</v>
      </c>
      <c r="J378" s="11">
        <v>0.251666635</v>
      </c>
      <c r="K378" s="11">
        <v>1.62000000476837</v>
      </c>
      <c r="L378" s="11">
        <v>6.76999998092651</v>
      </c>
      <c r="M378" s="11">
        <v>8.49104666870354</v>
      </c>
      <c r="N378" s="11">
        <v>6.035</v>
      </c>
      <c r="O378" s="12"/>
      <c r="P378" s="11">
        <v>10.9673013687133</v>
      </c>
      <c r="Q378" s="13" t="s">
        <v>26</v>
      </c>
      <c r="S378" s="14">
        <v>0.836418986</v>
      </c>
      <c r="T378" s="14">
        <v>0.443</v>
      </c>
      <c r="U378" s="14">
        <v>0.088</v>
      </c>
    </row>
    <row r="379">
      <c r="A379" s="15" t="s">
        <v>76</v>
      </c>
      <c r="B379" s="16">
        <v>2018.0</v>
      </c>
      <c r="C379" s="16">
        <v>128.0</v>
      </c>
      <c r="D379" s="16">
        <v>4.34</v>
      </c>
      <c r="E379" s="16">
        <v>0.853</v>
      </c>
      <c r="F379" s="16">
        <v>0.592</v>
      </c>
      <c r="G379" s="16">
        <v>0.643</v>
      </c>
      <c r="H379" s="16">
        <v>0.375</v>
      </c>
      <c r="I379" s="16">
        <v>0.038</v>
      </c>
      <c r="J379" s="16">
        <v>0.215</v>
      </c>
      <c r="K379" s="16">
        <v>4.25369956243903</v>
      </c>
      <c r="L379" s="16">
        <v>2.31660231660232</v>
      </c>
      <c r="M379" s="16">
        <v>4.33422522782957</v>
      </c>
      <c r="N379" s="16">
        <v>2.62</v>
      </c>
      <c r="O379" s="12"/>
      <c r="P379" s="16">
        <v>6.11087417602539</v>
      </c>
      <c r="Q379" s="17" t="s">
        <v>26</v>
      </c>
      <c r="S379" s="14">
        <v>0.83779</v>
      </c>
      <c r="T379" s="14">
        <v>0.443185955</v>
      </c>
      <c r="U379" s="14">
        <v>0.088</v>
      </c>
    </row>
    <row r="380">
      <c r="A380" s="10" t="s">
        <v>76</v>
      </c>
      <c r="B380" s="11">
        <v>2019.0</v>
      </c>
      <c r="C380" s="11">
        <v>119.0</v>
      </c>
      <c r="D380" s="11">
        <v>4.519</v>
      </c>
      <c r="E380" s="11">
        <v>0.886</v>
      </c>
      <c r="F380" s="11">
        <v>0.666</v>
      </c>
      <c r="G380" s="11">
        <v>0.752</v>
      </c>
      <c r="H380" s="11">
        <v>0.346</v>
      </c>
      <c r="I380" s="11">
        <v>0.043</v>
      </c>
      <c r="J380" s="11">
        <v>0.164</v>
      </c>
      <c r="K380" s="11">
        <v>1.62399050559536</v>
      </c>
      <c r="L380" s="11">
        <v>8.15846177021588</v>
      </c>
      <c r="M380" s="11">
        <v>5.1923913692625</v>
      </c>
      <c r="N380" s="11">
        <v>4.85300016403198</v>
      </c>
      <c r="O380" s="12"/>
      <c r="P380" s="11">
        <v>7.17503356933593</v>
      </c>
      <c r="Q380" s="13" t="s">
        <v>26</v>
      </c>
      <c r="S380" s="14">
        <v>0.838665426</v>
      </c>
      <c r="T380" s="14">
        <v>0.443323463</v>
      </c>
      <c r="U380" s="14">
        <v>0.088174194</v>
      </c>
    </row>
    <row r="381">
      <c r="A381" s="15" t="s">
        <v>76</v>
      </c>
      <c r="B381" s="16">
        <v>2020.0</v>
      </c>
      <c r="C381" s="16">
        <v>117.0</v>
      </c>
      <c r="D381" s="16">
        <v>4.672599792</v>
      </c>
      <c r="E381" s="16">
        <v>0.847198069</v>
      </c>
      <c r="F381" s="16">
        <v>0.629033029</v>
      </c>
      <c r="G381" s="16">
        <v>64.49520874</v>
      </c>
      <c r="H381" s="16">
        <v>0.801641524</v>
      </c>
      <c r="I381" s="16">
        <v>-0.22892037</v>
      </c>
      <c r="J381" s="16">
        <v>0.665944695</v>
      </c>
      <c r="K381" s="16">
        <v>0.75925179255456</v>
      </c>
      <c r="L381" s="16">
        <v>10.5915054798981</v>
      </c>
      <c r="M381" s="16">
        <v>5.76956126783039</v>
      </c>
      <c r="N381" s="16">
        <v>5.2024648897528</v>
      </c>
      <c r="O381" s="12"/>
      <c r="P381" s="16">
        <v>11.7503128051757</v>
      </c>
      <c r="Q381" s="17" t="s">
        <v>26</v>
      </c>
      <c r="S381" s="14">
        <v>0.841</v>
      </c>
      <c r="T381" s="14">
        <v>0.444</v>
      </c>
      <c r="U381" s="14">
        <v>0.08884</v>
      </c>
    </row>
    <row r="382">
      <c r="A382" s="10" t="s">
        <v>76</v>
      </c>
      <c r="B382" s="11">
        <v>2021.0</v>
      </c>
      <c r="C382" s="11">
        <v>108.0</v>
      </c>
      <c r="D382" s="11">
        <v>4.891</v>
      </c>
      <c r="E382" s="11">
        <v>9.585</v>
      </c>
      <c r="F382" s="11">
        <v>0.671</v>
      </c>
      <c r="G382" s="11">
        <v>64.3</v>
      </c>
      <c r="H382" s="11">
        <v>0.783</v>
      </c>
      <c r="I382" s="11">
        <v>-0.238</v>
      </c>
      <c r="J382" s="11">
        <v>0.655</v>
      </c>
      <c r="K382" s="11">
        <v>6.95</v>
      </c>
      <c r="L382" s="11">
        <v>10.81</v>
      </c>
      <c r="M382" s="11">
        <v>10.2540891059753</v>
      </c>
      <c r="N382" s="11">
        <v>9.56691433824767</v>
      </c>
      <c r="O382" s="12"/>
      <c r="P382" s="11">
        <v>16.7212998437362</v>
      </c>
      <c r="Q382" s="13" t="s">
        <v>26</v>
      </c>
      <c r="S382" s="14">
        <v>0.84142</v>
      </c>
      <c r="T382" s="14">
        <v>0.445</v>
      </c>
      <c r="U382" s="14">
        <v>0.0889</v>
      </c>
    </row>
    <row r="383">
      <c r="A383" s="15" t="s">
        <v>76</v>
      </c>
      <c r="B383" s="16">
        <v>2022.0</v>
      </c>
      <c r="C383" s="16">
        <v>105.0</v>
      </c>
      <c r="D383" s="16">
        <v>4.973</v>
      </c>
      <c r="E383" s="16">
        <v>1.467</v>
      </c>
      <c r="F383" s="16">
        <v>0.612</v>
      </c>
      <c r="G383" s="16">
        <v>0.595</v>
      </c>
      <c r="H383" s="16">
        <v>0.508</v>
      </c>
      <c r="I383" s="16">
        <v>0.0</v>
      </c>
      <c r="J383" s="16">
        <v>0.208</v>
      </c>
      <c r="K383" s="16">
        <v>17.6849957810502</v>
      </c>
      <c r="L383" s="16">
        <v>16.8066398250387</v>
      </c>
      <c r="M383" s="16">
        <v>8.5490877497828</v>
      </c>
      <c r="N383" s="16">
        <v>11.8981654203198</v>
      </c>
      <c r="O383" s="12"/>
      <c r="P383" s="16">
        <v>14.4628475421898</v>
      </c>
      <c r="Q383" s="17" t="s">
        <v>26</v>
      </c>
      <c r="S383" s="14">
        <v>0.843</v>
      </c>
      <c r="T383" s="14">
        <v>0.44727</v>
      </c>
      <c r="U383" s="14">
        <v>0.089</v>
      </c>
    </row>
    <row r="384">
      <c r="A384" s="10" t="s">
        <v>76</v>
      </c>
      <c r="B384" s="11">
        <v>2023.0</v>
      </c>
      <c r="C384" s="11">
        <v>90.0</v>
      </c>
      <c r="D384" s="11">
        <v>5.109</v>
      </c>
      <c r="E384" s="11">
        <v>9.646</v>
      </c>
      <c r="F384" s="11">
        <v>0.716</v>
      </c>
      <c r="G384" s="11">
        <v>64.95</v>
      </c>
      <c r="H384" s="11">
        <v>0.786</v>
      </c>
      <c r="I384" s="11">
        <v>-0.254</v>
      </c>
      <c r="J384" s="11">
        <v>0.649</v>
      </c>
      <c r="K384" s="11">
        <v>6.66201049924075</v>
      </c>
      <c r="L384" s="11">
        <v>3.71206053893561</v>
      </c>
      <c r="M384" s="11">
        <v>2.4780345323063</v>
      </c>
      <c r="N384" s="11">
        <v>2.48776056578715</v>
      </c>
      <c r="O384" s="12"/>
      <c r="P384" s="11">
        <v>-2.8644688644688</v>
      </c>
      <c r="Q384" s="13" t="s">
        <v>26</v>
      </c>
      <c r="S384" s="14">
        <v>0.843313575</v>
      </c>
      <c r="T384" s="14">
        <v>0.44735</v>
      </c>
      <c r="U384" s="14">
        <v>0.089</v>
      </c>
    </row>
    <row r="385">
      <c r="A385" s="15" t="s">
        <v>77</v>
      </c>
      <c r="B385" s="16">
        <v>2015.0</v>
      </c>
      <c r="C385" s="16">
        <v>26.0</v>
      </c>
      <c r="D385" s="16">
        <v>6.75</v>
      </c>
      <c r="E385" s="16">
        <v>1.32792</v>
      </c>
      <c r="F385" s="16">
        <v>1.29937</v>
      </c>
      <c r="G385" s="16">
        <v>0.89186</v>
      </c>
      <c r="H385" s="16">
        <v>0.61477</v>
      </c>
      <c r="I385" s="16">
        <v>0.28214</v>
      </c>
      <c r="J385" s="16">
        <v>0.21843</v>
      </c>
      <c r="K385" s="16">
        <v>-0.414969652891159</v>
      </c>
      <c r="L385" s="16">
        <v>0.603620171546936</v>
      </c>
      <c r="M385" s="16">
        <v>1.85892538833715</v>
      </c>
      <c r="N385" s="16">
        <v>0.51442015171051</v>
      </c>
      <c r="O385" s="16">
        <v>1.666498</v>
      </c>
      <c r="P385" s="16">
        <v>-0.538735628128051</v>
      </c>
      <c r="Q385" s="17" t="s">
        <v>26</v>
      </c>
      <c r="S385" s="14">
        <v>0.844</v>
      </c>
      <c r="T385" s="14">
        <v>0.447551847</v>
      </c>
      <c r="U385" s="14">
        <v>0.089</v>
      </c>
    </row>
    <row r="386">
      <c r="A386" s="10" t="s">
        <v>77</v>
      </c>
      <c r="B386" s="11">
        <v>2016.0</v>
      </c>
      <c r="C386" s="11">
        <v>16.0</v>
      </c>
      <c r="D386" s="11">
        <v>6.994</v>
      </c>
      <c r="E386" s="11">
        <v>1.44787</v>
      </c>
      <c r="F386" s="11">
        <v>1.09774</v>
      </c>
      <c r="G386" s="11">
        <v>0.81487</v>
      </c>
      <c r="H386" s="11">
        <v>0.53466</v>
      </c>
      <c r="I386" s="11">
        <v>0.30452</v>
      </c>
      <c r="J386" s="11">
        <v>0.28551</v>
      </c>
      <c r="K386" s="11">
        <v>0.0</v>
      </c>
      <c r="L386" s="11">
        <v>0.808334350585937</v>
      </c>
      <c r="M386" s="11">
        <v>1.328</v>
      </c>
      <c r="N386" s="11">
        <v>0.491744995117187</v>
      </c>
      <c r="O386" s="11">
        <v>1.206361</v>
      </c>
      <c r="P386" s="11">
        <v>-1.24163699150085</v>
      </c>
      <c r="Q386" s="13" t="s">
        <v>26</v>
      </c>
      <c r="S386" s="14">
        <v>0.844</v>
      </c>
      <c r="T386" s="14">
        <v>0.448</v>
      </c>
      <c r="U386" s="14">
        <v>0.089</v>
      </c>
    </row>
    <row r="387">
      <c r="A387" s="15" t="s">
        <v>77</v>
      </c>
      <c r="B387" s="16">
        <v>2017.0</v>
      </c>
      <c r="C387" s="16">
        <v>16.0</v>
      </c>
      <c r="D387" s="16">
        <v>6.951000214</v>
      </c>
      <c r="E387" s="16">
        <v>1.487923384</v>
      </c>
      <c r="F387" s="16">
        <v>1.472520351</v>
      </c>
      <c r="G387" s="16">
        <v>0.798950732</v>
      </c>
      <c r="H387" s="16">
        <v>0.562511384</v>
      </c>
      <c r="I387" s="16">
        <v>0.33626917</v>
      </c>
      <c r="J387" s="16">
        <v>0.276731938</v>
      </c>
      <c r="K387" s="16">
        <v>1.24176454544067</v>
      </c>
      <c r="L387" s="16">
        <v>2.76101469993591</v>
      </c>
      <c r="M387" s="16">
        <v>1.35105795041844</v>
      </c>
      <c r="N387" s="16">
        <v>1.711</v>
      </c>
      <c r="O387" s="16">
        <v>1.227763</v>
      </c>
      <c r="P387" s="16">
        <v>1.94071757793426</v>
      </c>
      <c r="Q387" s="17" t="s">
        <v>26</v>
      </c>
      <c r="S387" s="14">
        <v>0.844</v>
      </c>
      <c r="T387" s="14">
        <v>0.448</v>
      </c>
      <c r="U387" s="14">
        <v>0.089</v>
      </c>
    </row>
    <row r="388">
      <c r="A388" s="10" t="s">
        <v>77</v>
      </c>
      <c r="B388" s="11">
        <v>2018.0</v>
      </c>
      <c r="C388" s="11">
        <v>15.0</v>
      </c>
      <c r="D388" s="11">
        <v>6.965</v>
      </c>
      <c r="E388" s="11">
        <v>1.34</v>
      </c>
      <c r="F388" s="11">
        <v>1.474</v>
      </c>
      <c r="G388" s="11">
        <v>0.861</v>
      </c>
      <c r="H388" s="11">
        <v>0.586</v>
      </c>
      <c r="I388" s="11">
        <v>0.273</v>
      </c>
      <c r="J388" s="11">
        <v>0.28</v>
      </c>
      <c r="K388" s="11">
        <v>1.75337660312652</v>
      </c>
      <c r="L388" s="11">
        <v>2.28461289405822</v>
      </c>
      <c r="M388" s="11">
        <v>1.67288236267856</v>
      </c>
      <c r="N388" s="11">
        <v>1.73</v>
      </c>
      <c r="O388" s="11">
        <v>1.309285</v>
      </c>
      <c r="P388" s="11">
        <v>1.86245560646057</v>
      </c>
      <c r="Q388" s="13" t="s">
        <v>26</v>
      </c>
      <c r="S388" s="14">
        <v>0.846475244</v>
      </c>
      <c r="T388" s="14">
        <v>0.448</v>
      </c>
      <c r="U388" s="14">
        <v>0.08984752</v>
      </c>
    </row>
    <row r="389">
      <c r="A389" s="15" t="s">
        <v>77</v>
      </c>
      <c r="B389" s="16">
        <v>2019.0</v>
      </c>
      <c r="C389" s="16">
        <v>17.0</v>
      </c>
      <c r="D389" s="16">
        <v>6.985</v>
      </c>
      <c r="E389" s="16">
        <v>1.373</v>
      </c>
      <c r="F389" s="16">
        <v>1.454</v>
      </c>
      <c r="G389" s="16">
        <v>0.987</v>
      </c>
      <c r="H389" s="16">
        <v>0.495</v>
      </c>
      <c r="I389" s="16">
        <v>0.261</v>
      </c>
      <c r="J389" s="16">
        <v>0.265</v>
      </c>
      <c r="K389" s="16">
        <v>1.31500601768493</v>
      </c>
      <c r="L389" s="16">
        <v>1.20425910649003</v>
      </c>
      <c r="M389" s="16">
        <v>2.19221376239044</v>
      </c>
      <c r="N389" s="16">
        <v>1.34599995613098</v>
      </c>
      <c r="O389" s="16">
        <v>1.492327</v>
      </c>
      <c r="P389" s="16">
        <v>0.942630290985107</v>
      </c>
      <c r="Q389" s="17" t="s">
        <v>26</v>
      </c>
      <c r="S389" s="14">
        <v>0.846730053</v>
      </c>
      <c r="T389" s="14">
        <v>0.448</v>
      </c>
      <c r="U389" s="14">
        <v>0.08998096</v>
      </c>
    </row>
    <row r="390">
      <c r="A390" s="10" t="s">
        <v>77</v>
      </c>
      <c r="B390" s="11">
        <v>2020.0</v>
      </c>
      <c r="C390" s="11">
        <v>17.0</v>
      </c>
      <c r="D390" s="11">
        <v>7.075799942</v>
      </c>
      <c r="E390" s="11">
        <v>1.314184546</v>
      </c>
      <c r="F390" s="11">
        <v>0.898874462</v>
      </c>
      <c r="G390" s="11">
        <v>72.20201874</v>
      </c>
      <c r="H390" s="11">
        <v>0.867371082</v>
      </c>
      <c r="I390" s="11">
        <v>0.080179386</v>
      </c>
      <c r="J390" s="11">
        <v>0.456422031</v>
      </c>
      <c r="K390" s="11">
        <v>0.699134027170878</v>
      </c>
      <c r="L390" s="11">
        <v>2.25846969870789</v>
      </c>
      <c r="M390" s="11">
        <v>1.59506672664568</v>
      </c>
      <c r="N390" s="11">
        <v>0.506689889953538</v>
      </c>
      <c r="O390" s="11">
        <v>0.9620782</v>
      </c>
      <c r="P390" s="11">
        <v>-0.756721944935812</v>
      </c>
      <c r="Q390" s="13" t="s">
        <v>26</v>
      </c>
      <c r="S390" s="14">
        <v>0.846880972</v>
      </c>
      <c r="T390" s="14">
        <v>0.44888</v>
      </c>
      <c r="U390" s="14">
        <v>0.09</v>
      </c>
    </row>
    <row r="391">
      <c r="A391" s="15" t="s">
        <v>77</v>
      </c>
      <c r="B391" s="16">
        <v>2021.0</v>
      </c>
      <c r="C391" s="16">
        <v>13.0</v>
      </c>
      <c r="D391" s="16">
        <v>7.155</v>
      </c>
      <c r="E391" s="16">
        <v>10.873</v>
      </c>
      <c r="F391" s="16">
        <v>0.903</v>
      </c>
      <c r="G391" s="16">
        <v>72.5</v>
      </c>
      <c r="H391" s="16">
        <v>0.875</v>
      </c>
      <c r="I391" s="16">
        <v>0.011</v>
      </c>
      <c r="J391" s="16">
        <v>0.46</v>
      </c>
      <c r="K391" s="16">
        <v>10.7082</v>
      </c>
      <c r="L391" s="16">
        <v>3.162</v>
      </c>
      <c r="M391" s="16">
        <v>3.05760069776311</v>
      </c>
      <c r="N391" s="16">
        <v>3.14297</v>
      </c>
      <c r="O391" s="16">
        <v>2.13</v>
      </c>
      <c r="P391" s="16">
        <v>7.47890979883193</v>
      </c>
      <c r="Q391" s="17" t="s">
        <v>26</v>
      </c>
      <c r="S391" s="14">
        <v>0.847</v>
      </c>
      <c r="T391" s="14">
        <v>0.449</v>
      </c>
      <c r="U391" s="14">
        <v>0.09081</v>
      </c>
    </row>
    <row r="392">
      <c r="A392" s="10" t="s">
        <v>77</v>
      </c>
      <c r="B392" s="11">
        <v>2022.0</v>
      </c>
      <c r="C392" s="11">
        <v>14.0</v>
      </c>
      <c r="D392" s="11">
        <v>7.034</v>
      </c>
      <c r="E392" s="11">
        <v>1.924</v>
      </c>
      <c r="F392" s="11">
        <v>1.088</v>
      </c>
      <c r="G392" s="11">
        <v>0.776</v>
      </c>
      <c r="H392" s="11">
        <v>0.585</v>
      </c>
      <c r="I392" s="11">
        <v>0.163</v>
      </c>
      <c r="J392" s="11">
        <v>0.358</v>
      </c>
      <c r="K392" s="11">
        <v>35.04750171044</v>
      </c>
      <c r="L392" s="11">
        <v>12.56164</v>
      </c>
      <c r="M392" s="11">
        <v>5.19779323538907</v>
      </c>
      <c r="N392" s="11">
        <v>6.872574</v>
      </c>
      <c r="O392" s="11">
        <v>3.92795585734613</v>
      </c>
      <c r="P392" s="11">
        <v>23.9320754716977</v>
      </c>
      <c r="Q392" s="13" t="s">
        <v>26</v>
      </c>
      <c r="S392" s="14">
        <v>0.84783</v>
      </c>
      <c r="T392" s="14">
        <v>0.44974</v>
      </c>
      <c r="U392" s="14">
        <v>0.091</v>
      </c>
    </row>
    <row r="393">
      <c r="A393" s="15" t="s">
        <v>77</v>
      </c>
      <c r="B393" s="16">
        <v>2023.0</v>
      </c>
      <c r="C393" s="16">
        <v>16.0</v>
      </c>
      <c r="D393" s="16">
        <v>6.892</v>
      </c>
      <c r="E393" s="16">
        <v>10.879</v>
      </c>
      <c r="F393" s="16">
        <v>0.896</v>
      </c>
      <c r="G393" s="16">
        <v>71.3</v>
      </c>
      <c r="H393" s="16">
        <v>0.846</v>
      </c>
      <c r="I393" s="16">
        <v>0.03</v>
      </c>
      <c r="J393" s="16">
        <v>0.42</v>
      </c>
      <c r="K393" s="16">
        <v>6.40398476673876</v>
      </c>
      <c r="L393" s="16">
        <v>12.2441753974073</v>
      </c>
      <c r="M393" s="16">
        <v>6.63370339230636</v>
      </c>
      <c r="N393" s="16">
        <v>5.94643667725823</v>
      </c>
      <c r="O393" s="16">
        <v>5.04358294650815</v>
      </c>
      <c r="P393" s="16">
        <v>-1.02308020218047</v>
      </c>
      <c r="Q393" s="17" t="s">
        <v>26</v>
      </c>
      <c r="S393" s="14">
        <v>0.848</v>
      </c>
      <c r="T393" s="14">
        <v>0.449750572</v>
      </c>
      <c r="U393" s="14">
        <v>0.091065913</v>
      </c>
    </row>
    <row r="394">
      <c r="A394" s="10" t="s">
        <v>78</v>
      </c>
      <c r="B394" s="11">
        <v>2015.0</v>
      </c>
      <c r="C394" s="11">
        <v>114.0</v>
      </c>
      <c r="D394" s="11">
        <v>4.633</v>
      </c>
      <c r="E394" s="11">
        <v>0.54558</v>
      </c>
      <c r="F394" s="11">
        <v>0.67954</v>
      </c>
      <c r="G394" s="11">
        <v>0.40132</v>
      </c>
      <c r="H394" s="11">
        <v>0.42342</v>
      </c>
      <c r="I394" s="11">
        <v>0.23087</v>
      </c>
      <c r="J394" s="11">
        <v>0.04355</v>
      </c>
      <c r="K394" s="11">
        <v>25.4756031036376</v>
      </c>
      <c r="L394" s="11">
        <v>7.48050594329834</v>
      </c>
      <c r="M394" s="11">
        <v>13.5882911496021</v>
      </c>
      <c r="N394" s="11">
        <v>17.1461944580078</v>
      </c>
      <c r="O394" s="11">
        <v>23.7711963653564</v>
      </c>
      <c r="P394" s="11">
        <v>12.7792205810546</v>
      </c>
      <c r="Q394" s="13" t="s">
        <v>28</v>
      </c>
      <c r="S394" s="14">
        <v>0.848</v>
      </c>
      <c r="T394" s="14">
        <v>0.45</v>
      </c>
      <c r="U394" s="14">
        <v>0.09179</v>
      </c>
    </row>
    <row r="395">
      <c r="A395" s="15" t="s">
        <v>78</v>
      </c>
      <c r="B395" s="16">
        <v>2016.0</v>
      </c>
      <c r="C395" s="16">
        <v>124.0</v>
      </c>
      <c r="D395" s="16">
        <v>4.276</v>
      </c>
      <c r="E395" s="16">
        <v>0.63107</v>
      </c>
      <c r="F395" s="16">
        <v>0.49353</v>
      </c>
      <c r="G395" s="16">
        <v>0.29681</v>
      </c>
      <c r="H395" s="16">
        <v>0.40973</v>
      </c>
      <c r="I395" s="16">
        <v>0.21203</v>
      </c>
      <c r="J395" s="16">
        <v>0.0326</v>
      </c>
      <c r="K395" s="16">
        <v>30.6745090484619</v>
      </c>
      <c r="L395" s="16">
        <v>8.6609354019165</v>
      </c>
      <c r="M395" s="16">
        <v>15.2496324695165</v>
      </c>
      <c r="N395" s="16">
        <v>17.4385509490966</v>
      </c>
      <c r="O395" s="16">
        <v>22.2130985260009</v>
      </c>
      <c r="P395" s="16">
        <v>10.9371652603149</v>
      </c>
      <c r="Q395" s="17" t="s">
        <v>28</v>
      </c>
      <c r="S395" s="14">
        <v>0.848</v>
      </c>
      <c r="T395" s="14">
        <v>0.45</v>
      </c>
      <c r="U395" s="14">
        <v>0.092</v>
      </c>
    </row>
    <row r="396">
      <c r="A396" s="10" t="s">
        <v>78</v>
      </c>
      <c r="B396" s="11">
        <v>2017.0</v>
      </c>
      <c r="C396" s="11">
        <v>131.0</v>
      </c>
      <c r="D396" s="11">
        <v>4.119999886</v>
      </c>
      <c r="E396" s="11">
        <v>0.667224824</v>
      </c>
      <c r="F396" s="11">
        <v>0.873664737</v>
      </c>
      <c r="G396" s="11">
        <v>0.295637727</v>
      </c>
      <c r="H396" s="11">
        <v>0.423026294</v>
      </c>
      <c r="I396" s="11">
        <v>0.256923944</v>
      </c>
      <c r="J396" s="11">
        <v>0.02533637</v>
      </c>
      <c r="K396" s="11">
        <v>7.10191583633422</v>
      </c>
      <c r="L396" s="11">
        <v>7.26882791519165</v>
      </c>
      <c r="M396" s="11">
        <v>10.3523526653118</v>
      </c>
      <c r="N396" s="11">
        <v>12.372</v>
      </c>
      <c r="O396" s="11">
        <v>16.5104160308837</v>
      </c>
      <c r="P396" s="11">
        <v>5.51563119888305</v>
      </c>
      <c r="Q396" s="13" t="s">
        <v>28</v>
      </c>
      <c r="S396" s="14">
        <v>0.84829</v>
      </c>
      <c r="T396" s="14">
        <v>0.450002879</v>
      </c>
      <c r="U396" s="14">
        <v>0.092226885</v>
      </c>
    </row>
    <row r="397">
      <c r="A397" s="15" t="s">
        <v>78</v>
      </c>
      <c r="B397" s="16">
        <v>2018.0</v>
      </c>
      <c r="C397" s="16">
        <v>108.0</v>
      </c>
      <c r="D397" s="16">
        <v>4.657</v>
      </c>
      <c r="E397" s="16">
        <v>0.592</v>
      </c>
      <c r="F397" s="16">
        <v>0.896</v>
      </c>
      <c r="G397" s="16">
        <v>0.337</v>
      </c>
      <c r="H397" s="16">
        <v>0.499</v>
      </c>
      <c r="I397" s="16">
        <v>0.212</v>
      </c>
      <c r="J397" s="16">
        <v>0.029</v>
      </c>
      <c r="K397" s="16">
        <v>4.31020021438598</v>
      </c>
      <c r="L397" s="16">
        <v>7.82291841506958</v>
      </c>
      <c r="M397" s="16">
        <v>10.2101642669749</v>
      </c>
      <c r="N397" s="16">
        <v>9.84</v>
      </c>
      <c r="O397" s="16">
        <v>12.3332347869873</v>
      </c>
      <c r="P397" s="16">
        <v>6.41565656661987</v>
      </c>
      <c r="Q397" s="17" t="s">
        <v>28</v>
      </c>
      <c r="S397" s="14">
        <v>0.849181116</v>
      </c>
      <c r="T397" s="14">
        <v>0.451313615</v>
      </c>
      <c r="U397" s="14">
        <v>0.09261021</v>
      </c>
    </row>
    <row r="398">
      <c r="A398" s="10" t="s">
        <v>78</v>
      </c>
      <c r="B398" s="11">
        <v>2019.0</v>
      </c>
      <c r="C398" s="11">
        <v>98.0</v>
      </c>
      <c r="D398" s="11">
        <v>4.996</v>
      </c>
      <c r="E398" s="11">
        <v>0.611</v>
      </c>
      <c r="F398" s="11">
        <v>0.868</v>
      </c>
      <c r="G398" s="11">
        <v>0.486</v>
      </c>
      <c r="H398" s="11">
        <v>0.381</v>
      </c>
      <c r="I398" s="11">
        <v>0.245</v>
      </c>
      <c r="J398" s="11">
        <v>0.04</v>
      </c>
      <c r="K398" s="11">
        <v>9.98061022409766</v>
      </c>
      <c r="L398" s="11">
        <v>7.85754096521956</v>
      </c>
      <c r="M398" s="11">
        <v>9.18868894601543</v>
      </c>
      <c r="N398" s="11">
        <v>7.17600011825561</v>
      </c>
      <c r="O398" s="12"/>
      <c r="P398" s="11">
        <v>8.10401630401611</v>
      </c>
      <c r="Q398" s="13" t="s">
        <v>28</v>
      </c>
      <c r="S398" s="14">
        <v>0.849987149</v>
      </c>
      <c r="T398" s="14">
        <v>0.4519</v>
      </c>
      <c r="U398" s="14">
        <v>0.0927</v>
      </c>
    </row>
    <row r="399">
      <c r="A399" s="15" t="s">
        <v>78</v>
      </c>
      <c r="B399" s="16">
        <v>2020.0</v>
      </c>
      <c r="C399" s="16">
        <v>91.0</v>
      </c>
      <c r="D399" s="16">
        <v>5.147999763</v>
      </c>
      <c r="E399" s="16">
        <v>0.575862467</v>
      </c>
      <c r="F399" s="16">
        <v>0.728601098</v>
      </c>
      <c r="G399" s="16">
        <v>57.20398712</v>
      </c>
      <c r="H399" s="16">
        <v>0.794796526</v>
      </c>
      <c r="I399" s="16">
        <v>0.094170853</v>
      </c>
      <c r="J399" s="16">
        <v>0.847964764</v>
      </c>
      <c r="K399" s="16">
        <v>15.9751787185668</v>
      </c>
      <c r="L399" s="16">
        <v>11.8365278244018</v>
      </c>
      <c r="M399" s="16">
        <v>8.64662008174335</v>
      </c>
      <c r="N399" s="16">
        <v>9.95344087035516</v>
      </c>
      <c r="O399" s="12"/>
      <c r="P399" s="16">
        <v>9.01864528656006</v>
      </c>
      <c r="Q399" s="17" t="s">
        <v>28</v>
      </c>
      <c r="S399" s="14">
        <v>0.85</v>
      </c>
      <c r="T399" s="14">
        <v>0.452</v>
      </c>
      <c r="U399" s="14">
        <v>0.093</v>
      </c>
    </row>
    <row r="400">
      <c r="A400" s="10" t="s">
        <v>78</v>
      </c>
      <c r="B400" s="11">
        <v>2021.0</v>
      </c>
      <c r="C400" s="11">
        <v>95.0</v>
      </c>
      <c r="D400" s="11">
        <v>5.088</v>
      </c>
      <c r="E400" s="11">
        <v>8.58</v>
      </c>
      <c r="F400" s="11">
        <v>0.727</v>
      </c>
      <c r="G400" s="11">
        <v>57.586</v>
      </c>
      <c r="H400" s="11">
        <v>0.807</v>
      </c>
      <c r="I400" s="11">
        <v>0.123</v>
      </c>
      <c r="J400" s="11">
        <v>0.848</v>
      </c>
      <c r="K400" s="11">
        <v>20.0165766967525</v>
      </c>
      <c r="L400" s="11">
        <v>10.3066632448727</v>
      </c>
      <c r="M400" s="11">
        <v>11.1872267877566</v>
      </c>
      <c r="N400" s="11">
        <v>9.97242062088959</v>
      </c>
      <c r="O400" s="12"/>
      <c r="P400" s="11">
        <v>10.7612580414581</v>
      </c>
      <c r="Q400" s="13" t="s">
        <v>28</v>
      </c>
      <c r="S400" s="14">
        <v>0.85</v>
      </c>
      <c r="T400" s="14">
        <v>0.452763766</v>
      </c>
      <c r="U400" s="14">
        <v>0.093</v>
      </c>
    </row>
    <row r="401">
      <c r="A401" s="15" t="s">
        <v>78</v>
      </c>
      <c r="B401" s="16">
        <v>2022.0</v>
      </c>
      <c r="C401" s="16">
        <v>111.0</v>
      </c>
      <c r="D401" s="16">
        <v>4.872</v>
      </c>
      <c r="E401" s="16">
        <v>1.112</v>
      </c>
      <c r="F401" s="16">
        <v>0.595</v>
      </c>
      <c r="G401" s="16">
        <v>0.409</v>
      </c>
      <c r="H401" s="16">
        <v>0.5</v>
      </c>
      <c r="I401" s="16">
        <v>0.23</v>
      </c>
      <c r="J401" s="16">
        <v>0.056</v>
      </c>
      <c r="K401" s="16">
        <v>46.5683305418011</v>
      </c>
      <c r="L401" s="16">
        <v>28.777114736908</v>
      </c>
      <c r="M401" s="16">
        <v>27.9372340687178</v>
      </c>
      <c r="N401" s="16">
        <v>31.2558951049016</v>
      </c>
      <c r="O401" s="12"/>
      <c r="P401" s="12"/>
      <c r="Q401" s="17" t="s">
        <v>28</v>
      </c>
      <c r="S401" s="14">
        <v>0.85188</v>
      </c>
      <c r="T401" s="14">
        <v>0.454</v>
      </c>
      <c r="U401" s="14">
        <v>0.093</v>
      </c>
    </row>
    <row r="402">
      <c r="A402" s="10" t="s">
        <v>78</v>
      </c>
      <c r="B402" s="11">
        <v>2023.0</v>
      </c>
      <c r="C402" s="11">
        <v>107.0</v>
      </c>
      <c r="D402" s="11">
        <v>4.605</v>
      </c>
      <c r="E402" s="11">
        <v>8.596</v>
      </c>
      <c r="F402" s="11">
        <v>0.641</v>
      </c>
      <c r="G402" s="11">
        <v>58.763</v>
      </c>
      <c r="H402" s="11">
        <v>0.777</v>
      </c>
      <c r="I402" s="11">
        <v>0.139</v>
      </c>
      <c r="J402" s="11">
        <v>0.881</v>
      </c>
      <c r="K402" s="11">
        <v>68.4570841771971</v>
      </c>
      <c r="L402" s="11">
        <v>47.8258709865696</v>
      </c>
      <c r="M402" s="11">
        <v>36.3215434842233</v>
      </c>
      <c r="N402" s="11">
        <v>38.1069656296501</v>
      </c>
      <c r="O402" s="12"/>
      <c r="P402" s="12"/>
      <c r="Q402" s="13" t="s">
        <v>28</v>
      </c>
      <c r="S402" s="14">
        <v>0.852532268</v>
      </c>
      <c r="T402" s="14">
        <v>0.454</v>
      </c>
      <c r="U402" s="14">
        <v>0.093</v>
      </c>
    </row>
    <row r="403">
      <c r="A403" s="15" t="s">
        <v>79</v>
      </c>
      <c r="B403" s="16">
        <v>2015.0</v>
      </c>
      <c r="C403" s="16">
        <v>102.0</v>
      </c>
      <c r="D403" s="16">
        <v>4.857</v>
      </c>
      <c r="E403" s="16">
        <v>1.15406</v>
      </c>
      <c r="F403" s="16">
        <v>0.92933</v>
      </c>
      <c r="G403" s="16">
        <v>0.88213</v>
      </c>
      <c r="H403" s="16">
        <v>0.07699</v>
      </c>
      <c r="I403" s="16">
        <v>0.0</v>
      </c>
      <c r="J403" s="16">
        <v>0.01397</v>
      </c>
      <c r="K403" s="16">
        <v>-6.47218704223632</v>
      </c>
      <c r="L403" s="16">
        <v>1.80199193954467</v>
      </c>
      <c r="M403" s="16">
        <v>-0.287172941927246</v>
      </c>
      <c r="N403" s="16">
        <v>-1.73604500293731</v>
      </c>
      <c r="O403" s="16">
        <v>-1.01358902454376</v>
      </c>
      <c r="P403" s="16">
        <v>-4.94179534912109</v>
      </c>
      <c r="Q403" s="17" t="s">
        <v>26</v>
      </c>
      <c r="S403" s="14">
        <v>0.853</v>
      </c>
      <c r="T403" s="14">
        <v>0.454</v>
      </c>
      <c r="U403" s="14">
        <v>0.09314</v>
      </c>
    </row>
    <row r="404">
      <c r="A404" s="10" t="s">
        <v>79</v>
      </c>
      <c r="B404" s="11">
        <v>2016.0</v>
      </c>
      <c r="C404" s="11">
        <v>99.0</v>
      </c>
      <c r="D404" s="11">
        <v>5.033</v>
      </c>
      <c r="E404" s="11">
        <v>1.24886</v>
      </c>
      <c r="F404" s="11">
        <v>0.75473</v>
      </c>
      <c r="G404" s="11">
        <v>0.80029</v>
      </c>
      <c r="H404" s="11">
        <v>0.05822</v>
      </c>
      <c r="I404" s="11">
        <v>0.0</v>
      </c>
      <c r="J404" s="11">
        <v>0.04127</v>
      </c>
      <c r="K404" s="11">
        <v>-3.18048095703125</v>
      </c>
      <c r="L404" s="11">
        <v>-0.220913439989089</v>
      </c>
      <c r="M404" s="11">
        <v>-0.576999999999998</v>
      </c>
      <c r="N404" s="11">
        <v>-0.825660705566406</v>
      </c>
      <c r="O404" s="11">
        <v>-1.13368999958038</v>
      </c>
      <c r="P404" s="11">
        <v>-1.43296670913696</v>
      </c>
      <c r="Q404" s="13" t="s">
        <v>26</v>
      </c>
      <c r="S404" s="14">
        <v>0.853</v>
      </c>
      <c r="T404" s="14">
        <v>0.45492</v>
      </c>
      <c r="U404" s="14">
        <v>0.093146972</v>
      </c>
    </row>
    <row r="405">
      <c r="A405" s="15" t="s">
        <v>79</v>
      </c>
      <c r="B405" s="16">
        <v>2017.0</v>
      </c>
      <c r="C405" s="16">
        <v>87.0</v>
      </c>
      <c r="D405" s="16">
        <v>5.227000237</v>
      </c>
      <c r="E405" s="16">
        <v>1.289487481</v>
      </c>
      <c r="F405" s="16">
        <v>1.239414573</v>
      </c>
      <c r="G405" s="16">
        <v>0.810198903</v>
      </c>
      <c r="H405" s="16">
        <v>0.095731251</v>
      </c>
      <c r="I405" s="16">
        <v>0.0</v>
      </c>
      <c r="J405" s="16">
        <v>0.043289777</v>
      </c>
      <c r="K405" s="16">
        <v>2.1680212020874</v>
      </c>
      <c r="L405" s="16">
        <v>0.318121194839477</v>
      </c>
      <c r="M405" s="16">
        <v>0.387234342154235</v>
      </c>
      <c r="N405" s="16">
        <v>1.138</v>
      </c>
      <c r="O405" s="16">
        <v>0.454138189554214</v>
      </c>
      <c r="P405" s="16">
        <v>8.49463653564453</v>
      </c>
      <c r="Q405" s="17" t="s">
        <v>26</v>
      </c>
      <c r="S405" s="14">
        <v>0.855</v>
      </c>
      <c r="T405" s="14">
        <v>0.455</v>
      </c>
      <c r="U405" s="14">
        <v>0.094</v>
      </c>
    </row>
    <row r="406">
      <c r="A406" s="10" t="s">
        <v>79</v>
      </c>
      <c r="B406" s="11">
        <v>2018.0</v>
      </c>
      <c r="C406" s="11">
        <v>79.0</v>
      </c>
      <c r="D406" s="11">
        <v>5.358</v>
      </c>
      <c r="E406" s="11">
        <v>1.154</v>
      </c>
      <c r="F406" s="11">
        <v>1.202</v>
      </c>
      <c r="G406" s="11">
        <v>0.879</v>
      </c>
      <c r="H406" s="11">
        <v>0.131</v>
      </c>
      <c r="I406" s="11">
        <v>0.0</v>
      </c>
      <c r="J406" s="11">
        <v>0.044</v>
      </c>
      <c r="K406" s="11">
        <v>0.0670859515666961</v>
      </c>
      <c r="L406" s="11">
        <v>0.39843726158142</v>
      </c>
      <c r="M406" s="11">
        <v>-0.103198140429633</v>
      </c>
      <c r="N406" s="11">
        <v>0.63</v>
      </c>
      <c r="O406" s="11">
        <v>22.3011970520019</v>
      </c>
      <c r="P406" s="11">
        <v>5.21190977096557</v>
      </c>
      <c r="Q406" s="13" t="s">
        <v>26</v>
      </c>
      <c r="S406" s="14">
        <v>0.855314612</v>
      </c>
      <c r="T406" s="14">
        <v>0.455</v>
      </c>
      <c r="U406" s="14">
        <v>0.09419</v>
      </c>
    </row>
    <row r="407">
      <c r="A407" s="15" t="s">
        <v>79</v>
      </c>
      <c r="B407" s="16">
        <v>2019.0</v>
      </c>
      <c r="C407" s="16">
        <v>82.0</v>
      </c>
      <c r="D407" s="16">
        <v>5.287</v>
      </c>
      <c r="E407" s="16">
        <v>1.181</v>
      </c>
      <c r="F407" s="16">
        <v>1.156</v>
      </c>
      <c r="G407" s="16">
        <v>0.999</v>
      </c>
      <c r="H407" s="16">
        <v>0.067</v>
      </c>
      <c r="I407" s="16">
        <v>0.0</v>
      </c>
      <c r="J407" s="16">
        <v>0.034</v>
      </c>
      <c r="K407" s="16">
        <v>-0.480481892824173</v>
      </c>
      <c r="L407" s="16">
        <v>-4.6989722251892</v>
      </c>
      <c r="M407" s="16">
        <v>0.19056215836718</v>
      </c>
      <c r="N407" s="16">
        <v>0.517000019550323</v>
      </c>
      <c r="O407" s="16">
        <v>-2.43315005302429</v>
      </c>
      <c r="P407" s="16">
        <v>1.01443624496459</v>
      </c>
      <c r="Q407" s="17" t="s">
        <v>26</v>
      </c>
      <c r="S407" s="14">
        <v>0.85563</v>
      </c>
      <c r="T407" s="14">
        <v>0.455198199</v>
      </c>
      <c r="U407" s="14">
        <v>0.09472</v>
      </c>
    </row>
    <row r="408">
      <c r="A408" s="10" t="s">
        <v>79</v>
      </c>
      <c r="B408" s="11">
        <v>2020.0</v>
      </c>
      <c r="C408" s="11">
        <v>77.0</v>
      </c>
      <c r="D408" s="11">
        <v>5.514999866</v>
      </c>
      <c r="E408" s="11">
        <v>1.128070116</v>
      </c>
      <c r="F408" s="11">
        <v>0.814380348</v>
      </c>
      <c r="G408" s="11">
        <v>72.40525818</v>
      </c>
      <c r="H408" s="11">
        <v>0.541345119</v>
      </c>
      <c r="I408" s="11">
        <v>-0.300907373</v>
      </c>
      <c r="J408" s="11">
        <v>0.859931409</v>
      </c>
      <c r="K408" s="11">
        <v>-3.76530054654312</v>
      </c>
      <c r="L408" s="11">
        <v>1.36331019276808</v>
      </c>
      <c r="M408" s="11">
        <v>-1.45953250913458</v>
      </c>
      <c r="N408" s="11">
        <v>-1.24795187701343</v>
      </c>
      <c r="O408" s="11">
        <v>-0.6744373</v>
      </c>
      <c r="P408" s="11">
        <v>5.31876373291015</v>
      </c>
      <c r="Q408" s="13" t="s">
        <v>26</v>
      </c>
      <c r="S408" s="14">
        <v>0.857</v>
      </c>
      <c r="T408" s="14">
        <v>0.457</v>
      </c>
      <c r="U408" s="14">
        <v>0.095</v>
      </c>
    </row>
    <row r="409">
      <c r="A409" s="15" t="s">
        <v>79</v>
      </c>
      <c r="B409" s="16">
        <v>2021.0</v>
      </c>
      <c r="C409" s="16">
        <v>68.0</v>
      </c>
      <c r="D409" s="16">
        <v>5.723</v>
      </c>
      <c r="E409" s="16">
        <v>10.279</v>
      </c>
      <c r="F409" s="16">
        <v>0.823</v>
      </c>
      <c r="G409" s="16">
        <v>72.6</v>
      </c>
      <c r="H409" s="16">
        <v>0.582</v>
      </c>
      <c r="I409" s="16">
        <v>-0.288</v>
      </c>
      <c r="J409" s="16">
        <v>0.823</v>
      </c>
      <c r="K409" s="16">
        <v>12.30831</v>
      </c>
      <c r="L409" s="16">
        <v>1.361</v>
      </c>
      <c r="M409" s="16">
        <v>1.29219914889998</v>
      </c>
      <c r="N409" s="16">
        <v>1.223826</v>
      </c>
      <c r="O409" s="16">
        <v>-0.624</v>
      </c>
      <c r="P409" s="16">
        <v>13.7495676236593</v>
      </c>
      <c r="Q409" s="17" t="s">
        <v>26</v>
      </c>
      <c r="S409" s="14">
        <v>0.857</v>
      </c>
      <c r="T409" s="14">
        <v>0.457</v>
      </c>
      <c r="U409" s="14">
        <v>0.095</v>
      </c>
    </row>
    <row r="410">
      <c r="A410" s="10" t="s">
        <v>79</v>
      </c>
      <c r="B410" s="11">
        <v>2022.0</v>
      </c>
      <c r="C410" s="11">
        <v>58.0</v>
      </c>
      <c r="D410" s="11">
        <v>5.948</v>
      </c>
      <c r="E410" s="11">
        <v>1.703</v>
      </c>
      <c r="F410" s="11">
        <v>0.98</v>
      </c>
      <c r="G410" s="11">
        <v>0.774</v>
      </c>
      <c r="H410" s="11">
        <v>0.249</v>
      </c>
      <c r="I410" s="11">
        <v>0.015</v>
      </c>
      <c r="J410" s="11">
        <v>0.108</v>
      </c>
      <c r="K410" s="11">
        <v>39.6920762891897</v>
      </c>
      <c r="L410" s="11">
        <v>11.78599</v>
      </c>
      <c r="M410" s="11">
        <v>8.14389208093927</v>
      </c>
      <c r="N410" s="11">
        <v>9.645261</v>
      </c>
      <c r="O410" s="11">
        <v>3.33851885671898</v>
      </c>
      <c r="P410" s="11">
        <v>35.0615782271554</v>
      </c>
      <c r="Q410" s="13" t="s">
        <v>26</v>
      </c>
      <c r="S410" s="14">
        <v>0.857497036</v>
      </c>
      <c r="T410" s="14">
        <v>0.457003742</v>
      </c>
      <c r="U410" s="14">
        <v>0.095375381</v>
      </c>
    </row>
    <row r="411">
      <c r="A411" s="15" t="s">
        <v>79</v>
      </c>
      <c r="B411" s="16">
        <v>2023.0</v>
      </c>
      <c r="C411" s="16">
        <v>58.0</v>
      </c>
      <c r="D411" s="16">
        <v>5.931</v>
      </c>
      <c r="E411" s="16">
        <v>10.288</v>
      </c>
      <c r="F411" s="16">
        <v>0.835</v>
      </c>
      <c r="G411" s="16">
        <v>71.15</v>
      </c>
      <c r="H411" s="16">
        <v>0.568</v>
      </c>
      <c r="I411" s="16">
        <v>-0.24</v>
      </c>
      <c r="J411" s="16">
        <v>0.793</v>
      </c>
      <c r="K411" s="16">
        <v>-11.8949108897929</v>
      </c>
      <c r="L411" s="16">
        <v>11.5893465275765</v>
      </c>
      <c r="M411" s="16">
        <v>4.89805807190213</v>
      </c>
      <c r="N411" s="16">
        <v>3.46480128513405</v>
      </c>
      <c r="O411" s="16">
        <v>4.97358315858276</v>
      </c>
      <c r="P411" s="16">
        <v>-7.08656985252724</v>
      </c>
      <c r="Q411" s="17" t="s">
        <v>26</v>
      </c>
      <c r="S411" s="14">
        <v>0.858</v>
      </c>
      <c r="T411" s="14">
        <v>0.45727</v>
      </c>
      <c r="U411" s="14">
        <v>0.095665015</v>
      </c>
    </row>
    <row r="412">
      <c r="A412" s="10" t="s">
        <v>80</v>
      </c>
      <c r="B412" s="11">
        <v>2015.0</v>
      </c>
      <c r="C412" s="11">
        <v>43.0</v>
      </c>
      <c r="D412" s="11">
        <v>6.123</v>
      </c>
      <c r="E412" s="11">
        <v>0.74553</v>
      </c>
      <c r="F412" s="11">
        <v>1.04356</v>
      </c>
      <c r="G412" s="11">
        <v>0.64425</v>
      </c>
      <c r="H412" s="11">
        <v>0.57733</v>
      </c>
      <c r="I412" s="11">
        <v>0.27489</v>
      </c>
      <c r="J412" s="11">
        <v>0.09472</v>
      </c>
      <c r="K412" s="11">
        <v>-6.28000020980835</v>
      </c>
      <c r="L412" s="11">
        <v>9.31666374206543</v>
      </c>
      <c r="M412" s="11">
        <v>2.23216021777173</v>
      </c>
      <c r="N412" s="11">
        <v>2.38885378837585</v>
      </c>
      <c r="O412" s="11">
        <v>3.18799471855163</v>
      </c>
      <c r="P412" s="12"/>
      <c r="Q412" s="13" t="s">
        <v>43</v>
      </c>
      <c r="S412" s="14">
        <v>0.858</v>
      </c>
      <c r="T412" s="14">
        <v>0.459</v>
      </c>
      <c r="U412" s="14">
        <v>0.096</v>
      </c>
    </row>
    <row r="413">
      <c r="A413" s="15" t="s">
        <v>80</v>
      </c>
      <c r="B413" s="16">
        <v>2016.0</v>
      </c>
      <c r="C413" s="16">
        <v>39.0</v>
      </c>
      <c r="D413" s="16">
        <v>6.324</v>
      </c>
      <c r="E413" s="16">
        <v>0.83454</v>
      </c>
      <c r="F413" s="16">
        <v>0.87119</v>
      </c>
      <c r="G413" s="16">
        <v>0.54039</v>
      </c>
      <c r="H413" s="16">
        <v>0.50379</v>
      </c>
      <c r="I413" s="16">
        <v>0.28808</v>
      </c>
      <c r="J413" s="16">
        <v>0.08701</v>
      </c>
      <c r="K413" s="16">
        <v>2.44000005722045</v>
      </c>
      <c r="L413" s="16">
        <v>9.93769359588623</v>
      </c>
      <c r="M413" s="16">
        <v>2.70740613944995</v>
      </c>
      <c r="N413" s="16">
        <v>4.45147895812988</v>
      </c>
      <c r="O413" s="16">
        <v>3.12175703048706</v>
      </c>
      <c r="P413" s="12"/>
      <c r="Q413" s="17" t="s">
        <v>43</v>
      </c>
      <c r="S413" s="14">
        <v>0.85974</v>
      </c>
      <c r="T413" s="14">
        <v>0.45951</v>
      </c>
      <c r="U413" s="14">
        <v>0.096581072</v>
      </c>
    </row>
    <row r="414">
      <c r="A414" s="10" t="s">
        <v>80</v>
      </c>
      <c r="B414" s="11">
        <v>2017.0</v>
      </c>
      <c r="C414" s="11">
        <v>29.0</v>
      </c>
      <c r="D414" s="11">
        <v>6.453999996</v>
      </c>
      <c r="E414" s="11">
        <v>0.872001946</v>
      </c>
      <c r="F414" s="11">
        <v>1.255585194</v>
      </c>
      <c r="G414" s="11">
        <v>0.54023999</v>
      </c>
      <c r="H414" s="11">
        <v>0.531310618</v>
      </c>
      <c r="I414" s="11">
        <v>0.283488393</v>
      </c>
      <c r="J414" s="11">
        <v>0.077223279</v>
      </c>
      <c r="K414" s="11">
        <v>2.14000010490417</v>
      </c>
      <c r="L414" s="11">
        <v>8.90479469299316</v>
      </c>
      <c r="M414" s="11">
        <v>1.74347008879382</v>
      </c>
      <c r="N414" s="11">
        <v>4.425</v>
      </c>
      <c r="O414" s="11">
        <v>2.95653581619262</v>
      </c>
      <c r="P414" s="12"/>
      <c r="Q414" s="13" t="s">
        <v>43</v>
      </c>
      <c r="S414" s="14">
        <v>0.86</v>
      </c>
      <c r="T414" s="14">
        <v>0.46</v>
      </c>
      <c r="U414" s="14">
        <v>0.097</v>
      </c>
    </row>
    <row r="415">
      <c r="A415" s="15" t="s">
        <v>80</v>
      </c>
      <c r="B415" s="16">
        <v>2018.0</v>
      </c>
      <c r="C415" s="16">
        <v>30.0</v>
      </c>
      <c r="D415" s="16">
        <v>6.382</v>
      </c>
      <c r="E415" s="16">
        <v>0.781</v>
      </c>
      <c r="F415" s="16">
        <v>1.268</v>
      </c>
      <c r="G415" s="16">
        <v>0.608</v>
      </c>
      <c r="H415" s="16">
        <v>0.604</v>
      </c>
      <c r="I415" s="16">
        <v>0.179</v>
      </c>
      <c r="J415" s="16">
        <v>0.071</v>
      </c>
      <c r="K415" s="16">
        <v>2.37547850608825</v>
      </c>
      <c r="L415" s="16">
        <v>7.23344039916992</v>
      </c>
      <c r="M415" s="16">
        <v>1.22854594761844</v>
      </c>
      <c r="N415" s="16">
        <v>3.75</v>
      </c>
      <c r="O415" s="16">
        <v>2.72105240821838</v>
      </c>
      <c r="P415" s="12"/>
      <c r="Q415" s="17" t="s">
        <v>43</v>
      </c>
      <c r="S415" s="14">
        <v>0.86</v>
      </c>
      <c r="T415" s="14">
        <v>0.46</v>
      </c>
      <c r="U415" s="14">
        <v>0.097</v>
      </c>
    </row>
    <row r="416">
      <c r="A416" s="10" t="s">
        <v>80</v>
      </c>
      <c r="B416" s="11">
        <v>2019.0</v>
      </c>
      <c r="C416" s="11">
        <v>27.0</v>
      </c>
      <c r="D416" s="11">
        <v>6.436</v>
      </c>
      <c r="E416" s="11">
        <v>0.8</v>
      </c>
      <c r="F416" s="11">
        <v>1.269</v>
      </c>
      <c r="G416" s="11">
        <v>0.746</v>
      </c>
      <c r="H416" s="11">
        <v>0.535</v>
      </c>
      <c r="I416" s="11">
        <v>0.175</v>
      </c>
      <c r="J416" s="11">
        <v>0.078</v>
      </c>
      <c r="K416" s="11">
        <v>1.40132141113281</v>
      </c>
      <c r="L416" s="11">
        <v>7.82073831558227</v>
      </c>
      <c r="M416" s="11">
        <v>3.4125642777518</v>
      </c>
      <c r="N416" s="11">
        <v>3.70000004768371</v>
      </c>
      <c r="O416" s="11">
        <v>3.03860306739807</v>
      </c>
      <c r="P416" s="12"/>
      <c r="Q416" s="13" t="s">
        <v>43</v>
      </c>
      <c r="S416" s="14">
        <v>0.8604</v>
      </c>
      <c r="T416" s="14">
        <v>0.46</v>
      </c>
      <c r="U416" s="14">
        <v>0.09719</v>
      </c>
    </row>
    <row r="417">
      <c r="A417" s="15" t="s">
        <v>80</v>
      </c>
      <c r="B417" s="16">
        <v>2020.0</v>
      </c>
      <c r="C417" s="16">
        <v>29.0</v>
      </c>
      <c r="D417" s="16">
        <v>6.398900032</v>
      </c>
      <c r="E417" s="16">
        <v>0.753815711</v>
      </c>
      <c r="F417" s="16">
        <v>0.816621482</v>
      </c>
      <c r="G417" s="16">
        <v>64.8089447</v>
      </c>
      <c r="H417" s="16">
        <v>0.908147573</v>
      </c>
      <c r="I417" s="16">
        <v>-0.042938665</v>
      </c>
      <c r="J417" s="16">
        <v>0.783237457</v>
      </c>
      <c r="K417" s="16">
        <v>-0.0647906819219311</v>
      </c>
      <c r="L417" s="16">
        <v>6.36761617660522</v>
      </c>
      <c r="M417" s="16">
        <v>2.33587175742401</v>
      </c>
      <c r="N417" s="16">
        <v>3.21444062197374</v>
      </c>
      <c r="O417" s="16">
        <v>2.41485604462805</v>
      </c>
      <c r="P417" s="12"/>
      <c r="Q417" s="17" t="s">
        <v>43</v>
      </c>
      <c r="S417" s="14">
        <v>0.862</v>
      </c>
      <c r="T417" s="14">
        <v>0.46074</v>
      </c>
      <c r="U417" s="14">
        <v>0.098</v>
      </c>
    </row>
    <row r="418">
      <c r="A418" s="10" t="s">
        <v>80</v>
      </c>
      <c r="B418" s="11">
        <v>2021.0</v>
      </c>
      <c r="C418" s="11">
        <v>30.0</v>
      </c>
      <c r="D418" s="11">
        <v>6.435</v>
      </c>
      <c r="E418" s="11">
        <v>9.053</v>
      </c>
      <c r="F418" s="11">
        <v>0.813</v>
      </c>
      <c r="G418" s="11">
        <v>64.958</v>
      </c>
      <c r="H418" s="11">
        <v>0.906</v>
      </c>
      <c r="I418" s="11">
        <v>-0.038</v>
      </c>
      <c r="J418" s="11">
        <v>0.775</v>
      </c>
      <c r="K418" s="11">
        <v>4.82</v>
      </c>
      <c r="L418" s="11">
        <v>4.79</v>
      </c>
      <c r="M418" s="11">
        <v>2.75180097574017</v>
      </c>
      <c r="N418" s="11">
        <v>4.26105127422819</v>
      </c>
      <c r="O418" s="11">
        <v>3.00253460713586</v>
      </c>
      <c r="P418" s="12"/>
      <c r="Q418" s="13" t="s">
        <v>43</v>
      </c>
      <c r="S418" s="14">
        <v>0.86216</v>
      </c>
      <c r="T418" s="14">
        <v>0.46074</v>
      </c>
      <c r="U418" s="14">
        <v>0.098583199</v>
      </c>
    </row>
    <row r="419">
      <c r="A419" s="15" t="s">
        <v>80</v>
      </c>
      <c r="B419" s="16">
        <v>2023.0</v>
      </c>
      <c r="C419" s="16">
        <v>43.0</v>
      </c>
      <c r="D419" s="16">
        <v>6.15</v>
      </c>
      <c r="E419" s="16">
        <v>9.116</v>
      </c>
      <c r="F419" s="16">
        <v>0.812</v>
      </c>
      <c r="G419" s="16">
        <v>62.9</v>
      </c>
      <c r="H419" s="16">
        <v>0.856</v>
      </c>
      <c r="I419" s="16">
        <v>-0.057</v>
      </c>
      <c r="J419" s="16">
        <v>0.837</v>
      </c>
      <c r="K419" s="16">
        <v>4.23828965768117</v>
      </c>
      <c r="L419" s="16">
        <v>10.0951788021997</v>
      </c>
      <c r="M419" s="16">
        <v>6.58571378757661</v>
      </c>
      <c r="N419" s="16">
        <v>6.26639706458042</v>
      </c>
      <c r="O419" s="16">
        <v>4.517031867217</v>
      </c>
      <c r="P419" s="12"/>
      <c r="Q419" s="17" t="s">
        <v>43</v>
      </c>
      <c r="S419" s="14">
        <v>0.863</v>
      </c>
      <c r="T419" s="14">
        <v>0.461</v>
      </c>
      <c r="U419" s="14">
        <v>0.099</v>
      </c>
    </row>
    <row r="420">
      <c r="A420" s="10" t="s">
        <v>81</v>
      </c>
      <c r="B420" s="11">
        <v>2015.0</v>
      </c>
      <c r="C420" s="11">
        <v>150.0</v>
      </c>
      <c r="D420" s="11">
        <v>3.656</v>
      </c>
      <c r="E420" s="11">
        <v>0.17417</v>
      </c>
      <c r="F420" s="11">
        <v>0.46475</v>
      </c>
      <c r="G420" s="11">
        <v>0.24009</v>
      </c>
      <c r="H420" s="11">
        <v>0.37725</v>
      </c>
      <c r="I420" s="11">
        <v>0.28657</v>
      </c>
      <c r="J420" s="11">
        <v>0.12139</v>
      </c>
      <c r="K420" s="11">
        <v>8.40999984741211</v>
      </c>
      <c r="L420" s="11">
        <v>11.5200004577636</v>
      </c>
      <c r="M420" s="11">
        <v>2.83456108041744</v>
      </c>
      <c r="N420" s="11">
        <v>8.15100002288818</v>
      </c>
      <c r="O420" s="12"/>
      <c r="P420" s="12"/>
      <c r="Q420" s="13" t="s">
        <v>28</v>
      </c>
      <c r="S420" s="14">
        <v>0.86333</v>
      </c>
      <c r="T420" s="14">
        <v>0.46145</v>
      </c>
      <c r="U420" s="14">
        <v>0.099</v>
      </c>
    </row>
    <row r="421">
      <c r="A421" s="15" t="s">
        <v>81</v>
      </c>
      <c r="B421" s="16">
        <v>2016.0</v>
      </c>
      <c r="C421" s="16">
        <v>151.0</v>
      </c>
      <c r="D421" s="16">
        <v>3.607</v>
      </c>
      <c r="E421" s="16">
        <v>0.22415</v>
      </c>
      <c r="F421" s="16">
        <v>0.3109</v>
      </c>
      <c r="G421" s="16">
        <v>0.18829</v>
      </c>
      <c r="H421" s="16">
        <v>0.30953</v>
      </c>
      <c r="I421" s="16">
        <v>0.29914</v>
      </c>
      <c r="J421" s="16">
        <v>0.1192</v>
      </c>
      <c r="K421" s="16">
        <v>6.01999998092651</v>
      </c>
      <c r="L421" s="16">
        <v>11.4899997711181</v>
      </c>
      <c r="M421" s="16">
        <v>5.6591102422135</v>
      </c>
      <c r="N421" s="16">
        <v>8.17399978637695</v>
      </c>
      <c r="O421" s="12"/>
      <c r="P421" s="12"/>
      <c r="Q421" s="17" t="s">
        <v>28</v>
      </c>
      <c r="S421" s="14">
        <v>0.864</v>
      </c>
      <c r="T421" s="14">
        <v>0.461603492</v>
      </c>
      <c r="U421" s="14">
        <v>0.099</v>
      </c>
    </row>
    <row r="422">
      <c r="A422" s="10" t="s">
        <v>81</v>
      </c>
      <c r="B422" s="11">
        <v>2017.0</v>
      </c>
      <c r="C422" s="11">
        <v>149.0</v>
      </c>
      <c r="D422" s="11">
        <v>3.506999969</v>
      </c>
      <c r="E422" s="11">
        <v>0.24454993</v>
      </c>
      <c r="F422" s="11">
        <v>0.791244686</v>
      </c>
      <c r="G422" s="11">
        <v>0.194129139</v>
      </c>
      <c r="H422" s="11">
        <v>0.348587513</v>
      </c>
      <c r="I422" s="11">
        <v>0.264815092</v>
      </c>
      <c r="J422" s="11">
        <v>0.110937618</v>
      </c>
      <c r="K422" s="11">
        <v>3.84575759805725</v>
      </c>
      <c r="L422" s="11">
        <v>13.5922850783786</v>
      </c>
      <c r="M422" s="11">
        <v>10.4485939066935</v>
      </c>
      <c r="N422" s="11">
        <v>8.914</v>
      </c>
      <c r="O422" s="12"/>
      <c r="P422" s="12"/>
      <c r="Q422" s="13" t="s">
        <v>28</v>
      </c>
      <c r="S422" s="14">
        <v>0.86449</v>
      </c>
      <c r="T422" s="14">
        <v>0.462</v>
      </c>
      <c r="U422" s="14">
        <v>0.099331893</v>
      </c>
    </row>
    <row r="423">
      <c r="A423" s="15" t="s">
        <v>81</v>
      </c>
      <c r="B423" s="16">
        <v>2018.0</v>
      </c>
      <c r="C423" s="16">
        <v>140.0</v>
      </c>
      <c r="D423" s="16">
        <v>3.964</v>
      </c>
      <c r="E423" s="16">
        <v>0.344</v>
      </c>
      <c r="F423" s="16">
        <v>0.792</v>
      </c>
      <c r="G423" s="16">
        <v>0.211</v>
      </c>
      <c r="H423" s="16">
        <v>0.394</v>
      </c>
      <c r="I423" s="16">
        <v>0.185</v>
      </c>
      <c r="J423" s="16">
        <v>0.094</v>
      </c>
      <c r="K423" s="16">
        <v>6.66827291022989</v>
      </c>
      <c r="L423" s="16">
        <v>13.3552483014663</v>
      </c>
      <c r="M423" s="16">
        <v>10.0368942343966</v>
      </c>
      <c r="N423" s="16">
        <v>9.83</v>
      </c>
      <c r="O423" s="12"/>
      <c r="P423" s="12"/>
      <c r="Q423" s="17" t="s">
        <v>28</v>
      </c>
      <c r="S423" s="14">
        <v>0.864669204</v>
      </c>
      <c r="T423" s="14">
        <v>0.462</v>
      </c>
      <c r="U423" s="14">
        <v>0.09967158</v>
      </c>
    </row>
    <row r="424">
      <c r="A424" s="10" t="s">
        <v>81</v>
      </c>
      <c r="B424" s="11">
        <v>2019.0</v>
      </c>
      <c r="C424" s="11">
        <v>118.0</v>
      </c>
      <c r="D424" s="11">
        <v>4.534</v>
      </c>
      <c r="E424" s="11">
        <v>0.38</v>
      </c>
      <c r="F424" s="11">
        <v>0.829</v>
      </c>
      <c r="G424" s="11">
        <v>0.375</v>
      </c>
      <c r="H424" s="11">
        <v>0.332</v>
      </c>
      <c r="I424" s="11">
        <v>0.207</v>
      </c>
      <c r="J424" s="11">
        <v>0.086</v>
      </c>
      <c r="K424" s="11">
        <v>3.84575759805725</v>
      </c>
      <c r="L424" s="11">
        <v>11.3573210769586</v>
      </c>
      <c r="M424" s="11">
        <v>9.27131152304026</v>
      </c>
      <c r="N424" s="11">
        <v>9.4709997177124</v>
      </c>
      <c r="O424" s="12"/>
      <c r="P424" s="12"/>
      <c r="Q424" s="13" t="s">
        <v>28</v>
      </c>
      <c r="S424" s="14">
        <v>0.865</v>
      </c>
      <c r="T424" s="14">
        <v>0.46235</v>
      </c>
      <c r="U424" s="14">
        <v>0.09987215</v>
      </c>
    </row>
    <row r="425">
      <c r="A425" s="15" t="s">
        <v>81</v>
      </c>
      <c r="B425" s="16">
        <v>2020.0</v>
      </c>
      <c r="C425" s="16">
        <v>102.0</v>
      </c>
      <c r="D425" s="16">
        <v>4.949299812</v>
      </c>
      <c r="E425" s="16">
        <v>0.390007734</v>
      </c>
      <c r="F425" s="16">
        <v>0.637573481</v>
      </c>
      <c r="G425" s="16">
        <v>54.46780014</v>
      </c>
      <c r="H425" s="16">
        <v>0.706846774</v>
      </c>
      <c r="I425" s="16">
        <v>0.076328471</v>
      </c>
      <c r="J425" s="16">
        <v>0.761794448</v>
      </c>
      <c r="K425" s="16">
        <v>6.12758126939226</v>
      </c>
      <c r="L425" s="16">
        <v>12.6952838533726</v>
      </c>
      <c r="M425" s="16">
        <v>10.8723975644127</v>
      </c>
      <c r="N425" s="16">
        <v>10.6018600008337</v>
      </c>
      <c r="O425" s="12"/>
      <c r="P425" s="12"/>
      <c r="Q425" s="17" t="s">
        <v>28</v>
      </c>
      <c r="S425" s="14">
        <v>0.865</v>
      </c>
      <c r="T425" s="14">
        <v>0.46364</v>
      </c>
      <c r="U425" s="14">
        <v>0.1</v>
      </c>
    </row>
    <row r="426">
      <c r="A426" s="10" t="s">
        <v>81</v>
      </c>
      <c r="B426" s="11">
        <v>2021.0</v>
      </c>
      <c r="C426" s="11">
        <v>102.0</v>
      </c>
      <c r="D426" s="11">
        <v>4.984</v>
      </c>
      <c r="E426" s="11">
        <v>7.838</v>
      </c>
      <c r="F426" s="11">
        <v>0.639</v>
      </c>
      <c r="G426" s="11">
        <v>55.008</v>
      </c>
      <c r="H426" s="11">
        <v>0.697</v>
      </c>
      <c r="I426" s="11">
        <v>0.095</v>
      </c>
      <c r="J426" s="11">
        <v>0.766</v>
      </c>
      <c r="K426" s="11">
        <v>5.93</v>
      </c>
      <c r="L426" s="11">
        <v>15.78</v>
      </c>
      <c r="M426" s="11">
        <v>11.5000000001353</v>
      </c>
      <c r="N426" s="11">
        <v>12.597</v>
      </c>
      <c r="O426" s="12"/>
      <c r="P426" s="12"/>
      <c r="Q426" s="13" t="s">
        <v>28</v>
      </c>
      <c r="S426" s="14">
        <v>0.867</v>
      </c>
      <c r="T426" s="14">
        <v>0.464</v>
      </c>
      <c r="U426" s="14">
        <v>0.1</v>
      </c>
    </row>
    <row r="427">
      <c r="A427" s="15" t="s">
        <v>81</v>
      </c>
      <c r="B427" s="16">
        <v>2022.0</v>
      </c>
      <c r="C427" s="16">
        <v>109.0</v>
      </c>
      <c r="D427" s="16">
        <v>4.891</v>
      </c>
      <c r="E427" s="16">
        <v>0.848</v>
      </c>
      <c r="F427" s="16">
        <v>0.566</v>
      </c>
      <c r="G427" s="16">
        <v>0.275</v>
      </c>
      <c r="H427" s="16">
        <v>0.334</v>
      </c>
      <c r="I427" s="16">
        <v>0.214</v>
      </c>
      <c r="J427" s="16">
        <v>0.116</v>
      </c>
      <c r="K427" s="16">
        <v>15.6712943545276</v>
      </c>
      <c r="L427" s="16">
        <v>13.3123464327108</v>
      </c>
      <c r="M427" s="16">
        <v>11.5196334258814</v>
      </c>
      <c r="N427" s="16">
        <v>10.4930409984424</v>
      </c>
      <c r="O427" s="12"/>
      <c r="P427" s="12"/>
      <c r="Q427" s="17" t="s">
        <v>28</v>
      </c>
      <c r="S427" s="14">
        <v>0.867</v>
      </c>
      <c r="T427" s="14">
        <v>0.46562</v>
      </c>
      <c r="U427" s="14">
        <v>0.1</v>
      </c>
    </row>
    <row r="428">
      <c r="A428" s="10" t="s">
        <v>81</v>
      </c>
      <c r="B428" s="11">
        <v>2023.0</v>
      </c>
      <c r="C428" s="11">
        <v>91.0</v>
      </c>
      <c r="D428" s="11">
        <v>5.072</v>
      </c>
      <c r="E428" s="11">
        <v>7.88</v>
      </c>
      <c r="F428" s="11">
        <v>0.649</v>
      </c>
      <c r="G428" s="11">
        <v>54.185</v>
      </c>
      <c r="H428" s="11">
        <v>0.659</v>
      </c>
      <c r="I428" s="11">
        <v>0.125</v>
      </c>
      <c r="J428" s="11">
        <v>0.787</v>
      </c>
      <c r="K428" s="11">
        <v>35.9561442755462</v>
      </c>
      <c r="L428" s="11">
        <v>16.1998093685961</v>
      </c>
      <c r="M428" s="11">
        <v>8.75936666332819</v>
      </c>
      <c r="N428" s="11">
        <v>7.80497591927973</v>
      </c>
      <c r="O428" s="12"/>
      <c r="P428" s="12"/>
      <c r="Q428" s="13" t="s">
        <v>28</v>
      </c>
      <c r="S428" s="14">
        <v>0.86758</v>
      </c>
      <c r="T428" s="14">
        <v>0.46573323</v>
      </c>
      <c r="U428" s="14">
        <v>0.100106589</v>
      </c>
    </row>
    <row r="429">
      <c r="A429" s="15" t="s">
        <v>82</v>
      </c>
      <c r="B429" s="16">
        <v>2015.0</v>
      </c>
      <c r="C429" s="16">
        <v>119.0</v>
      </c>
      <c r="D429" s="16">
        <v>4.518</v>
      </c>
      <c r="E429" s="16">
        <v>0.26673</v>
      </c>
      <c r="F429" s="16">
        <v>0.74302</v>
      </c>
      <c r="G429" s="16">
        <v>0.38847</v>
      </c>
      <c r="H429" s="16">
        <v>0.24425</v>
      </c>
      <c r="I429" s="16">
        <v>0.46187</v>
      </c>
      <c r="J429" s="16">
        <v>0.17175</v>
      </c>
      <c r="K429" s="16">
        <v>8.53999996185302</v>
      </c>
      <c r="L429" s="16">
        <v>9.4700002670288</v>
      </c>
      <c r="M429" s="16">
        <v>7.56485078336432</v>
      </c>
      <c r="N429" s="16">
        <v>7.52400016784668</v>
      </c>
      <c r="O429" s="12"/>
      <c r="P429" s="12"/>
      <c r="Q429" s="17" t="s">
        <v>43</v>
      </c>
      <c r="S429" s="14">
        <v>0.868</v>
      </c>
      <c r="T429" s="14">
        <v>0.46582</v>
      </c>
      <c r="U429" s="14">
        <v>0.10039</v>
      </c>
    </row>
    <row r="430">
      <c r="A430" s="10" t="s">
        <v>82</v>
      </c>
      <c r="B430" s="11">
        <v>2016.0</v>
      </c>
      <c r="C430" s="11">
        <v>136.0</v>
      </c>
      <c r="D430" s="11">
        <v>4.028</v>
      </c>
      <c r="E430" s="11">
        <v>0.34097</v>
      </c>
      <c r="F430" s="11">
        <v>0.29561</v>
      </c>
      <c r="G430" s="11">
        <v>0.27494</v>
      </c>
      <c r="H430" s="11">
        <v>0.12072</v>
      </c>
      <c r="I430" s="11">
        <v>0.47958</v>
      </c>
      <c r="J430" s="11">
        <v>0.14476</v>
      </c>
      <c r="K430" s="11">
        <v>13.8400001525878</v>
      </c>
      <c r="L430" s="11">
        <v>14.6899995803833</v>
      </c>
      <c r="M430" s="11">
        <v>12.8983671653031</v>
      </c>
      <c r="N430" s="11">
        <v>13.3780002593994</v>
      </c>
      <c r="O430" s="12"/>
      <c r="P430" s="12"/>
      <c r="Q430" s="13" t="s">
        <v>43</v>
      </c>
      <c r="S430" s="14">
        <v>0.86835146</v>
      </c>
      <c r="T430" s="14">
        <v>0.46611</v>
      </c>
      <c r="U430" s="14">
        <v>0.10062</v>
      </c>
    </row>
    <row r="431">
      <c r="A431" s="15" t="s">
        <v>82</v>
      </c>
      <c r="B431" s="16">
        <v>2017.0</v>
      </c>
      <c r="C431" s="16">
        <v>145.0</v>
      </c>
      <c r="D431" s="16">
        <v>3.602999926</v>
      </c>
      <c r="E431" s="16">
        <v>0.368610263</v>
      </c>
      <c r="F431" s="16">
        <v>0.640449822</v>
      </c>
      <c r="G431" s="16">
        <v>0.27732113</v>
      </c>
      <c r="H431" s="16">
        <v>0.030369857</v>
      </c>
      <c r="I431" s="16">
        <v>0.489203781</v>
      </c>
      <c r="J431" s="16">
        <v>0.09987215</v>
      </c>
      <c r="K431" s="16">
        <v>20.2199993133544</v>
      </c>
      <c r="L431" s="16">
        <v>14.2200002670288</v>
      </c>
      <c r="M431" s="16">
        <v>10.0921742821624</v>
      </c>
      <c r="N431" s="16">
        <v>14.738</v>
      </c>
      <c r="O431" s="12"/>
      <c r="P431" s="12"/>
      <c r="Q431" s="17" t="s">
        <v>43</v>
      </c>
      <c r="S431" s="14">
        <v>0.86908</v>
      </c>
      <c r="T431" s="14">
        <v>0.466610909</v>
      </c>
      <c r="U431" s="14">
        <v>0.101</v>
      </c>
    </row>
    <row r="432">
      <c r="A432" s="10" t="s">
        <v>82</v>
      </c>
      <c r="B432" s="11">
        <v>2018.0</v>
      </c>
      <c r="C432" s="11">
        <v>148.0</v>
      </c>
      <c r="D432" s="11">
        <v>3.582</v>
      </c>
      <c r="E432" s="11">
        <v>0.315</v>
      </c>
      <c r="F432" s="11">
        <v>0.714</v>
      </c>
      <c r="G432" s="11">
        <v>0.289</v>
      </c>
      <c r="H432" s="11">
        <v>0.025</v>
      </c>
      <c r="I432" s="11">
        <v>0.392</v>
      </c>
      <c r="J432" s="11">
        <v>0.104</v>
      </c>
      <c r="K432" s="11">
        <v>12.4570733610279</v>
      </c>
      <c r="L432" s="11">
        <v>13.7993564935755</v>
      </c>
      <c r="M432" s="11">
        <v>10.1061705614233</v>
      </c>
      <c r="N432" s="11">
        <v>12.89</v>
      </c>
      <c r="O432" s="12"/>
      <c r="P432" s="12"/>
      <c r="Q432" s="13" t="s">
        <v>43</v>
      </c>
      <c r="S432" s="14">
        <v>0.87</v>
      </c>
      <c r="T432" s="14">
        <v>0.466914654</v>
      </c>
      <c r="U432" s="14">
        <v>0.101</v>
      </c>
    </row>
    <row r="433">
      <c r="A433" s="15" t="s">
        <v>82</v>
      </c>
      <c r="B433" s="16">
        <v>2019.0</v>
      </c>
      <c r="C433" s="16">
        <v>147.0</v>
      </c>
      <c r="D433" s="16">
        <v>3.597</v>
      </c>
      <c r="E433" s="16">
        <v>0.323</v>
      </c>
      <c r="F433" s="16">
        <v>0.688</v>
      </c>
      <c r="G433" s="16">
        <v>0.449</v>
      </c>
      <c r="H433" s="16">
        <v>0.026</v>
      </c>
      <c r="I433" s="16">
        <v>0.419</v>
      </c>
      <c r="J433" s="16">
        <v>0.11</v>
      </c>
      <c r="K433" s="16">
        <v>15.9007059531991</v>
      </c>
      <c r="L433" s="16">
        <v>22.2331747151498</v>
      </c>
      <c r="M433" s="16">
        <v>17.4329022736937</v>
      </c>
      <c r="N433" s="16">
        <v>17.3080005645751</v>
      </c>
      <c r="O433" s="12"/>
      <c r="P433" s="12"/>
      <c r="Q433" s="17" t="s">
        <v>43</v>
      </c>
      <c r="S433" s="14">
        <v>0.870701015</v>
      </c>
      <c r="T433" s="14">
        <v>0.46761</v>
      </c>
      <c r="U433" s="14">
        <v>0.101</v>
      </c>
    </row>
    <row r="434">
      <c r="A434" s="10" t="s">
        <v>82</v>
      </c>
      <c r="B434" s="11">
        <v>2020.0</v>
      </c>
      <c r="C434" s="11">
        <v>142.0</v>
      </c>
      <c r="D434" s="11">
        <v>3.720799923</v>
      </c>
      <c r="E434" s="11">
        <v>0.284734428</v>
      </c>
      <c r="F434" s="11">
        <v>0.593247831</v>
      </c>
      <c r="G434" s="11">
        <v>55.59862518</v>
      </c>
      <c r="H434" s="11">
        <v>0.537825167</v>
      </c>
      <c r="I434" s="11">
        <v>0.40053457</v>
      </c>
      <c r="J434" s="11">
        <v>0.684767246</v>
      </c>
      <c r="K434" s="11">
        <v>18.544061302682</v>
      </c>
      <c r="L434" s="11">
        <v>25.9925817543798</v>
      </c>
      <c r="M434" s="11">
        <v>22.9453550166671</v>
      </c>
      <c r="N434" s="11">
        <v>22.7963113642529</v>
      </c>
      <c r="O434" s="12"/>
      <c r="P434" s="12"/>
      <c r="Q434" s="13" t="s">
        <v>43</v>
      </c>
      <c r="S434" s="14">
        <v>0.87114</v>
      </c>
      <c r="T434" s="14">
        <v>0.468</v>
      </c>
      <c r="U434" s="14">
        <v>0.102</v>
      </c>
    </row>
    <row r="435">
      <c r="A435" s="15" t="s">
        <v>82</v>
      </c>
      <c r="B435" s="16">
        <v>2021.0</v>
      </c>
      <c r="C435" s="16">
        <v>143.0</v>
      </c>
      <c r="D435" s="16">
        <v>3.615</v>
      </c>
      <c r="E435" s="16">
        <v>7.477</v>
      </c>
      <c r="F435" s="16">
        <v>0.54</v>
      </c>
      <c r="G435" s="16">
        <v>55.7</v>
      </c>
      <c r="H435" s="16">
        <v>0.593</v>
      </c>
      <c r="I435" s="16">
        <v>0.422</v>
      </c>
      <c r="J435" s="16">
        <v>0.721</v>
      </c>
      <c r="K435" s="16">
        <v>14.4</v>
      </c>
      <c r="L435" s="16">
        <v>19.65</v>
      </c>
      <c r="M435" s="16">
        <v>19.3419512540408</v>
      </c>
      <c r="N435" s="16">
        <v>15.941</v>
      </c>
      <c r="O435" s="12"/>
      <c r="P435" s="12"/>
      <c r="Q435" s="17" t="s">
        <v>43</v>
      </c>
      <c r="S435" s="14">
        <v>0.87119</v>
      </c>
      <c r="T435" s="14">
        <v>0.46823</v>
      </c>
      <c r="U435" s="14">
        <v>0.102</v>
      </c>
    </row>
    <row r="436">
      <c r="A436" s="10" t="s">
        <v>83</v>
      </c>
      <c r="B436" s="11">
        <v>2015.0</v>
      </c>
      <c r="C436" s="11">
        <v>105.0</v>
      </c>
      <c r="D436" s="11">
        <v>4.788</v>
      </c>
      <c r="E436" s="11">
        <v>0.59532</v>
      </c>
      <c r="F436" s="11">
        <v>0.95348</v>
      </c>
      <c r="G436" s="11">
        <v>0.6951</v>
      </c>
      <c r="H436" s="11">
        <v>0.40148</v>
      </c>
      <c r="I436" s="11">
        <v>0.23027</v>
      </c>
      <c r="J436" s="11">
        <v>0.06825</v>
      </c>
      <c r="K436" s="11">
        <v>2.22745966911315</v>
      </c>
      <c r="L436" s="11">
        <v>3.25121927261352</v>
      </c>
      <c r="M436" s="11">
        <v>6.93310610040928</v>
      </c>
      <c r="N436" s="11">
        <v>3.15773892402648</v>
      </c>
      <c r="O436" s="11">
        <v>4.8265323638916</v>
      </c>
      <c r="P436" s="12"/>
      <c r="Q436" s="13" t="s">
        <v>43</v>
      </c>
      <c r="S436" s="14">
        <v>0.872</v>
      </c>
      <c r="T436" s="14">
        <v>0.469987005</v>
      </c>
      <c r="U436" s="14">
        <v>0.102</v>
      </c>
    </row>
    <row r="437">
      <c r="A437" s="15" t="s">
        <v>83</v>
      </c>
      <c r="B437" s="16">
        <v>2016.0</v>
      </c>
      <c r="C437" s="16">
        <v>104.0</v>
      </c>
      <c r="D437" s="16">
        <v>4.871</v>
      </c>
      <c r="E437" s="16">
        <v>0.69429</v>
      </c>
      <c r="F437" s="16">
        <v>0.75596</v>
      </c>
      <c r="G437" s="16">
        <v>0.58383</v>
      </c>
      <c r="H437" s="16">
        <v>0.26755</v>
      </c>
      <c r="I437" s="16">
        <v>0.2044</v>
      </c>
      <c r="J437" s="16">
        <v>0.06906</v>
      </c>
      <c r="K437" s="16">
        <v>2.10210275650024</v>
      </c>
      <c r="L437" s="16">
        <v>0.966637313365936</v>
      </c>
      <c r="M437" s="16">
        <v>3.67801284909743</v>
      </c>
      <c r="N437" s="16">
        <v>2.72453188896179</v>
      </c>
      <c r="O437" s="16">
        <v>3.55164170265197</v>
      </c>
      <c r="P437" s="12"/>
      <c r="Q437" s="17" t="s">
        <v>43</v>
      </c>
      <c r="S437" s="14">
        <v>0.872117937</v>
      </c>
      <c r="T437" s="14">
        <v>0.47</v>
      </c>
      <c r="U437" s="14">
        <v>0.103</v>
      </c>
    </row>
    <row r="438">
      <c r="A438" s="10" t="s">
        <v>83</v>
      </c>
      <c r="B438" s="11">
        <v>2017.0</v>
      </c>
      <c r="C438" s="11">
        <v>91.0</v>
      </c>
      <c r="D438" s="11">
        <v>5.181000233</v>
      </c>
      <c r="E438" s="11">
        <v>0.730573118</v>
      </c>
      <c r="F438" s="11">
        <v>1.143944979</v>
      </c>
      <c r="G438" s="11">
        <v>0.58256948</v>
      </c>
      <c r="H438" s="11">
        <v>0.34807986</v>
      </c>
      <c r="I438" s="11">
        <v>0.236188874</v>
      </c>
      <c r="J438" s="11">
        <v>0.073345453</v>
      </c>
      <c r="K438" s="11">
        <v>5.5295033454895</v>
      </c>
      <c r="L438" s="11">
        <v>1.58176255226135</v>
      </c>
      <c r="M438" s="11">
        <v>4.51287116095321</v>
      </c>
      <c r="N438" s="11">
        <v>3.934</v>
      </c>
      <c r="O438" s="11">
        <v>3.96204090118408</v>
      </c>
      <c r="P438" s="12"/>
      <c r="Q438" s="13" t="s">
        <v>43</v>
      </c>
      <c r="S438" s="14">
        <v>0.873</v>
      </c>
      <c r="T438" s="14">
        <v>0.47</v>
      </c>
      <c r="U438" s="14">
        <v>0.10339</v>
      </c>
    </row>
    <row r="439">
      <c r="A439" s="15" t="s">
        <v>83</v>
      </c>
      <c r="B439" s="16">
        <v>2018.0</v>
      </c>
      <c r="C439" s="16">
        <v>72.0</v>
      </c>
      <c r="D439" s="16">
        <v>5.504</v>
      </c>
      <c r="E439" s="16">
        <v>0.62</v>
      </c>
      <c r="F439" s="16">
        <v>1.205</v>
      </c>
      <c r="G439" s="16">
        <v>0.622</v>
      </c>
      <c r="H439" s="16">
        <v>0.459</v>
      </c>
      <c r="I439" s="16">
        <v>0.197</v>
      </c>
      <c r="J439" s="16">
        <v>0.074</v>
      </c>
      <c r="K439" s="16">
        <v>4.37479448318481</v>
      </c>
      <c r="L439" s="16">
        <v>3.52403998374938</v>
      </c>
      <c r="M439" s="16">
        <v>1.90789373409136</v>
      </c>
      <c r="N439" s="16">
        <v>4.34</v>
      </c>
      <c r="O439" s="16">
        <v>3.84896659851074</v>
      </c>
      <c r="P439" s="12"/>
      <c r="Q439" s="17" t="s">
        <v>43</v>
      </c>
      <c r="S439" s="14">
        <v>0.873</v>
      </c>
      <c r="T439" s="14">
        <v>0.47</v>
      </c>
      <c r="U439" s="14">
        <v>0.10398</v>
      </c>
    </row>
    <row r="440">
      <c r="A440" s="10" t="s">
        <v>83</v>
      </c>
      <c r="B440" s="11">
        <v>2019.0</v>
      </c>
      <c r="C440" s="11">
        <v>59.0</v>
      </c>
      <c r="D440" s="11">
        <v>5.86</v>
      </c>
      <c r="E440" s="11">
        <v>0.642</v>
      </c>
      <c r="F440" s="11">
        <v>1.236</v>
      </c>
      <c r="G440" s="11">
        <v>0.828</v>
      </c>
      <c r="H440" s="11">
        <v>0.507</v>
      </c>
      <c r="I440" s="11">
        <v>0.246</v>
      </c>
      <c r="J440" s="11">
        <v>0.078</v>
      </c>
      <c r="K440" s="11">
        <v>6.55435419082641</v>
      </c>
      <c r="L440" s="11">
        <v>2.16788959503173</v>
      </c>
      <c r="M440" s="11">
        <v>4.33999020352001</v>
      </c>
      <c r="N440" s="11">
        <v>4.36499977111816</v>
      </c>
      <c r="O440" s="11">
        <v>4.04016685485839</v>
      </c>
      <c r="P440" s="12"/>
      <c r="Q440" s="13" t="s">
        <v>43</v>
      </c>
      <c r="S440" s="14">
        <v>0.873664737</v>
      </c>
      <c r="T440" s="14">
        <v>0.470222116</v>
      </c>
      <c r="U440" s="14">
        <v>0.104</v>
      </c>
    </row>
    <row r="441">
      <c r="A441" s="15" t="s">
        <v>83</v>
      </c>
      <c r="B441" s="16">
        <v>2020.0</v>
      </c>
      <c r="C441" s="16">
        <v>56.0</v>
      </c>
      <c r="D441" s="16">
        <v>5.953199863</v>
      </c>
      <c r="E441" s="16">
        <v>0.598763585</v>
      </c>
      <c r="F441" s="16">
        <v>0.821870148</v>
      </c>
      <c r="G441" s="16">
        <v>67.19876862</v>
      </c>
      <c r="H441" s="16">
        <v>0.870603263</v>
      </c>
      <c r="I441" s="16">
        <v>0.086969115</v>
      </c>
      <c r="J441" s="16">
        <v>0.801131904</v>
      </c>
      <c r="K441" s="16">
        <v>0.408084779078704</v>
      </c>
      <c r="L441" s="16">
        <v>4.68484592437744</v>
      </c>
      <c r="M441" s="16">
        <v>4.25945171116286</v>
      </c>
      <c r="N441" s="16">
        <v>3.46841177951205</v>
      </c>
      <c r="O441" s="16">
        <v>3.97603344917297</v>
      </c>
      <c r="P441" s="12"/>
      <c r="Q441" s="17" t="s">
        <v>43</v>
      </c>
      <c r="S441" s="14">
        <v>0.874</v>
      </c>
      <c r="T441" s="14">
        <v>0.471</v>
      </c>
      <c r="U441" s="14">
        <v>0.10441</v>
      </c>
    </row>
    <row r="442">
      <c r="A442" s="10" t="s">
        <v>83</v>
      </c>
      <c r="B442" s="11">
        <v>2021.0</v>
      </c>
      <c r="C442" s="11">
        <v>59.0</v>
      </c>
      <c r="D442" s="11">
        <v>5.919</v>
      </c>
      <c r="E442" s="11">
        <v>8.648</v>
      </c>
      <c r="F442" s="11">
        <v>0.812</v>
      </c>
      <c r="G442" s="11">
        <v>67.3</v>
      </c>
      <c r="H442" s="11">
        <v>0.857</v>
      </c>
      <c r="I442" s="11">
        <v>0.081</v>
      </c>
      <c r="J442" s="11">
        <v>0.809</v>
      </c>
      <c r="K442" s="11">
        <v>3.3</v>
      </c>
      <c r="L442" s="11">
        <v>2.9</v>
      </c>
      <c r="M442" s="11">
        <v>3.80092357279182</v>
      </c>
      <c r="N442" s="11">
        <v>4.48087963413448</v>
      </c>
      <c r="O442" s="11">
        <v>4.59071729957804</v>
      </c>
      <c r="P442" s="12"/>
      <c r="Q442" s="13" t="s">
        <v>43</v>
      </c>
      <c r="S442" s="14">
        <v>0.874067068</v>
      </c>
      <c r="T442" s="14">
        <v>0.471566707</v>
      </c>
      <c r="U442" s="14">
        <v>0.10464</v>
      </c>
    </row>
    <row r="443">
      <c r="A443" s="15" t="s">
        <v>83</v>
      </c>
      <c r="B443" s="16">
        <v>2022.0</v>
      </c>
      <c r="C443" s="16">
        <v>55.0</v>
      </c>
      <c r="D443" s="16">
        <v>6.022</v>
      </c>
      <c r="E443" s="16">
        <v>1.111</v>
      </c>
      <c r="F443" s="16">
        <v>0.885</v>
      </c>
      <c r="G443" s="16">
        <v>0.555</v>
      </c>
      <c r="H443" s="16">
        <v>0.582</v>
      </c>
      <c r="I443" s="16">
        <v>0.202</v>
      </c>
      <c r="J443" s="16">
        <v>0.076</v>
      </c>
      <c r="K443" s="16">
        <v>4.76838151960794</v>
      </c>
      <c r="L443" s="16">
        <v>12.4688004904313</v>
      </c>
      <c r="M443" s="16">
        <v>9.16059200170722</v>
      </c>
      <c r="N443" s="16">
        <v>9.08963911525029</v>
      </c>
      <c r="O443" s="16">
        <v>8.01751959428309</v>
      </c>
      <c r="P443" s="12"/>
      <c r="Q443" s="17" t="s">
        <v>43</v>
      </c>
      <c r="S443" s="14">
        <v>0.874257445</v>
      </c>
      <c r="T443" s="14">
        <v>0.472</v>
      </c>
      <c r="U443" s="14">
        <v>0.104970247</v>
      </c>
    </row>
    <row r="444">
      <c r="A444" s="10" t="s">
        <v>83</v>
      </c>
      <c r="B444" s="11">
        <v>2023.0</v>
      </c>
      <c r="C444" s="11">
        <v>53.0</v>
      </c>
      <c r="D444" s="11">
        <v>6.023</v>
      </c>
      <c r="E444" s="11">
        <v>8.635</v>
      </c>
      <c r="F444" s="11">
        <v>0.766</v>
      </c>
      <c r="G444" s="11">
        <v>64.063</v>
      </c>
      <c r="H444" s="11">
        <v>0.843</v>
      </c>
      <c r="I444" s="11">
        <v>0.097</v>
      </c>
      <c r="J444" s="11">
        <v>0.843</v>
      </c>
      <c r="K444" s="11">
        <v>2.39863705317935</v>
      </c>
      <c r="L444" s="11">
        <v>10.9286288652257</v>
      </c>
      <c r="M444" s="11">
        <v>6.23921704873853</v>
      </c>
      <c r="N444" s="11">
        <v>6.66325180347457</v>
      </c>
      <c r="O444" s="11">
        <v>6.56237995646421</v>
      </c>
      <c r="P444" s="12"/>
      <c r="Q444" s="13" t="s">
        <v>43</v>
      </c>
      <c r="S444" s="14">
        <v>0.874623716</v>
      </c>
      <c r="T444" s="14">
        <v>0.47216</v>
      </c>
      <c r="U444" s="14">
        <v>0.105</v>
      </c>
    </row>
    <row r="445">
      <c r="A445" s="15" t="s">
        <v>84</v>
      </c>
      <c r="B445" s="16">
        <v>2015.0</v>
      </c>
      <c r="C445" s="16">
        <v>104.0</v>
      </c>
      <c r="D445" s="16">
        <v>4.8</v>
      </c>
      <c r="E445" s="16">
        <v>1.12094</v>
      </c>
      <c r="F445" s="16">
        <v>1.20215</v>
      </c>
      <c r="G445" s="16">
        <v>0.75905</v>
      </c>
      <c r="H445" s="16">
        <v>0.32112</v>
      </c>
      <c r="I445" s="16">
        <v>0.128</v>
      </c>
      <c r="J445" s="16">
        <v>0.02758</v>
      </c>
      <c r="K445" s="16">
        <v>-1.19434142112731</v>
      </c>
      <c r="L445" s="16">
        <v>0.857888340950012</v>
      </c>
      <c r="M445" s="16">
        <v>2.77914816641999</v>
      </c>
      <c r="N445" s="16">
        <v>-0.0616456307470798</v>
      </c>
      <c r="O445" s="16">
        <v>1.21437108516693</v>
      </c>
      <c r="P445" s="16">
        <v>-0.949157416820526</v>
      </c>
      <c r="Q445" s="17" t="s">
        <v>26</v>
      </c>
      <c r="S445" s="14">
        <v>0.875</v>
      </c>
      <c r="T445" s="14">
        <v>0.472787708</v>
      </c>
      <c r="U445" s="14">
        <v>0.105</v>
      </c>
    </row>
    <row r="446">
      <c r="A446" s="10" t="s">
        <v>84</v>
      </c>
      <c r="B446" s="11">
        <v>2016.0</v>
      </c>
      <c r="C446" s="11">
        <v>91.0</v>
      </c>
      <c r="D446" s="11">
        <v>5.145</v>
      </c>
      <c r="E446" s="11">
        <v>1.24142</v>
      </c>
      <c r="F446" s="11">
        <v>0.93164</v>
      </c>
      <c r="G446" s="11">
        <v>0.67608</v>
      </c>
      <c r="H446" s="11">
        <v>0.1977</v>
      </c>
      <c r="I446" s="11">
        <v>0.099</v>
      </c>
      <c r="J446" s="11">
        <v>0.04472</v>
      </c>
      <c r="K446" s="11">
        <v>0.551834106445312</v>
      </c>
      <c r="L446" s="11">
        <v>0.647339284420013</v>
      </c>
      <c r="M446" s="11">
        <v>1.352</v>
      </c>
      <c r="N446" s="11">
        <v>0.394767761230468</v>
      </c>
      <c r="O446" s="11">
        <v>1.39251518249511</v>
      </c>
      <c r="P446" s="11">
        <v>-1.69985854625701</v>
      </c>
      <c r="Q446" s="13" t="s">
        <v>26</v>
      </c>
      <c r="S446" s="14">
        <v>0.875</v>
      </c>
      <c r="T446" s="14">
        <v>0.473</v>
      </c>
      <c r="U446" s="14">
        <v>0.105</v>
      </c>
    </row>
    <row r="447">
      <c r="A447" s="15" t="s">
        <v>84</v>
      </c>
      <c r="B447" s="16">
        <v>2017.0</v>
      </c>
      <c r="C447" s="16">
        <v>75.0</v>
      </c>
      <c r="D447" s="16">
        <v>5.323999882</v>
      </c>
      <c r="E447" s="16">
        <v>1.286011934</v>
      </c>
      <c r="F447" s="16">
        <v>1.343133092</v>
      </c>
      <c r="G447" s="16">
        <v>0.687763453</v>
      </c>
      <c r="H447" s="16">
        <v>0.175863519</v>
      </c>
      <c r="I447" s="16">
        <v>0.078401662</v>
      </c>
      <c r="J447" s="16">
        <v>0.036636937</v>
      </c>
      <c r="K447" s="16">
        <v>1.11655724048614</v>
      </c>
      <c r="L447" s="16">
        <v>2.7421383857727</v>
      </c>
      <c r="M447" s="16">
        <v>3.98808114294735</v>
      </c>
      <c r="N447" s="16">
        <v>2.408</v>
      </c>
      <c r="O447" s="16">
        <v>2.32168412208557</v>
      </c>
      <c r="P447" s="16">
        <v>3.28897142410278</v>
      </c>
      <c r="Q447" s="17" t="s">
        <v>26</v>
      </c>
      <c r="S447" s="14">
        <v>0.87625</v>
      </c>
      <c r="T447" s="14">
        <v>0.473</v>
      </c>
      <c r="U447" s="14">
        <v>0.10501</v>
      </c>
    </row>
    <row r="448">
      <c r="A448" s="10" t="s">
        <v>84</v>
      </c>
      <c r="B448" s="11">
        <v>2018.0</v>
      </c>
      <c r="C448" s="11">
        <v>69.0</v>
      </c>
      <c r="D448" s="11">
        <v>5.62</v>
      </c>
      <c r="E448" s="11">
        <v>1.171</v>
      </c>
      <c r="F448" s="11">
        <v>1.401</v>
      </c>
      <c r="G448" s="11">
        <v>0.732</v>
      </c>
      <c r="H448" s="11">
        <v>0.259</v>
      </c>
      <c r="I448" s="11">
        <v>0.061</v>
      </c>
      <c r="J448" s="11">
        <v>0.022</v>
      </c>
      <c r="K448" s="11">
        <v>1.82917177677154</v>
      </c>
      <c r="L448" s="11">
        <v>4.15185976028442</v>
      </c>
      <c r="M448" s="11">
        <v>4.81905990853368</v>
      </c>
      <c r="N448" s="11">
        <v>2.85</v>
      </c>
      <c r="O448" s="11">
        <v>2.47872805595397</v>
      </c>
      <c r="P448" s="11">
        <v>5.514976978302</v>
      </c>
      <c r="Q448" s="13" t="s">
        <v>26</v>
      </c>
      <c r="S448" s="14">
        <v>0.876342118</v>
      </c>
      <c r="T448" s="14">
        <v>0.473507792</v>
      </c>
      <c r="U448" s="14">
        <v>0.10547</v>
      </c>
    </row>
    <row r="449">
      <c r="A449" s="15" t="s">
        <v>84</v>
      </c>
      <c r="B449" s="16">
        <v>2019.0</v>
      </c>
      <c r="C449" s="16">
        <v>62.0</v>
      </c>
      <c r="D449" s="16">
        <v>5.758</v>
      </c>
      <c r="E449" s="16">
        <v>1.201</v>
      </c>
      <c r="F449" s="16">
        <v>1.41</v>
      </c>
      <c r="G449" s="16">
        <v>0.828</v>
      </c>
      <c r="H449" s="16">
        <v>0.199</v>
      </c>
      <c r="I449" s="16">
        <v>0.081</v>
      </c>
      <c r="J449" s="16">
        <v>0.02</v>
      </c>
      <c r="K449" s="16">
        <v>0.538266479969024</v>
      </c>
      <c r="L449" s="16">
        <v>5.10906076431274</v>
      </c>
      <c r="M449" s="16">
        <v>4.81475111565722</v>
      </c>
      <c r="N449" s="16">
        <v>3.37100005149841</v>
      </c>
      <c r="O449" s="16">
        <v>3.78116035461425</v>
      </c>
      <c r="P449" s="16">
        <v>2.13113617897033</v>
      </c>
      <c r="Q449" s="17" t="s">
        <v>26</v>
      </c>
      <c r="S449" s="14">
        <v>0.877</v>
      </c>
      <c r="T449" s="14">
        <v>0.47375</v>
      </c>
      <c r="U449" s="14">
        <v>0.10583</v>
      </c>
    </row>
    <row r="450">
      <c r="A450" s="10" t="s">
        <v>84</v>
      </c>
      <c r="B450" s="11">
        <v>2020.0</v>
      </c>
      <c r="C450" s="11">
        <v>53.0</v>
      </c>
      <c r="D450" s="11">
        <v>6.000400066</v>
      </c>
      <c r="E450" s="11">
        <v>1.164307117</v>
      </c>
      <c r="F450" s="11">
        <v>0.921934128</v>
      </c>
      <c r="G450" s="11">
        <v>67.60997009</v>
      </c>
      <c r="H450" s="11">
        <v>0.718964577</v>
      </c>
      <c r="I450" s="11">
        <v>-0.194323018</v>
      </c>
      <c r="J450" s="11">
        <v>0.892916501</v>
      </c>
      <c r="K450" s="11">
        <v>1.4650195542864</v>
      </c>
      <c r="L450" s="11">
        <v>7.25049400329589</v>
      </c>
      <c r="M450" s="11">
        <v>5.42265441481276</v>
      </c>
      <c r="N450" s="11">
        <v>3.32674385766661</v>
      </c>
      <c r="O450" s="11">
        <v>3.048097</v>
      </c>
      <c r="P450" s="11">
        <v>4.22760486602783</v>
      </c>
      <c r="Q450" s="13" t="s">
        <v>26</v>
      </c>
      <c r="S450" s="14">
        <v>0.877</v>
      </c>
      <c r="T450" s="14">
        <v>0.474</v>
      </c>
      <c r="U450" s="14">
        <v>0.106</v>
      </c>
    </row>
    <row r="451">
      <c r="A451" s="15" t="s">
        <v>84</v>
      </c>
      <c r="B451" s="16">
        <v>2021.0</v>
      </c>
      <c r="C451" s="16">
        <v>53.0</v>
      </c>
      <c r="D451" s="16">
        <v>5.992</v>
      </c>
      <c r="E451" s="16">
        <v>10.358</v>
      </c>
      <c r="F451" s="16">
        <v>0.943</v>
      </c>
      <c r="G451" s="16">
        <v>68.0</v>
      </c>
      <c r="H451" s="16">
        <v>0.755</v>
      </c>
      <c r="I451" s="16">
        <v>-0.186</v>
      </c>
      <c r="J451" s="16">
        <v>0.876</v>
      </c>
      <c r="K451" s="16">
        <v>11.24052</v>
      </c>
      <c r="L451" s="16">
        <v>3.449</v>
      </c>
      <c r="M451" s="16">
        <v>6.30272339430066</v>
      </c>
      <c r="N451" s="16">
        <v>5.110965</v>
      </c>
      <c r="O451" s="16">
        <v>4.548</v>
      </c>
      <c r="P451" s="16">
        <v>13.4955428905445</v>
      </c>
      <c r="Q451" s="17" t="s">
        <v>26</v>
      </c>
      <c r="S451" s="14">
        <v>0.87717</v>
      </c>
      <c r="T451" s="14">
        <v>0.474307239</v>
      </c>
      <c r="U451" s="14">
        <v>0.106</v>
      </c>
    </row>
    <row r="452">
      <c r="A452" s="10" t="s">
        <v>84</v>
      </c>
      <c r="B452" s="11">
        <v>2022.0</v>
      </c>
      <c r="C452" s="11">
        <v>51.0</v>
      </c>
      <c r="D452" s="11">
        <v>6.086</v>
      </c>
      <c r="E452" s="11">
        <v>1.748</v>
      </c>
      <c r="F452" s="11">
        <v>1.233</v>
      </c>
      <c r="G452" s="11">
        <v>0.668</v>
      </c>
      <c r="H452" s="11">
        <v>0.485</v>
      </c>
      <c r="I452" s="11">
        <v>0.078</v>
      </c>
      <c r="J452" s="11">
        <v>0.064</v>
      </c>
      <c r="K452" s="11">
        <v>15.1025274516837</v>
      </c>
      <c r="L452" s="11">
        <v>27.75872</v>
      </c>
      <c r="M452" s="11">
        <v>13.1654446578383</v>
      </c>
      <c r="N452" s="11">
        <v>14.60814</v>
      </c>
      <c r="O452" s="11">
        <v>10.245062645997</v>
      </c>
      <c r="P452" s="11">
        <v>33.4449237108091</v>
      </c>
      <c r="Q452" s="13" t="s">
        <v>26</v>
      </c>
      <c r="S452" s="14">
        <v>0.87758</v>
      </c>
      <c r="T452" s="14">
        <v>0.476</v>
      </c>
      <c r="U452" s="14">
        <v>0.106</v>
      </c>
    </row>
    <row r="453">
      <c r="A453" s="15" t="s">
        <v>84</v>
      </c>
      <c r="B453" s="16">
        <v>2023.0</v>
      </c>
      <c r="C453" s="16">
        <v>51.0</v>
      </c>
      <c r="D453" s="16">
        <v>6.041</v>
      </c>
      <c r="E453" s="16">
        <v>10.419</v>
      </c>
      <c r="F453" s="16">
        <v>0.943</v>
      </c>
      <c r="G453" s="16">
        <v>67.5</v>
      </c>
      <c r="H453" s="16">
        <v>0.758</v>
      </c>
      <c r="I453" s="16">
        <v>-0.059</v>
      </c>
      <c r="J453" s="16">
        <v>0.839</v>
      </c>
      <c r="K453" s="16">
        <v>23.5305733174606</v>
      </c>
      <c r="L453" s="16">
        <v>23.7462906802832</v>
      </c>
      <c r="M453" s="16">
        <v>14.439753026177</v>
      </c>
      <c r="N453" s="16">
        <v>17.1249659678737</v>
      </c>
      <c r="O453" s="16">
        <v>13.7578819874627</v>
      </c>
      <c r="P453" s="16">
        <v>5.79409494403727</v>
      </c>
      <c r="Q453" s="17" t="s">
        <v>26</v>
      </c>
      <c r="S453" s="14">
        <v>0.878</v>
      </c>
      <c r="T453" s="14">
        <v>0.4761</v>
      </c>
      <c r="U453" s="14">
        <v>0.106</v>
      </c>
    </row>
    <row r="454">
      <c r="A454" s="10" t="s">
        <v>85</v>
      </c>
      <c r="B454" s="11">
        <v>2015.0</v>
      </c>
      <c r="C454" s="11">
        <v>2.0</v>
      </c>
      <c r="D454" s="11">
        <v>7.561</v>
      </c>
      <c r="E454" s="11">
        <v>1.30232</v>
      </c>
      <c r="F454" s="11">
        <v>1.40223</v>
      </c>
      <c r="G454" s="11">
        <v>0.94784</v>
      </c>
      <c r="H454" s="11">
        <v>0.62877</v>
      </c>
      <c r="I454" s="11">
        <v>0.4363</v>
      </c>
      <c r="J454" s="11">
        <v>0.14145</v>
      </c>
      <c r="K454" s="11">
        <v>6.00916957855224</v>
      </c>
      <c r="L454" s="11">
        <v>2.83939957618713</v>
      </c>
      <c r="M454" s="11">
        <v>6.05466057205884</v>
      </c>
      <c r="N454" s="11">
        <v>1.63305950164794</v>
      </c>
      <c r="O454" s="11">
        <v>2.094059</v>
      </c>
      <c r="P454" s="11">
        <v>5.10122776031494</v>
      </c>
      <c r="Q454" s="13" t="s">
        <v>26</v>
      </c>
      <c r="S454" s="14">
        <v>0.878</v>
      </c>
      <c r="T454" s="14">
        <v>0.47692</v>
      </c>
      <c r="U454" s="14">
        <v>0.10613</v>
      </c>
    </row>
    <row r="455">
      <c r="A455" s="15" t="s">
        <v>85</v>
      </c>
      <c r="B455" s="16">
        <v>2016.0</v>
      </c>
      <c r="C455" s="16">
        <v>3.0</v>
      </c>
      <c r="D455" s="16">
        <v>7.501</v>
      </c>
      <c r="E455" s="16">
        <v>1.42666</v>
      </c>
      <c r="F455" s="16">
        <v>1.18326</v>
      </c>
      <c r="G455" s="16">
        <v>0.86733</v>
      </c>
      <c r="H455" s="16">
        <v>0.56624</v>
      </c>
      <c r="I455" s="16">
        <v>0.47678</v>
      </c>
      <c r="J455" s="16">
        <v>0.14975</v>
      </c>
      <c r="K455" s="16">
        <v>6.64342975616455</v>
      </c>
      <c r="L455" s="16">
        <v>1.3198879957199</v>
      </c>
      <c r="M455" s="16">
        <v>2.26099999999999</v>
      </c>
      <c r="N455" s="16">
        <v>1.69692993164062</v>
      </c>
      <c r="O455" s="16">
        <v>2.162393</v>
      </c>
      <c r="P455" s="16">
        <v>-8.08976650238037</v>
      </c>
      <c r="Q455" s="17" t="s">
        <v>26</v>
      </c>
      <c r="S455" s="14">
        <v>0.878</v>
      </c>
      <c r="T455" s="14">
        <v>0.477</v>
      </c>
      <c r="U455" s="14">
        <v>0.107</v>
      </c>
    </row>
    <row r="456">
      <c r="A456" s="10" t="s">
        <v>85</v>
      </c>
      <c r="B456" s="11">
        <v>2017.0</v>
      </c>
      <c r="C456" s="11">
        <v>3.0</v>
      </c>
      <c r="D456" s="11">
        <v>7.504000187</v>
      </c>
      <c r="E456" s="11">
        <v>1.48063302</v>
      </c>
      <c r="F456" s="11">
        <v>1.610574007</v>
      </c>
      <c r="G456" s="11">
        <v>0.833552122</v>
      </c>
      <c r="H456" s="11">
        <v>0.627162635</v>
      </c>
      <c r="I456" s="11">
        <v>0.475540221</v>
      </c>
      <c r="J456" s="11">
        <v>0.153526559</v>
      </c>
      <c r="K456" s="11">
        <v>11.9247045516967</v>
      </c>
      <c r="L456" s="11">
        <v>-2.41918492317199</v>
      </c>
      <c r="M456" s="11">
        <v>0.936818532969556</v>
      </c>
      <c r="N456" s="11">
        <v>1.761</v>
      </c>
      <c r="O456" s="11">
        <v>2.426254</v>
      </c>
      <c r="P456" s="11">
        <v>-4.5718560218811</v>
      </c>
      <c r="Q456" s="13" t="s">
        <v>26</v>
      </c>
      <c r="S456" s="14">
        <v>0.87877</v>
      </c>
      <c r="T456" s="14">
        <v>0.477487415</v>
      </c>
      <c r="U456" s="14">
        <v>0.107</v>
      </c>
    </row>
    <row r="457">
      <c r="A457" s="15" t="s">
        <v>85</v>
      </c>
      <c r="B457" s="16">
        <v>2018.0</v>
      </c>
      <c r="C457" s="16">
        <v>4.0</v>
      </c>
      <c r="D457" s="16">
        <v>7.495</v>
      </c>
      <c r="E457" s="16">
        <v>1.343</v>
      </c>
      <c r="F457" s="16">
        <v>1.644</v>
      </c>
      <c r="G457" s="16">
        <v>0.914</v>
      </c>
      <c r="H457" s="16">
        <v>0.677</v>
      </c>
      <c r="I457" s="16">
        <v>0.353</v>
      </c>
      <c r="J457" s="16">
        <v>0.138</v>
      </c>
      <c r="K457" s="16">
        <v>6.47660827636718</v>
      </c>
      <c r="L457" s="16">
        <v>2.48835158348083</v>
      </c>
      <c r="M457" s="16">
        <v>2.65939410379872</v>
      </c>
      <c r="N457" s="16">
        <v>2.68</v>
      </c>
      <c r="O457" s="16">
        <v>2.526667</v>
      </c>
      <c r="P457" s="16">
        <v>6.78178071975708</v>
      </c>
      <c r="Q457" s="17" t="s">
        <v>26</v>
      </c>
      <c r="S457" s="14">
        <v>0.878879368</v>
      </c>
      <c r="T457" s="14">
        <v>0.478356659</v>
      </c>
      <c r="U457" s="14">
        <v>0.10713</v>
      </c>
    </row>
    <row r="458">
      <c r="A458" s="10" t="s">
        <v>85</v>
      </c>
      <c r="B458" s="11">
        <v>2019.0</v>
      </c>
      <c r="C458" s="11">
        <v>4.0</v>
      </c>
      <c r="D458" s="11">
        <v>7.494</v>
      </c>
      <c r="E458" s="11">
        <v>1.38</v>
      </c>
      <c r="F458" s="11">
        <v>1.624</v>
      </c>
      <c r="G458" s="11">
        <v>1.026</v>
      </c>
      <c r="H458" s="11">
        <v>0.591</v>
      </c>
      <c r="I458" s="11">
        <v>0.354</v>
      </c>
      <c r="J458" s="11">
        <v>0.118</v>
      </c>
      <c r="K458" s="11">
        <v>2.7553539276123</v>
      </c>
      <c r="L458" s="11">
        <v>3.79931688308715</v>
      </c>
      <c r="M458" s="11">
        <v>4.53455890679854</v>
      </c>
      <c r="N458" s="11">
        <v>3.01300001144409</v>
      </c>
      <c r="O458" s="11">
        <v>2.932516</v>
      </c>
      <c r="P458" s="11">
        <v>4.91755737840749</v>
      </c>
      <c r="Q458" s="13" t="s">
        <v>26</v>
      </c>
      <c r="S458" s="14">
        <v>0.879</v>
      </c>
      <c r="T458" s="14">
        <v>0.479</v>
      </c>
      <c r="U458" s="14">
        <v>0.107215755</v>
      </c>
    </row>
    <row r="459">
      <c r="A459" s="15" t="s">
        <v>85</v>
      </c>
      <c r="B459" s="16">
        <v>2020.0</v>
      </c>
      <c r="C459" s="16">
        <v>4.0</v>
      </c>
      <c r="D459" s="16">
        <v>7.504499912</v>
      </c>
      <c r="E459" s="16">
        <v>1.326501608</v>
      </c>
      <c r="F459" s="16">
        <v>0.974669576</v>
      </c>
      <c r="G459" s="16">
        <v>73.0</v>
      </c>
      <c r="H459" s="16">
        <v>0.948891878</v>
      </c>
      <c r="I459" s="16">
        <v>0.246944219</v>
      </c>
      <c r="J459" s="16">
        <v>0.711709738</v>
      </c>
      <c r="K459" s="16">
        <v>2.39929605755024</v>
      </c>
      <c r="L459" s="16">
        <v>4.90285669628419</v>
      </c>
      <c r="M459" s="16">
        <v>3.44590995675684</v>
      </c>
      <c r="N459" s="16">
        <v>2.84792401518624</v>
      </c>
      <c r="O459" s="16">
        <v>2.887117</v>
      </c>
      <c r="P459" s="16">
        <v>23.1096248626709</v>
      </c>
      <c r="Q459" s="17" t="s">
        <v>26</v>
      </c>
      <c r="S459" s="14">
        <v>0.879</v>
      </c>
      <c r="T459" s="14">
        <v>0.479</v>
      </c>
      <c r="U459" s="14">
        <v>0.10731</v>
      </c>
    </row>
    <row r="460">
      <c r="A460" s="10" t="s">
        <v>85</v>
      </c>
      <c r="B460" s="11">
        <v>2021.0</v>
      </c>
      <c r="C460" s="11">
        <v>4.0</v>
      </c>
      <c r="D460" s="11">
        <v>7.554</v>
      </c>
      <c r="E460" s="11">
        <v>10.878</v>
      </c>
      <c r="F460" s="11">
        <v>0.983</v>
      </c>
      <c r="G460" s="11">
        <v>73.0</v>
      </c>
      <c r="H460" s="11">
        <v>0.955</v>
      </c>
      <c r="I460" s="11">
        <v>0.16</v>
      </c>
      <c r="J460" s="11">
        <v>0.673</v>
      </c>
      <c r="K460" s="11">
        <v>7.378532</v>
      </c>
      <c r="L460" s="11">
        <v>3.512</v>
      </c>
      <c r="M460" s="11">
        <v>5.99662119559467</v>
      </c>
      <c r="N460" s="11">
        <v>4.444243</v>
      </c>
      <c r="O460" s="11">
        <v>4.377</v>
      </c>
      <c r="P460" s="11">
        <v>11.4577811435062</v>
      </c>
      <c r="Q460" s="13" t="s">
        <v>26</v>
      </c>
      <c r="S460" s="14">
        <v>0.879</v>
      </c>
      <c r="T460" s="14">
        <v>0.479</v>
      </c>
      <c r="U460" s="14">
        <v>0.10769</v>
      </c>
    </row>
    <row r="461">
      <c r="A461" s="15" t="s">
        <v>85</v>
      </c>
      <c r="B461" s="16">
        <v>2022.0</v>
      </c>
      <c r="C461" s="16">
        <v>3.0</v>
      </c>
      <c r="D461" s="16">
        <v>7.557</v>
      </c>
      <c r="E461" s="16">
        <v>1.936</v>
      </c>
      <c r="F461" s="16">
        <v>1.32</v>
      </c>
      <c r="G461" s="16">
        <v>0.803</v>
      </c>
      <c r="H461" s="16">
        <v>0.718</v>
      </c>
      <c r="I461" s="16">
        <v>0.27</v>
      </c>
      <c r="J461" s="16">
        <v>0.191</v>
      </c>
      <c r="K461" s="16">
        <v>17.398059762213</v>
      </c>
      <c r="L461" s="16">
        <v>7.233001</v>
      </c>
      <c r="M461" s="16">
        <v>8.29422663189645</v>
      </c>
      <c r="N461" s="16">
        <v>8.308754</v>
      </c>
      <c r="O461" s="16">
        <v>7.7881534569983</v>
      </c>
      <c r="P461" s="16">
        <v>17.2747655931512</v>
      </c>
      <c r="Q461" s="17" t="s">
        <v>26</v>
      </c>
      <c r="S461" s="14">
        <v>0.87964</v>
      </c>
      <c r="T461" s="14">
        <v>0.47913143</v>
      </c>
      <c r="U461" s="14">
        <v>0.10771</v>
      </c>
    </row>
    <row r="462">
      <c r="A462" s="10" t="s">
        <v>85</v>
      </c>
      <c r="B462" s="11">
        <v>2023.0</v>
      </c>
      <c r="C462" s="11">
        <v>3.0</v>
      </c>
      <c r="D462" s="11">
        <v>7.53</v>
      </c>
      <c r="E462" s="11">
        <v>10.896</v>
      </c>
      <c r="F462" s="11">
        <v>0.983</v>
      </c>
      <c r="G462" s="11">
        <v>72.05</v>
      </c>
      <c r="H462" s="11">
        <v>0.936</v>
      </c>
      <c r="I462" s="11">
        <v>0.211</v>
      </c>
      <c r="J462" s="11">
        <v>0.668</v>
      </c>
      <c r="K462" s="11">
        <v>5.65477189441792</v>
      </c>
      <c r="L462" s="11">
        <v>11.8359249023313</v>
      </c>
      <c r="M462" s="11">
        <v>5.97010994269409</v>
      </c>
      <c r="N462" s="11">
        <v>8.73630299937298</v>
      </c>
      <c r="O462" s="11">
        <v>8.42459581152159</v>
      </c>
      <c r="P462" s="12"/>
      <c r="Q462" s="13" t="s">
        <v>26</v>
      </c>
      <c r="S462" s="14">
        <v>0.879713595</v>
      </c>
      <c r="T462" s="14">
        <v>0.479246736</v>
      </c>
      <c r="U462" s="14">
        <v>0.108</v>
      </c>
    </row>
    <row r="463">
      <c r="A463" s="15" t="s">
        <v>86</v>
      </c>
      <c r="B463" s="16">
        <v>2015.0</v>
      </c>
      <c r="C463" s="16">
        <v>117.0</v>
      </c>
      <c r="D463" s="16">
        <v>4.565</v>
      </c>
      <c r="E463" s="16">
        <v>0.64499</v>
      </c>
      <c r="F463" s="16">
        <v>0.38174</v>
      </c>
      <c r="G463" s="16">
        <v>0.51529</v>
      </c>
      <c r="H463" s="16">
        <v>0.39786</v>
      </c>
      <c r="I463" s="16">
        <v>0.26475</v>
      </c>
      <c r="J463" s="16">
        <v>0.08492</v>
      </c>
      <c r="K463" s="16">
        <v>4.78854990005493</v>
      </c>
      <c r="L463" s="16">
        <v>5.25664806365966</v>
      </c>
      <c r="M463" s="16">
        <v>2.27982774634804</v>
      </c>
      <c r="N463" s="16">
        <v>5.8724250793457</v>
      </c>
      <c r="O463" s="16">
        <v>5.23903083801269</v>
      </c>
      <c r="P463" s="16">
        <v>-3.89054250717163</v>
      </c>
      <c r="Q463" s="17" t="s">
        <v>24</v>
      </c>
      <c r="S463" s="14">
        <v>0.88</v>
      </c>
      <c r="T463" s="14">
        <v>0.48</v>
      </c>
      <c r="U463" s="14">
        <v>0.109</v>
      </c>
    </row>
    <row r="464">
      <c r="A464" s="10" t="s">
        <v>86</v>
      </c>
      <c r="B464" s="11">
        <v>2016.0</v>
      </c>
      <c r="C464" s="11">
        <v>118.0</v>
      </c>
      <c r="D464" s="11">
        <v>4.404</v>
      </c>
      <c r="E464" s="11">
        <v>0.74036</v>
      </c>
      <c r="F464" s="11">
        <v>0.29247</v>
      </c>
      <c r="G464" s="11">
        <v>0.45091</v>
      </c>
      <c r="H464" s="11">
        <v>0.40285</v>
      </c>
      <c r="I464" s="11">
        <v>0.25028</v>
      </c>
      <c r="J464" s="11">
        <v>0.08722</v>
      </c>
      <c r="K464" s="11">
        <v>5.24928379058837</v>
      </c>
      <c r="L464" s="11">
        <v>5.34011602401733</v>
      </c>
      <c r="M464" s="11">
        <v>3.23784363906547</v>
      </c>
      <c r="N464" s="11">
        <v>4.94102478027343</v>
      </c>
      <c r="O464" s="11">
        <v>5.00587701797485</v>
      </c>
      <c r="P464" s="11">
        <v>-0.052867017686367</v>
      </c>
      <c r="Q464" s="13" t="s">
        <v>24</v>
      </c>
      <c r="S464" s="14">
        <v>0.88</v>
      </c>
      <c r="T464" s="14">
        <v>0.480791092</v>
      </c>
      <c r="U464" s="14">
        <v>0.109784193</v>
      </c>
    </row>
    <row r="465">
      <c r="A465" s="15" t="s">
        <v>86</v>
      </c>
      <c r="B465" s="16">
        <v>2017.0</v>
      </c>
      <c r="C465" s="16">
        <v>122.0</v>
      </c>
      <c r="D465" s="16">
        <v>4.315000057</v>
      </c>
      <c r="E465" s="16">
        <v>0.792221248</v>
      </c>
      <c r="F465" s="16">
        <v>0.754372597</v>
      </c>
      <c r="G465" s="16">
        <v>0.455427617</v>
      </c>
      <c r="H465" s="16">
        <v>0.469987005</v>
      </c>
      <c r="I465" s="16">
        <v>0.231538489</v>
      </c>
      <c r="J465" s="16">
        <v>0.092226885</v>
      </c>
      <c r="K465" s="16">
        <v>5.69245338439941</v>
      </c>
      <c r="L465" s="16">
        <v>1.81582629680633</v>
      </c>
      <c r="M465" s="16">
        <v>3.9695486677542</v>
      </c>
      <c r="N465" s="16">
        <v>3.602</v>
      </c>
      <c r="O465" s="16">
        <v>4.40508317947387</v>
      </c>
      <c r="P465" s="16">
        <v>3.43811154365539</v>
      </c>
      <c r="Q465" s="17" t="s">
        <v>24</v>
      </c>
      <c r="S465" s="14">
        <v>0.88</v>
      </c>
      <c r="T465" s="14">
        <v>0.481</v>
      </c>
      <c r="U465" s="14">
        <v>0.11</v>
      </c>
    </row>
    <row r="466">
      <c r="A466" s="10" t="s">
        <v>86</v>
      </c>
      <c r="B466" s="11">
        <v>2018.0</v>
      </c>
      <c r="C466" s="11">
        <v>133.0</v>
      </c>
      <c r="D466" s="11">
        <v>4.19</v>
      </c>
      <c r="E466" s="11">
        <v>0.721</v>
      </c>
      <c r="F466" s="11">
        <v>0.747</v>
      </c>
      <c r="G466" s="11">
        <v>0.485</v>
      </c>
      <c r="H466" s="11">
        <v>0.539</v>
      </c>
      <c r="I466" s="11">
        <v>0.172</v>
      </c>
      <c r="J466" s="11">
        <v>0.093</v>
      </c>
      <c r="K466" s="11">
        <v>7.55517196655273</v>
      </c>
      <c r="L466" s="11">
        <v>1.66777658462524</v>
      </c>
      <c r="M466" s="11">
        <v>3.737232340635</v>
      </c>
      <c r="N466" s="11">
        <v>4.86</v>
      </c>
      <c r="O466" s="11">
        <v>5.68869829177856</v>
      </c>
      <c r="P466" s="11">
        <v>4.2662010192871</v>
      </c>
      <c r="Q466" s="13" t="s">
        <v>24</v>
      </c>
      <c r="S466" s="14">
        <v>0.88025</v>
      </c>
      <c r="T466" s="14">
        <v>0.48163</v>
      </c>
      <c r="U466" s="14">
        <v>0.11</v>
      </c>
    </row>
    <row r="467">
      <c r="A467" s="15" t="s">
        <v>86</v>
      </c>
      <c r="B467" s="16">
        <v>2019.0</v>
      </c>
      <c r="C467" s="16">
        <v>140.0</v>
      </c>
      <c r="D467" s="16">
        <v>4.015</v>
      </c>
      <c r="E467" s="16">
        <v>0.755</v>
      </c>
      <c r="F467" s="16">
        <v>0.765</v>
      </c>
      <c r="G467" s="16">
        <v>0.588</v>
      </c>
      <c r="H467" s="16">
        <v>0.498</v>
      </c>
      <c r="I467" s="16">
        <v>0.2</v>
      </c>
      <c r="J467" s="16">
        <v>0.085</v>
      </c>
      <c r="K467" s="16">
        <v>4.78701829910278</v>
      </c>
      <c r="L467" s="16">
        <v>3.58019518852233</v>
      </c>
      <c r="M467" s="16">
        <v>3.56552363299351</v>
      </c>
      <c r="N467" s="16">
        <v>4.76200008392334</v>
      </c>
      <c r="O467" s="16">
        <v>4.70223188400268</v>
      </c>
      <c r="P467" s="16">
        <v>1.88467907905578</v>
      </c>
      <c r="Q467" s="17" t="s">
        <v>24</v>
      </c>
      <c r="S467" s="14">
        <v>0.881475747</v>
      </c>
      <c r="T467" s="14">
        <v>0.48181</v>
      </c>
      <c r="U467" s="14">
        <v>0.11023</v>
      </c>
    </row>
    <row r="468">
      <c r="A468" s="10" t="s">
        <v>86</v>
      </c>
      <c r="B468" s="11">
        <v>2020.0</v>
      </c>
      <c r="C468" s="11">
        <v>144.0</v>
      </c>
      <c r="D468" s="11">
        <v>3.573299885</v>
      </c>
      <c r="E468" s="11">
        <v>0.730576158</v>
      </c>
      <c r="F468" s="11">
        <v>0.592200935</v>
      </c>
      <c r="G468" s="11">
        <v>60.21518707</v>
      </c>
      <c r="H468" s="11">
        <v>0.881444871</v>
      </c>
      <c r="I468" s="11">
        <v>0.057551607</v>
      </c>
      <c r="J468" s="11">
        <v>0.772042692</v>
      </c>
      <c r="K468" s="11">
        <v>3.50644326210022</v>
      </c>
      <c r="L468" s="11">
        <v>8.74515914916992</v>
      </c>
      <c r="M468" s="11">
        <v>4.57103175739525</v>
      </c>
      <c r="N468" s="11">
        <v>6.62343677628552</v>
      </c>
      <c r="O468" s="11">
        <v>4.60503816604614</v>
      </c>
      <c r="P468" s="11">
        <v>0.474485158920288</v>
      </c>
      <c r="Q468" s="13" t="s">
        <v>24</v>
      </c>
      <c r="S468" s="14">
        <v>0.882</v>
      </c>
      <c r="T468" s="14">
        <v>0.483</v>
      </c>
      <c r="U468" s="14">
        <v>0.11091</v>
      </c>
    </row>
    <row r="469">
      <c r="A469" s="15" t="s">
        <v>86</v>
      </c>
      <c r="B469" s="16">
        <v>2021.0</v>
      </c>
      <c r="C469" s="16">
        <v>139.0</v>
      </c>
      <c r="D469" s="16">
        <v>3.819</v>
      </c>
      <c r="E469" s="16">
        <v>8.755</v>
      </c>
      <c r="F469" s="16">
        <v>0.603</v>
      </c>
      <c r="G469" s="16">
        <v>60.633</v>
      </c>
      <c r="H469" s="16">
        <v>0.893</v>
      </c>
      <c r="I469" s="16">
        <v>0.089</v>
      </c>
      <c r="J469" s="16">
        <v>0.774</v>
      </c>
      <c r="K469" s="12"/>
      <c r="L469" s="16">
        <v>3.68977310946461</v>
      </c>
      <c r="M469" s="16">
        <v>9.96641666093757</v>
      </c>
      <c r="N469" s="16">
        <v>4.890086</v>
      </c>
      <c r="O469" s="16">
        <v>5.92665896970693</v>
      </c>
      <c r="P469" s="16">
        <v>10.766073871409</v>
      </c>
      <c r="Q469" s="17" t="s">
        <v>24</v>
      </c>
      <c r="S469" s="14">
        <v>0.882</v>
      </c>
      <c r="T469" s="14">
        <v>0.4845</v>
      </c>
      <c r="U469" s="14">
        <v>0.110937618</v>
      </c>
    </row>
    <row r="470">
      <c r="A470" s="10" t="s">
        <v>86</v>
      </c>
      <c r="B470" s="11">
        <v>2022.0</v>
      </c>
      <c r="C470" s="11">
        <v>136.0</v>
      </c>
      <c r="D470" s="11">
        <v>3.777</v>
      </c>
      <c r="E470" s="11">
        <v>1.167</v>
      </c>
      <c r="F470" s="11">
        <v>0.376</v>
      </c>
      <c r="G470" s="11">
        <v>0.471</v>
      </c>
      <c r="H470" s="11">
        <v>0.647</v>
      </c>
      <c r="I470" s="11">
        <v>0.198</v>
      </c>
      <c r="J470" s="11">
        <v>0.123</v>
      </c>
      <c r="K470" s="11">
        <v>5.96666666666666</v>
      </c>
      <c r="L470" s="11">
        <v>6.86233021296609</v>
      </c>
      <c r="M470" s="11">
        <v>8.700877585425</v>
      </c>
      <c r="N470" s="11">
        <v>5.90043</v>
      </c>
      <c r="O470" s="11">
        <v>6.0881299631494</v>
      </c>
      <c r="P470" s="11">
        <v>12.2370352291379</v>
      </c>
      <c r="Q470" s="13" t="s">
        <v>24</v>
      </c>
      <c r="S470" s="14">
        <v>0.882</v>
      </c>
      <c r="T470" s="14">
        <v>0.48453</v>
      </c>
      <c r="U470" s="14">
        <v>0.111092761</v>
      </c>
    </row>
    <row r="471">
      <c r="A471" s="15" t="s">
        <v>86</v>
      </c>
      <c r="B471" s="16">
        <v>2023.0</v>
      </c>
      <c r="C471" s="16">
        <v>126.0</v>
      </c>
      <c r="D471" s="16">
        <v>4.036</v>
      </c>
      <c r="E471" s="16">
        <v>8.759</v>
      </c>
      <c r="F471" s="16">
        <v>0.608</v>
      </c>
      <c r="G471" s="16">
        <v>60.777</v>
      </c>
      <c r="H471" s="16">
        <v>0.897</v>
      </c>
      <c r="I471" s="16">
        <v>0.072</v>
      </c>
      <c r="J471" s="16">
        <v>0.774</v>
      </c>
      <c r="K471" s="12"/>
      <c r="L471" s="16">
        <v>6.56776609534781</v>
      </c>
      <c r="M471" s="16">
        <v>2.30040757315079</v>
      </c>
      <c r="N471" s="16">
        <v>5.55809013529624</v>
      </c>
      <c r="O471" s="16">
        <v>4.97529475074604</v>
      </c>
      <c r="P471" s="16">
        <v>3.31050228310502</v>
      </c>
      <c r="Q471" s="17" t="s">
        <v>24</v>
      </c>
      <c r="S471" s="14">
        <v>0.882</v>
      </c>
      <c r="T471" s="14">
        <v>0.485</v>
      </c>
      <c r="U471" s="14">
        <v>0.11132</v>
      </c>
    </row>
    <row r="472">
      <c r="A472" s="10" t="s">
        <v>87</v>
      </c>
      <c r="B472" s="11">
        <v>2015.0</v>
      </c>
      <c r="C472" s="11">
        <v>74.0</v>
      </c>
      <c r="D472" s="11">
        <v>5.399</v>
      </c>
      <c r="E472" s="11">
        <v>0.82827</v>
      </c>
      <c r="F472" s="11">
        <v>1.08708</v>
      </c>
      <c r="G472" s="11">
        <v>0.63793</v>
      </c>
      <c r="H472" s="11">
        <v>0.46611</v>
      </c>
      <c r="I472" s="11">
        <v>0.51535</v>
      </c>
      <c r="J472" s="11">
        <v>0.0</v>
      </c>
      <c r="K472" s="11">
        <v>6.31243562698364</v>
      </c>
      <c r="L472" s="11">
        <v>7.16707611083984</v>
      </c>
      <c r="M472" s="11">
        <v>3.98029301179825</v>
      </c>
      <c r="N472" s="11">
        <v>6.36312341690063</v>
      </c>
      <c r="O472" s="11">
        <v>4.88987255096435</v>
      </c>
      <c r="P472" s="12"/>
      <c r="Q472" s="13" t="s">
        <v>24</v>
      </c>
      <c r="S472" s="14">
        <v>0.882085383</v>
      </c>
      <c r="T472" s="14">
        <v>0.48574</v>
      </c>
      <c r="U472" s="14">
        <v>0.112</v>
      </c>
    </row>
    <row r="473">
      <c r="A473" s="15" t="s">
        <v>87</v>
      </c>
      <c r="B473" s="16">
        <v>2016.0</v>
      </c>
      <c r="C473" s="16">
        <v>79.0</v>
      </c>
      <c r="D473" s="16">
        <v>5.314</v>
      </c>
      <c r="E473" s="16">
        <v>0.95104</v>
      </c>
      <c r="F473" s="16">
        <v>0.87625</v>
      </c>
      <c r="G473" s="16">
        <v>0.49374</v>
      </c>
      <c r="H473" s="16">
        <v>0.39237</v>
      </c>
      <c r="I473" s="16">
        <v>0.56521</v>
      </c>
      <c r="J473" s="16">
        <v>0.00322</v>
      </c>
      <c r="K473" s="16">
        <v>1.7902535200119</v>
      </c>
      <c r="L473" s="16">
        <v>7.24176025390625</v>
      </c>
      <c r="M473" s="16">
        <v>2.43843516209477</v>
      </c>
      <c r="N473" s="16">
        <v>3.52580261230468</v>
      </c>
      <c r="O473" s="16">
        <v>3.35211849212646</v>
      </c>
      <c r="P473" s="12"/>
      <c r="Q473" s="17" t="s">
        <v>24</v>
      </c>
      <c r="S473" s="14">
        <v>0.883</v>
      </c>
      <c r="T473" s="14">
        <v>0.48614</v>
      </c>
      <c r="U473" s="14">
        <v>0.112</v>
      </c>
    </row>
    <row r="474">
      <c r="A474" s="10" t="s">
        <v>87</v>
      </c>
      <c r="B474" s="11">
        <v>2017.0</v>
      </c>
      <c r="C474" s="11">
        <v>81.0</v>
      </c>
      <c r="D474" s="11">
        <v>5.262000084</v>
      </c>
      <c r="E474" s="11">
        <v>0.995538592</v>
      </c>
      <c r="F474" s="11">
        <v>1.274444699</v>
      </c>
      <c r="G474" s="11">
        <v>0.492345721</v>
      </c>
      <c r="H474" s="11">
        <v>0.443323463</v>
      </c>
      <c r="I474" s="11">
        <v>0.611704588</v>
      </c>
      <c r="J474" s="11">
        <v>0.015317135</v>
      </c>
      <c r="K474" s="11">
        <v>4.99125957489013</v>
      </c>
      <c r="L474" s="11">
        <v>2.12768673896789</v>
      </c>
      <c r="M474" s="11">
        <v>4.29291968748335</v>
      </c>
      <c r="N474" s="11">
        <v>3.809</v>
      </c>
      <c r="O474" s="11">
        <v>3.14883399009704</v>
      </c>
      <c r="P474" s="12"/>
      <c r="Q474" s="13" t="s">
        <v>24</v>
      </c>
      <c r="S474" s="14">
        <v>0.883545935</v>
      </c>
      <c r="T474" s="14">
        <v>0.4877</v>
      </c>
      <c r="U474" s="14">
        <v>0.113</v>
      </c>
    </row>
    <row r="475">
      <c r="A475" s="15" t="s">
        <v>87</v>
      </c>
      <c r="B475" s="16">
        <v>2018.0</v>
      </c>
      <c r="C475" s="16">
        <v>96.0</v>
      </c>
      <c r="D475" s="16">
        <v>5.093</v>
      </c>
      <c r="E475" s="16">
        <v>0.899</v>
      </c>
      <c r="F475" s="16">
        <v>1.215</v>
      </c>
      <c r="G475" s="16">
        <v>0.522</v>
      </c>
      <c r="H475" s="16">
        <v>0.538</v>
      </c>
      <c r="I475" s="16">
        <v>0.484</v>
      </c>
      <c r="J475" s="16">
        <v>0.018</v>
      </c>
      <c r="K475" s="16">
        <v>2.65013027191162</v>
      </c>
      <c r="L475" s="16">
        <v>4.23864269256591</v>
      </c>
      <c r="M475" s="16">
        <v>3.81860356548885</v>
      </c>
      <c r="N475" s="16">
        <v>3.2</v>
      </c>
      <c r="O475" s="16">
        <v>2.81366729736328</v>
      </c>
      <c r="P475" s="12"/>
      <c r="Q475" s="17" t="s">
        <v>24</v>
      </c>
      <c r="S475" s="14">
        <v>0.884</v>
      </c>
      <c r="T475" s="14">
        <v>0.488</v>
      </c>
      <c r="U475" s="14">
        <v>0.113</v>
      </c>
    </row>
    <row r="476">
      <c r="A476" s="10" t="s">
        <v>87</v>
      </c>
      <c r="B476" s="11">
        <v>2019.0</v>
      </c>
      <c r="C476" s="11">
        <v>92.0</v>
      </c>
      <c r="D476" s="11">
        <v>5.192</v>
      </c>
      <c r="E476" s="11">
        <v>0.931</v>
      </c>
      <c r="F476" s="11">
        <v>1.203</v>
      </c>
      <c r="G476" s="11">
        <v>0.66</v>
      </c>
      <c r="H476" s="11">
        <v>0.491</v>
      </c>
      <c r="I476" s="11">
        <v>0.498</v>
      </c>
      <c r="J476" s="11">
        <v>0.028</v>
      </c>
      <c r="K476" s="11">
        <v>2.27799</v>
      </c>
      <c r="L476" s="12"/>
      <c r="M476" s="11">
        <v>1.59843178033683</v>
      </c>
      <c r="N476" s="11">
        <v>2.81999993324279</v>
      </c>
      <c r="O476" s="11">
        <v>2.99666666984558</v>
      </c>
      <c r="P476" s="12"/>
      <c r="Q476" s="13" t="s">
        <v>24</v>
      </c>
      <c r="S476" s="14">
        <v>0.884</v>
      </c>
      <c r="T476" s="14">
        <v>0.48827</v>
      </c>
      <c r="U476" s="14">
        <v>0.113945253</v>
      </c>
    </row>
    <row r="477">
      <c r="A477" s="15" t="s">
        <v>87</v>
      </c>
      <c r="B477" s="16">
        <v>2020.0</v>
      </c>
      <c r="C477" s="16">
        <v>84.0</v>
      </c>
      <c r="D477" s="16">
        <v>5.285600185</v>
      </c>
      <c r="E477" s="16">
        <v>0.891720712</v>
      </c>
      <c r="F477" s="16">
        <v>0.808379889</v>
      </c>
      <c r="G477" s="16">
        <v>62.15584946</v>
      </c>
      <c r="H477" s="16">
        <v>0.870614409</v>
      </c>
      <c r="I477" s="16">
        <v>0.519586504</v>
      </c>
      <c r="J477" s="16">
        <v>0.876296401</v>
      </c>
      <c r="K477" s="16">
        <v>0.950985789299011</v>
      </c>
      <c r="L477" s="16">
        <v>3.41376185417175</v>
      </c>
      <c r="M477" s="16">
        <v>-0.456425222334405</v>
      </c>
      <c r="N477" s="16">
        <v>1.92096800566842</v>
      </c>
      <c r="O477" s="16">
        <v>2.26463627815246</v>
      </c>
      <c r="P477" s="12"/>
      <c r="Q477" s="17" t="s">
        <v>24</v>
      </c>
      <c r="S477" s="14">
        <v>0.884</v>
      </c>
      <c r="T477" s="14">
        <v>0.48879</v>
      </c>
      <c r="U477" s="14">
        <v>0.114</v>
      </c>
    </row>
    <row r="478">
      <c r="A478" s="10" t="s">
        <v>87</v>
      </c>
      <c r="B478" s="11">
        <v>2021.0</v>
      </c>
      <c r="C478" s="11">
        <v>82.0</v>
      </c>
      <c r="D478" s="11">
        <v>5.345</v>
      </c>
      <c r="E478" s="11">
        <v>9.365</v>
      </c>
      <c r="F478" s="11">
        <v>0.811</v>
      </c>
      <c r="G478" s="11">
        <v>62.236</v>
      </c>
      <c r="H478" s="11">
        <v>0.873</v>
      </c>
      <c r="I478" s="11">
        <v>0.542</v>
      </c>
      <c r="J478" s="11">
        <v>0.867</v>
      </c>
      <c r="K478" s="11">
        <v>0.374485302546864</v>
      </c>
      <c r="L478" s="11">
        <v>2.70986049136108</v>
      </c>
      <c r="M478" s="11">
        <v>6.01527434702513</v>
      </c>
      <c r="N478" s="11">
        <v>1.560136</v>
      </c>
      <c r="O478" s="11">
        <v>1.39008663317378</v>
      </c>
      <c r="P478" s="12"/>
      <c r="Q478" s="13" t="s">
        <v>24</v>
      </c>
      <c r="S478" s="14">
        <v>0.884440243</v>
      </c>
      <c r="T478" s="14">
        <v>0.489</v>
      </c>
      <c r="U478" s="14">
        <v>0.11451</v>
      </c>
    </row>
    <row r="479">
      <c r="A479" s="15" t="s">
        <v>87</v>
      </c>
      <c r="B479" s="16">
        <v>2022.0</v>
      </c>
      <c r="C479" s="16">
        <v>87.0</v>
      </c>
      <c r="D479" s="16">
        <v>5.24</v>
      </c>
      <c r="E479" s="16">
        <v>1.382</v>
      </c>
      <c r="F479" s="16">
        <v>0.883</v>
      </c>
      <c r="G479" s="16">
        <v>0.539</v>
      </c>
      <c r="H479" s="16">
        <v>0.62</v>
      </c>
      <c r="I479" s="16">
        <v>0.468</v>
      </c>
      <c r="J479" s="16">
        <v>0.047</v>
      </c>
      <c r="K479" s="16">
        <v>3.685</v>
      </c>
      <c r="L479" s="16">
        <v>6.3424767871737</v>
      </c>
      <c r="M479" s="16">
        <v>8.73234699185601</v>
      </c>
      <c r="N479" s="16">
        <v>4.209456</v>
      </c>
      <c r="O479" s="16">
        <v>2.75911577206082</v>
      </c>
      <c r="P479" s="12"/>
      <c r="Q479" s="17" t="s">
        <v>24</v>
      </c>
      <c r="S479" s="14">
        <v>0.885</v>
      </c>
      <c r="T479" s="14">
        <v>0.48927</v>
      </c>
      <c r="U479" s="14">
        <v>0.11479</v>
      </c>
    </row>
    <row r="480">
      <c r="A480" s="10" t="s">
        <v>87</v>
      </c>
      <c r="B480" s="11">
        <v>2023.0</v>
      </c>
      <c r="C480" s="11">
        <v>84.0</v>
      </c>
      <c r="D480" s="11">
        <v>5.277</v>
      </c>
      <c r="E480" s="11">
        <v>9.385</v>
      </c>
      <c r="F480" s="11">
        <v>0.804</v>
      </c>
      <c r="G480" s="11">
        <v>63.048</v>
      </c>
      <c r="H480" s="11">
        <v>0.88</v>
      </c>
      <c r="I480" s="11">
        <v>0.531</v>
      </c>
      <c r="J480" s="11">
        <v>0.876</v>
      </c>
      <c r="K480" s="11">
        <v>41.7391304347826</v>
      </c>
      <c r="L480" s="11">
        <v>4.8675</v>
      </c>
      <c r="M480" s="11">
        <v>2.77521341910551</v>
      </c>
      <c r="N480" s="11">
        <v>3.67013142377007</v>
      </c>
      <c r="O480" s="11">
        <v>2.42250000000001</v>
      </c>
      <c r="P480" s="12"/>
      <c r="Q480" s="13" t="s">
        <v>24</v>
      </c>
      <c r="S480" s="14">
        <v>0.885</v>
      </c>
      <c r="T480" s="14">
        <v>0.49</v>
      </c>
      <c r="U480" s="14">
        <v>0.115</v>
      </c>
    </row>
    <row r="481">
      <c r="A481" s="15" t="s">
        <v>88</v>
      </c>
      <c r="B481" s="16">
        <v>2015.0</v>
      </c>
      <c r="C481" s="16">
        <v>112.0</v>
      </c>
      <c r="D481" s="16">
        <v>4.677</v>
      </c>
      <c r="E481" s="16">
        <v>0.98549</v>
      </c>
      <c r="F481" s="16">
        <v>0.81889</v>
      </c>
      <c r="G481" s="16">
        <v>0.60237</v>
      </c>
      <c r="H481" s="16">
        <v>0.0</v>
      </c>
      <c r="I481" s="16">
        <v>0.17922</v>
      </c>
      <c r="J481" s="16">
        <v>0.13788</v>
      </c>
      <c r="K481" s="16">
        <v>3.31315994262695</v>
      </c>
      <c r="L481" s="16">
        <v>2.28626084327697</v>
      </c>
      <c r="M481" s="16">
        <v>-26.1000000027004</v>
      </c>
      <c r="N481" s="16">
        <v>1.39300000667572</v>
      </c>
      <c r="O481" s="16">
        <v>1.67189729</v>
      </c>
      <c r="P481" s="12"/>
      <c r="Q481" s="17" t="s">
        <v>24</v>
      </c>
      <c r="S481" s="14">
        <v>0.88588</v>
      </c>
      <c r="T481" s="14">
        <v>0.49049</v>
      </c>
      <c r="U481" s="14">
        <v>0.115</v>
      </c>
    </row>
    <row r="482">
      <c r="A482" s="10" t="s">
        <v>88</v>
      </c>
      <c r="B482" s="11">
        <v>2016.0</v>
      </c>
      <c r="C482" s="11">
        <v>112.0</v>
      </c>
      <c r="D482" s="11">
        <v>4.575</v>
      </c>
      <c r="E482" s="11">
        <v>1.07474</v>
      </c>
      <c r="F482" s="11">
        <v>0.59205</v>
      </c>
      <c r="G482" s="11">
        <v>0.51076</v>
      </c>
      <c r="H482" s="11">
        <v>0.24856</v>
      </c>
      <c r="I482" s="11">
        <v>0.19589</v>
      </c>
      <c r="J482" s="11">
        <v>0.13636</v>
      </c>
      <c r="K482" s="11">
        <v>2.68566989898681</v>
      </c>
      <c r="L482" s="11">
        <v>-3.14485955238342</v>
      </c>
      <c r="M482" s="11">
        <v>-13.4018331718151</v>
      </c>
      <c r="N482" s="11">
        <v>0.524999976158142</v>
      </c>
      <c r="O482" s="11">
        <v>-0.19459143</v>
      </c>
      <c r="P482" s="12"/>
      <c r="Q482" s="13" t="s">
        <v>24</v>
      </c>
      <c r="S482" s="14">
        <v>0.886</v>
      </c>
      <c r="T482" s="14">
        <v>0.490946174</v>
      </c>
      <c r="U482" s="14">
        <v>0.115</v>
      </c>
    </row>
    <row r="483">
      <c r="A483" s="15" t="s">
        <v>88</v>
      </c>
      <c r="B483" s="16">
        <v>2017.0</v>
      </c>
      <c r="C483" s="16">
        <v>117.0</v>
      </c>
      <c r="D483" s="16">
        <v>4.497000217</v>
      </c>
      <c r="E483" s="16">
        <v>1.102710485</v>
      </c>
      <c r="F483" s="16">
        <v>0.978613198</v>
      </c>
      <c r="G483" s="16">
        <v>0.50118047</v>
      </c>
      <c r="H483" s="16">
        <v>0.288555533</v>
      </c>
      <c r="I483" s="16">
        <v>0.199637264</v>
      </c>
      <c r="J483" s="16">
        <v>0.107215755</v>
      </c>
      <c r="K483" s="16">
        <v>2.32320427894592</v>
      </c>
      <c r="L483" s="16">
        <v>-1.84219074249267</v>
      </c>
      <c r="M483" s="16">
        <v>14.6246384656581</v>
      </c>
      <c r="N483" s="16">
        <v>0.099</v>
      </c>
      <c r="O483" s="16">
        <v>0.43986697</v>
      </c>
      <c r="P483" s="12"/>
      <c r="Q483" s="17" t="s">
        <v>24</v>
      </c>
      <c r="S483" s="14">
        <v>0.886</v>
      </c>
      <c r="T483" s="14">
        <v>0.491</v>
      </c>
      <c r="U483" s="14">
        <v>0.115460448</v>
      </c>
    </row>
    <row r="484">
      <c r="A484" s="10" t="s">
        <v>88</v>
      </c>
      <c r="B484" s="11">
        <v>2018.0</v>
      </c>
      <c r="C484" s="11">
        <v>117.0</v>
      </c>
      <c r="D484" s="11">
        <v>4.456</v>
      </c>
      <c r="E484" s="11">
        <v>1.01</v>
      </c>
      <c r="F484" s="11">
        <v>0.971</v>
      </c>
      <c r="G484" s="11">
        <v>0.536</v>
      </c>
      <c r="H484" s="11">
        <v>0.304</v>
      </c>
      <c r="I484" s="11">
        <v>0.148</v>
      </c>
      <c r="J484" s="11">
        <v>0.095</v>
      </c>
      <c r="K484" s="11">
        <v>-1.13522517681121</v>
      </c>
      <c r="L484" s="11">
        <v>0.248515963554382</v>
      </c>
      <c r="M484" s="11">
        <v>15.3606380178686</v>
      </c>
      <c r="N484" s="11">
        <v>0.63</v>
      </c>
      <c r="O484" s="11">
        <v>0.14268728</v>
      </c>
      <c r="P484" s="12"/>
      <c r="Q484" s="13" t="s">
        <v>24</v>
      </c>
      <c r="S484" s="14">
        <v>0.886590719</v>
      </c>
      <c r="T484" s="14">
        <v>0.491247326</v>
      </c>
      <c r="U484" s="14">
        <v>0.11556</v>
      </c>
    </row>
    <row r="485">
      <c r="A485" s="15" t="s">
        <v>88</v>
      </c>
      <c r="B485" s="16">
        <v>2019.0</v>
      </c>
      <c r="C485" s="16">
        <v>126.0</v>
      </c>
      <c r="D485" s="16">
        <v>4.437</v>
      </c>
      <c r="E485" s="16">
        <v>1.043</v>
      </c>
      <c r="F485" s="16">
        <v>0.98</v>
      </c>
      <c r="G485" s="16">
        <v>0.574</v>
      </c>
      <c r="H485" s="16">
        <v>0.241</v>
      </c>
      <c r="I485" s="16">
        <v>0.148</v>
      </c>
      <c r="J485" s="16">
        <v>0.089</v>
      </c>
      <c r="K485" s="16">
        <v>-1.32158589363098</v>
      </c>
      <c r="L485" s="16">
        <v>0.0</v>
      </c>
      <c r="M485" s="16">
        <v>-8.714893176886E-4</v>
      </c>
      <c r="N485" s="16">
        <v>-0.199000000953674</v>
      </c>
      <c r="O485" s="16">
        <v>-0.07124199</v>
      </c>
      <c r="P485" s="12"/>
      <c r="Q485" s="17" t="s">
        <v>24</v>
      </c>
      <c r="S485" s="14">
        <v>0.88767</v>
      </c>
      <c r="T485" s="14">
        <v>0.492</v>
      </c>
      <c r="U485" s="14">
        <v>0.11587</v>
      </c>
    </row>
    <row r="486">
      <c r="A486" s="10" t="s">
        <v>88</v>
      </c>
      <c r="B486" s="11">
        <v>2020.0</v>
      </c>
      <c r="C486" s="11">
        <v>110.0</v>
      </c>
      <c r="D486" s="11">
        <v>4.784800053</v>
      </c>
      <c r="E486" s="11">
        <v>0.982018709</v>
      </c>
      <c r="F486" s="11">
        <v>0.747694969</v>
      </c>
      <c r="G486" s="11">
        <v>59.90354919</v>
      </c>
      <c r="H486" s="11">
        <v>0.633182645</v>
      </c>
      <c r="I486" s="11">
        <v>-0.06956476</v>
      </c>
      <c r="J486" s="11">
        <v>0.82226181</v>
      </c>
      <c r="K486" s="11">
        <v>-0.0439110063016414</v>
      </c>
      <c r="L486" s="11">
        <v>-0.487262785434722</v>
      </c>
      <c r="M486" s="11">
        <v>-12.5208506249143</v>
      </c>
      <c r="N486" s="11">
        <v>0.573</v>
      </c>
      <c r="O486" s="11">
        <v>0.99017744</v>
      </c>
      <c r="P486" s="12"/>
      <c r="Q486" s="13" t="s">
        <v>24</v>
      </c>
      <c r="S486" s="14">
        <v>0.888</v>
      </c>
      <c r="T486" s="14">
        <v>0.492</v>
      </c>
      <c r="U486" s="14">
        <v>0.116</v>
      </c>
    </row>
    <row r="487">
      <c r="A487" s="15" t="s">
        <v>88</v>
      </c>
      <c r="B487" s="16">
        <v>2021.0</v>
      </c>
      <c r="C487" s="16">
        <v>111.0</v>
      </c>
      <c r="D487" s="16">
        <v>4.854</v>
      </c>
      <c r="E487" s="16">
        <v>9.24</v>
      </c>
      <c r="F487" s="16">
        <v>0.746</v>
      </c>
      <c r="G487" s="16">
        <v>60.583</v>
      </c>
      <c r="H487" s="16">
        <v>0.63</v>
      </c>
      <c r="I487" s="16">
        <v>-0.053</v>
      </c>
      <c r="J487" s="16">
        <v>0.875</v>
      </c>
      <c r="K487" s="16">
        <v>1.88</v>
      </c>
      <c r="L487" s="16">
        <v>4.86</v>
      </c>
      <c r="M487" s="16">
        <v>33.4478155292774</v>
      </c>
      <c r="N487" s="16">
        <v>6.04186489058036</v>
      </c>
      <c r="O487" s="16">
        <v>6.42403326</v>
      </c>
      <c r="P487" s="12"/>
      <c r="Q487" s="17" t="s">
        <v>24</v>
      </c>
      <c r="S487" s="14">
        <v>0.888</v>
      </c>
      <c r="T487" s="14">
        <v>0.493</v>
      </c>
      <c r="U487" s="14">
        <v>0.116793513</v>
      </c>
    </row>
    <row r="488">
      <c r="A488" s="10" t="s">
        <v>88</v>
      </c>
      <c r="B488" s="11">
        <v>2022.0</v>
      </c>
      <c r="C488" s="11">
        <v>107.0</v>
      </c>
      <c r="D488" s="11">
        <v>4.941</v>
      </c>
      <c r="E488" s="11">
        <v>1.289</v>
      </c>
      <c r="F488" s="11">
        <v>0.682</v>
      </c>
      <c r="G488" s="11">
        <v>0.554</v>
      </c>
      <c r="H488" s="11">
        <v>0.328</v>
      </c>
      <c r="I488" s="11">
        <v>0.147</v>
      </c>
      <c r="J488" s="11">
        <v>0.046</v>
      </c>
      <c r="K488" s="11">
        <v>4.63777768047104</v>
      </c>
      <c r="L488" s="11">
        <v>6.16357636393689</v>
      </c>
      <c r="M488" s="11">
        <v>37.9009045095062</v>
      </c>
      <c r="N488" s="11">
        <v>4.99476596381039</v>
      </c>
      <c r="O488" s="11">
        <v>4.76857311320755</v>
      </c>
      <c r="P488" s="12"/>
      <c r="Q488" s="13" t="s">
        <v>24</v>
      </c>
      <c r="S488" s="14">
        <v>0.888</v>
      </c>
      <c r="T488" s="14">
        <v>0.493</v>
      </c>
      <c r="U488" s="14">
        <v>0.11681</v>
      </c>
    </row>
    <row r="489">
      <c r="A489" s="15" t="s">
        <v>88</v>
      </c>
      <c r="B489" s="16">
        <v>2023.0</v>
      </c>
      <c r="C489" s="16">
        <v>98.0</v>
      </c>
      <c r="D489" s="16">
        <v>4.941</v>
      </c>
      <c r="E489" s="16">
        <v>9.098</v>
      </c>
      <c r="F489" s="16">
        <v>0.718</v>
      </c>
      <c r="G489" s="16">
        <v>63.415</v>
      </c>
      <c r="H489" s="16">
        <v>0.646</v>
      </c>
      <c r="I489" s="16">
        <v>-0.005</v>
      </c>
      <c r="J489" s="16">
        <v>0.876</v>
      </c>
      <c r="K489" s="16">
        <v>-0.426361014882293</v>
      </c>
      <c r="L489" s="16">
        <v>5.8615927574037</v>
      </c>
      <c r="M489" s="16">
        <v>-9.68879238461927</v>
      </c>
      <c r="N489" s="16">
        <v>4.48752538904099</v>
      </c>
      <c r="O489" s="16">
        <v>4.60077383046077</v>
      </c>
      <c r="P489" s="12"/>
      <c r="Q489" s="17" t="s">
        <v>24</v>
      </c>
      <c r="S489" s="14">
        <v>0.888</v>
      </c>
      <c r="T489" s="14">
        <v>0.49309</v>
      </c>
      <c r="U489" s="14">
        <v>0.11757</v>
      </c>
    </row>
    <row r="490">
      <c r="A490" s="10" t="s">
        <v>89</v>
      </c>
      <c r="B490" s="11">
        <v>2015.0</v>
      </c>
      <c r="C490" s="11">
        <v>18.0</v>
      </c>
      <c r="D490" s="11">
        <v>6.94</v>
      </c>
      <c r="E490" s="11">
        <v>1.33596</v>
      </c>
      <c r="F490" s="11">
        <v>1.36948</v>
      </c>
      <c r="G490" s="11">
        <v>0.89533</v>
      </c>
      <c r="H490" s="11">
        <v>0.61777</v>
      </c>
      <c r="I490" s="11">
        <v>0.45901</v>
      </c>
      <c r="J490" s="11">
        <v>0.28703</v>
      </c>
      <c r="K490" s="11">
        <v>1.60292220115661</v>
      </c>
      <c r="L490" s="11">
        <v>-2.1372594833374</v>
      </c>
      <c r="M490" s="11">
        <v>7.80860039313558</v>
      </c>
      <c r="N490" s="11">
        <v>-0.289875358343124</v>
      </c>
      <c r="O490" s="11">
        <v>-12.5523014068603</v>
      </c>
      <c r="P490" s="11">
        <v>5.38333368301391</v>
      </c>
      <c r="Q490" s="13" t="s">
        <v>26</v>
      </c>
      <c r="S490" s="14">
        <v>0.889</v>
      </c>
      <c r="T490" s="14">
        <v>0.494</v>
      </c>
      <c r="U490" s="14">
        <v>0.11776</v>
      </c>
    </row>
    <row r="491">
      <c r="A491" s="15" t="s">
        <v>89</v>
      </c>
      <c r="B491" s="16">
        <v>2016.0</v>
      </c>
      <c r="C491" s="16">
        <v>19.0</v>
      </c>
      <c r="D491" s="16">
        <v>6.907</v>
      </c>
      <c r="E491" s="16">
        <v>1.48341</v>
      </c>
      <c r="F491" s="16">
        <v>1.16157</v>
      </c>
      <c r="G491" s="16">
        <v>0.81455</v>
      </c>
      <c r="H491" s="16">
        <v>0.54008</v>
      </c>
      <c r="I491" s="16">
        <v>0.44963</v>
      </c>
      <c r="J491" s="16">
        <v>0.29754</v>
      </c>
      <c r="K491" s="16">
        <v>-0.475799083709716</v>
      </c>
      <c r="L491" s="16">
        <v>-1.33462750911712</v>
      </c>
      <c r="M491" s="16">
        <v>0.7180537772087</v>
      </c>
      <c r="N491" s="16">
        <v>0.0083084106445312</v>
      </c>
      <c r="O491" s="16">
        <v>0.962260484695434</v>
      </c>
      <c r="P491" s="16">
        <v>-1.23333287239074</v>
      </c>
      <c r="Q491" s="17" t="s">
        <v>26</v>
      </c>
      <c r="S491" s="14">
        <v>0.889878571</v>
      </c>
      <c r="T491" s="14">
        <v>0.494</v>
      </c>
      <c r="U491" s="14">
        <v>0.118</v>
      </c>
    </row>
    <row r="492">
      <c r="A492" s="10" t="s">
        <v>89</v>
      </c>
      <c r="B492" s="11">
        <v>2017.0</v>
      </c>
      <c r="C492" s="11">
        <v>15.0</v>
      </c>
      <c r="D492" s="11">
        <v>6.977000237</v>
      </c>
      <c r="E492" s="11">
        <v>1.535706639</v>
      </c>
      <c r="F492" s="11">
        <v>1.558231115</v>
      </c>
      <c r="G492" s="11">
        <v>0.809782624</v>
      </c>
      <c r="H492" s="11">
        <v>0.573110342</v>
      </c>
      <c r="I492" s="11">
        <v>0.427858323</v>
      </c>
      <c r="J492" s="11">
        <v>0.298388153</v>
      </c>
      <c r="K492" s="11">
        <v>2.02969408035278</v>
      </c>
      <c r="L492" s="11">
        <v>-2.07411456108093</v>
      </c>
      <c r="M492" s="11">
        <v>1.03634847344548</v>
      </c>
      <c r="N492" s="11">
        <v>0.251</v>
      </c>
      <c r="O492" s="11">
        <v>0.328263491392135</v>
      </c>
      <c r="P492" s="11">
        <v>-0.151873677968978</v>
      </c>
      <c r="Q492" s="13" t="s">
        <v>26</v>
      </c>
      <c r="S492" s="14">
        <v>0.889973223</v>
      </c>
      <c r="T492" s="14">
        <v>0.494519204</v>
      </c>
      <c r="U492" s="14">
        <v>0.11909464</v>
      </c>
    </row>
    <row r="493">
      <c r="A493" s="15" t="s">
        <v>89</v>
      </c>
      <c r="B493" s="16">
        <v>2018.0</v>
      </c>
      <c r="C493" s="16">
        <v>14.0</v>
      </c>
      <c r="D493" s="16">
        <v>6.977</v>
      </c>
      <c r="E493" s="16">
        <v>1.448</v>
      </c>
      <c r="F493" s="16">
        <v>1.583</v>
      </c>
      <c r="G493" s="16">
        <v>0.876</v>
      </c>
      <c r="H493" s="16">
        <v>0.614</v>
      </c>
      <c r="I493" s="16">
        <v>0.307</v>
      </c>
      <c r="J493" s="16">
        <v>0.306</v>
      </c>
      <c r="K493" s="16">
        <v>5.10481166839599</v>
      </c>
      <c r="L493" s="16">
        <v>-2.02594828605651</v>
      </c>
      <c r="M493" s="16">
        <v>0.504303185867436</v>
      </c>
      <c r="N493" s="16">
        <v>0.49</v>
      </c>
      <c r="O493" s="16">
        <v>0.14059530198574</v>
      </c>
      <c r="P493" s="16">
        <v>-1.76609694957733</v>
      </c>
      <c r="Q493" s="17" t="s">
        <v>26</v>
      </c>
      <c r="S493" s="14">
        <v>0.89</v>
      </c>
      <c r="T493" s="14">
        <v>0.49495</v>
      </c>
      <c r="U493" s="14">
        <v>0.1192</v>
      </c>
    </row>
    <row r="494">
      <c r="A494" s="10" t="s">
        <v>89</v>
      </c>
      <c r="B494" s="11">
        <v>2019.0</v>
      </c>
      <c r="C494" s="11">
        <v>16.0</v>
      </c>
      <c r="D494" s="11">
        <v>7.021</v>
      </c>
      <c r="E494" s="11">
        <v>1.499</v>
      </c>
      <c r="F494" s="11">
        <v>1.553</v>
      </c>
      <c r="G494" s="11">
        <v>0.999</v>
      </c>
      <c r="H494" s="11">
        <v>0.516</v>
      </c>
      <c r="I494" s="11">
        <v>0.298</v>
      </c>
      <c r="J494" s="11">
        <v>0.31</v>
      </c>
      <c r="K494" s="11">
        <v>1.0851160287857</v>
      </c>
      <c r="L494" s="11">
        <v>-0.66649580001831</v>
      </c>
      <c r="M494" s="11">
        <v>2.6380626164293</v>
      </c>
      <c r="N494" s="11">
        <v>0.876999974250793</v>
      </c>
      <c r="O494" s="11">
        <v>1.13045394420623</v>
      </c>
      <c r="P494" s="11">
        <v>-1.47957062721252</v>
      </c>
      <c r="Q494" s="13" t="s">
        <v>26</v>
      </c>
      <c r="S494" s="14">
        <v>0.891</v>
      </c>
      <c r="T494" s="14">
        <v>0.495</v>
      </c>
      <c r="U494" s="14">
        <v>0.119282886</v>
      </c>
    </row>
    <row r="495">
      <c r="A495" s="15" t="s">
        <v>89</v>
      </c>
      <c r="B495" s="16">
        <v>2020.0</v>
      </c>
      <c r="C495" s="16">
        <v>16.0</v>
      </c>
      <c r="D495" s="16">
        <v>7.093699932</v>
      </c>
      <c r="E495" s="16">
        <v>1.446886778</v>
      </c>
      <c r="F495" s="16">
        <v>0.942081571</v>
      </c>
      <c r="G495" s="16">
        <v>72.30078888</v>
      </c>
      <c r="H495" s="16">
        <v>0.886982977</v>
      </c>
      <c r="I495" s="16">
        <v>0.145784974</v>
      </c>
      <c r="J495" s="16">
        <v>0.357184172</v>
      </c>
      <c r="K495" s="16">
        <v>-1.03232612463263</v>
      </c>
      <c r="L495" s="16">
        <v>-1.41101081707113</v>
      </c>
      <c r="M495" s="16">
        <v>0.617681498829035</v>
      </c>
      <c r="N495" s="16">
        <v>-0.334584625428244</v>
      </c>
      <c r="O495" s="16">
        <v>0.266207009553909</v>
      </c>
      <c r="P495" s="16">
        <v>-8.71674772456115</v>
      </c>
      <c r="Q495" s="17" t="s">
        <v>26</v>
      </c>
      <c r="S495" s="14">
        <v>0.891</v>
      </c>
      <c r="T495" s="14">
        <v>0.495</v>
      </c>
      <c r="U495" s="14">
        <v>0.119803272</v>
      </c>
    </row>
    <row r="496">
      <c r="A496" s="10" t="s">
        <v>89</v>
      </c>
      <c r="B496" s="11">
        <v>2021.0</v>
      </c>
      <c r="C496" s="11">
        <v>15.0</v>
      </c>
      <c r="D496" s="11">
        <v>7.085</v>
      </c>
      <c r="E496" s="11">
        <v>11.342</v>
      </c>
      <c r="F496" s="11">
        <v>0.947</v>
      </c>
      <c r="G496" s="11">
        <v>72.4</v>
      </c>
      <c r="H496" s="11">
        <v>0.879</v>
      </c>
      <c r="I496" s="11">
        <v>0.077</v>
      </c>
      <c r="J496" s="11">
        <v>0.363</v>
      </c>
      <c r="K496" s="11">
        <v>12.28661</v>
      </c>
      <c r="L496" s="11">
        <v>-0.253</v>
      </c>
      <c r="M496" s="11">
        <v>0.657643226323762</v>
      </c>
      <c r="N496" s="11">
        <v>2.358143</v>
      </c>
      <c r="O496" s="11">
        <v>1.804</v>
      </c>
      <c r="P496" s="11">
        <v>-0.930812781882635</v>
      </c>
      <c r="Q496" s="13" t="s">
        <v>26</v>
      </c>
      <c r="S496" s="14">
        <v>0.891</v>
      </c>
      <c r="T496" s="14">
        <v>0.49553</v>
      </c>
      <c r="U496" s="14">
        <v>0.12</v>
      </c>
    </row>
    <row r="497">
      <c r="A497" s="15" t="s">
        <v>89</v>
      </c>
      <c r="B497" s="16">
        <v>2022.0</v>
      </c>
      <c r="C497" s="16">
        <v>13.0</v>
      </c>
      <c r="D497" s="16">
        <v>7.041</v>
      </c>
      <c r="E497" s="16">
        <v>2.129</v>
      </c>
      <c r="F497" s="16">
        <v>1.166</v>
      </c>
      <c r="G497" s="16">
        <v>0.779</v>
      </c>
      <c r="H497" s="16">
        <v>0.627</v>
      </c>
      <c r="I497" s="16">
        <v>0.19</v>
      </c>
      <c r="J497" s="16">
        <v>0.408</v>
      </c>
      <c r="K497" s="16">
        <v>41.0976956437459</v>
      </c>
      <c r="L497" s="16">
        <v>6.90168</v>
      </c>
      <c r="M497" s="16">
        <v>5.02915933263644</v>
      </c>
      <c r="N497" s="16">
        <v>7.807375</v>
      </c>
      <c r="O497" s="16">
        <v>4.68752986144289</v>
      </c>
      <c r="P497" s="16">
        <v>8.71755133669119</v>
      </c>
      <c r="Q497" s="17" t="s">
        <v>26</v>
      </c>
      <c r="S497" s="14">
        <v>0.891</v>
      </c>
      <c r="T497" s="14">
        <v>0.496</v>
      </c>
      <c r="U497" s="14">
        <v>0.120328106</v>
      </c>
    </row>
    <row r="498">
      <c r="A498" s="10" t="s">
        <v>89</v>
      </c>
      <c r="B498" s="11">
        <v>2023.0</v>
      </c>
      <c r="C498" s="11">
        <v>14.0</v>
      </c>
      <c r="D498" s="11">
        <v>6.911</v>
      </c>
      <c r="E498" s="11">
        <v>11.527</v>
      </c>
      <c r="F498" s="11">
        <v>0.905</v>
      </c>
      <c r="G498" s="11">
        <v>71.3</v>
      </c>
      <c r="H498" s="11">
        <v>0.874</v>
      </c>
      <c r="I498" s="11">
        <v>0.092</v>
      </c>
      <c r="J498" s="11">
        <v>0.358</v>
      </c>
      <c r="K498" s="11">
        <v>6.4278287159194</v>
      </c>
      <c r="L498" s="11">
        <v>9.81917202799636</v>
      </c>
      <c r="M498" s="11">
        <v>3.00167704612244</v>
      </c>
      <c r="N498" s="11">
        <v>6.29962157750247</v>
      </c>
      <c r="O498" s="11">
        <v>5.89937276836241</v>
      </c>
      <c r="P498" s="11">
        <v>-4.13399857448331</v>
      </c>
      <c r="Q498" s="13" t="s">
        <v>26</v>
      </c>
      <c r="S498" s="14">
        <v>0.89186</v>
      </c>
      <c r="T498" s="14">
        <v>0.496</v>
      </c>
      <c r="U498" s="14">
        <v>0.121</v>
      </c>
    </row>
    <row r="499">
      <c r="A499" s="15" t="s">
        <v>90</v>
      </c>
      <c r="B499" s="16">
        <v>2015.0</v>
      </c>
      <c r="C499" s="16">
        <v>11.0</v>
      </c>
      <c r="D499" s="16">
        <v>7.278</v>
      </c>
      <c r="E499" s="16">
        <v>1.22857</v>
      </c>
      <c r="F499" s="16">
        <v>1.22393</v>
      </c>
      <c r="G499" s="16">
        <v>0.91387</v>
      </c>
      <c r="H499" s="16">
        <v>0.41319</v>
      </c>
      <c r="I499" s="16">
        <v>0.33172</v>
      </c>
      <c r="J499" s="16">
        <v>0.07785</v>
      </c>
      <c r="K499" s="16">
        <v>2.30769228935241</v>
      </c>
      <c r="L499" s="16">
        <v>0.0415440462529659</v>
      </c>
      <c r="M499" s="16">
        <v>2.84256859599324</v>
      </c>
      <c r="N499" s="16">
        <v>-0.632486879825592</v>
      </c>
      <c r="O499" s="16">
        <v>0.501629471778869</v>
      </c>
      <c r="P499" s="16">
        <v>-5.86404180526733</v>
      </c>
      <c r="Q499" s="17" t="s">
        <v>24</v>
      </c>
      <c r="S499" s="14">
        <v>0.893</v>
      </c>
      <c r="T499" s="14">
        <v>0.49615</v>
      </c>
      <c r="U499" s="14">
        <v>0.12139</v>
      </c>
    </row>
    <row r="500">
      <c r="A500" s="10" t="s">
        <v>90</v>
      </c>
      <c r="B500" s="11">
        <v>2016.0</v>
      </c>
      <c r="C500" s="11">
        <v>11.0</v>
      </c>
      <c r="D500" s="11">
        <v>7.267</v>
      </c>
      <c r="E500" s="11">
        <v>1.33766</v>
      </c>
      <c r="F500" s="11">
        <v>0.99537</v>
      </c>
      <c r="G500" s="11">
        <v>0.84917</v>
      </c>
      <c r="H500" s="11">
        <v>0.36432</v>
      </c>
      <c r="I500" s="11">
        <v>0.32288</v>
      </c>
      <c r="J500" s="11">
        <v>0.08728</v>
      </c>
      <c r="K500" s="11">
        <v>2.19371843338012</v>
      </c>
      <c r="L500" s="11">
        <v>-1.27066040039062</v>
      </c>
      <c r="M500" s="11">
        <v>1.03199999999999</v>
      </c>
      <c r="N500" s="11">
        <v>-0.544387817382812</v>
      </c>
      <c r="O500" s="11">
        <v>0.0467391498386859</v>
      </c>
      <c r="P500" s="11">
        <v>-3.61962842941284</v>
      </c>
      <c r="Q500" s="13" t="s">
        <v>24</v>
      </c>
      <c r="S500" s="14">
        <v>0.89318</v>
      </c>
      <c r="T500" s="14">
        <v>0.496337593</v>
      </c>
      <c r="U500" s="14">
        <v>0.12275</v>
      </c>
    </row>
    <row r="501">
      <c r="A501" s="15" t="s">
        <v>90</v>
      </c>
      <c r="B501" s="16">
        <v>2017.0</v>
      </c>
      <c r="C501" s="16">
        <v>11.0</v>
      </c>
      <c r="D501" s="16">
        <v>7.212999821</v>
      </c>
      <c r="E501" s="16">
        <v>1.375382423</v>
      </c>
      <c r="F501" s="16">
        <v>1.376289964</v>
      </c>
      <c r="G501" s="16">
        <v>0.838404</v>
      </c>
      <c r="H501" s="16">
        <v>0.405988604</v>
      </c>
      <c r="I501" s="16">
        <v>0.330082655</v>
      </c>
      <c r="J501" s="16">
        <v>0.0852421</v>
      </c>
      <c r="K501" s="16">
        <v>1.76577198505401</v>
      </c>
      <c r="L501" s="16">
        <v>0.0420612506568431</v>
      </c>
      <c r="M501" s="16">
        <v>0.154406524665458</v>
      </c>
      <c r="N501" s="16">
        <v>0.242</v>
      </c>
      <c r="O501" s="16">
        <v>-0.0186152011156082</v>
      </c>
      <c r="P501" s="16">
        <v>1.44658732414245</v>
      </c>
      <c r="Q501" s="17" t="s">
        <v>24</v>
      </c>
      <c r="S501" s="14">
        <v>0.894</v>
      </c>
      <c r="T501" s="14">
        <v>0.497</v>
      </c>
      <c r="U501" s="14">
        <v>0.12279</v>
      </c>
    </row>
    <row r="502">
      <c r="A502" s="10" t="s">
        <v>90</v>
      </c>
      <c r="B502" s="11">
        <v>2018.0</v>
      </c>
      <c r="C502" s="11">
        <v>19.0</v>
      </c>
      <c r="D502" s="11">
        <v>6.814</v>
      </c>
      <c r="E502" s="11">
        <v>1.301</v>
      </c>
      <c r="F502" s="11">
        <v>1.559</v>
      </c>
      <c r="G502" s="11">
        <v>0.883</v>
      </c>
      <c r="H502" s="11">
        <v>0.533</v>
      </c>
      <c r="I502" s="11">
        <v>0.354</v>
      </c>
      <c r="J502" s="11">
        <v>0.272</v>
      </c>
      <c r="K502" s="11">
        <v>2.06685543060302</v>
      </c>
      <c r="L502" s="11">
        <v>0.924912095069885</v>
      </c>
      <c r="M502" s="11">
        <v>1.25508953630864</v>
      </c>
      <c r="N502" s="11">
        <v>0.81</v>
      </c>
      <c r="O502" s="11">
        <v>0.681024610996246</v>
      </c>
      <c r="P502" s="11">
        <v>3.32724046707153</v>
      </c>
      <c r="Q502" s="13" t="s">
        <v>24</v>
      </c>
      <c r="S502" s="14">
        <v>0.894309103</v>
      </c>
      <c r="T502" s="14">
        <v>0.498</v>
      </c>
      <c r="U502" s="14">
        <v>0.123</v>
      </c>
    </row>
    <row r="503">
      <c r="A503" s="15" t="s">
        <v>90</v>
      </c>
      <c r="B503" s="16">
        <v>2019.0</v>
      </c>
      <c r="C503" s="16">
        <v>13.0</v>
      </c>
      <c r="D503" s="16">
        <v>7.139</v>
      </c>
      <c r="E503" s="16">
        <v>1.276</v>
      </c>
      <c r="F503" s="16">
        <v>1.455</v>
      </c>
      <c r="G503" s="16">
        <v>1.029</v>
      </c>
      <c r="H503" s="16">
        <v>0.371</v>
      </c>
      <c r="I503" s="16">
        <v>0.261</v>
      </c>
      <c r="J503" s="16">
        <v>0.082</v>
      </c>
      <c r="K503" s="16">
        <v>-0.450794607400894</v>
      </c>
      <c r="L503" s="16">
        <v>2.07553601264953</v>
      </c>
      <c r="M503" s="16">
        <v>2.23603818149875</v>
      </c>
      <c r="N503" s="16">
        <v>0.842000007629394</v>
      </c>
      <c r="O503" s="16">
        <v>0.903683960437774</v>
      </c>
      <c r="P503" s="16">
        <v>-1.11464869976043</v>
      </c>
      <c r="Q503" s="17" t="s">
        <v>24</v>
      </c>
      <c r="S503" s="14">
        <v>0.89521</v>
      </c>
      <c r="T503" s="14">
        <v>0.498</v>
      </c>
      <c r="U503" s="14">
        <v>0.123</v>
      </c>
    </row>
    <row r="504">
      <c r="A504" s="10" t="s">
        <v>90</v>
      </c>
      <c r="B504" s="11">
        <v>2020.0</v>
      </c>
      <c r="C504" s="11">
        <v>14.0</v>
      </c>
      <c r="D504" s="11">
        <v>7.128600121</v>
      </c>
      <c r="E504" s="11">
        <v>1.216463685</v>
      </c>
      <c r="F504" s="11">
        <v>0.913571239</v>
      </c>
      <c r="G504" s="11">
        <v>73.20025635</v>
      </c>
      <c r="H504" s="11">
        <v>0.747580588</v>
      </c>
      <c r="I504" s="11">
        <v>0.10259372</v>
      </c>
      <c r="J504" s="11">
        <v>0.78085506</v>
      </c>
      <c r="K504" s="11">
        <v>0.777278688700891</v>
      </c>
      <c r="L504" s="11">
        <v>-0.0083333337679505</v>
      </c>
      <c r="M504" s="11">
        <v>0.926977823177313</v>
      </c>
      <c r="N504" s="11">
        <v>-0.588430300017263</v>
      </c>
      <c r="O504" s="11">
        <v>-0.142166182398796</v>
      </c>
      <c r="P504" s="11">
        <v>-4.89660835266113</v>
      </c>
      <c r="Q504" s="13" t="s">
        <v>24</v>
      </c>
      <c r="S504" s="14">
        <v>0.896</v>
      </c>
      <c r="T504" s="14">
        <v>0.498</v>
      </c>
      <c r="U504" s="14">
        <v>0.12348</v>
      </c>
    </row>
    <row r="505">
      <c r="A505" s="15" t="s">
        <v>90</v>
      </c>
      <c r="B505" s="16">
        <v>2021.0</v>
      </c>
      <c r="C505" s="16">
        <v>12.0</v>
      </c>
      <c r="D505" s="16">
        <v>7.157</v>
      </c>
      <c r="E505" s="16">
        <v>10.575</v>
      </c>
      <c r="F505" s="16">
        <v>0.939</v>
      </c>
      <c r="G505" s="16">
        <v>73.503</v>
      </c>
      <c r="H505" s="16">
        <v>0.8</v>
      </c>
      <c r="I505" s="16">
        <v>0.031</v>
      </c>
      <c r="J505" s="16">
        <v>0.753</v>
      </c>
      <c r="K505" s="16">
        <v>5.407309</v>
      </c>
      <c r="L505" s="16">
        <v>0.99</v>
      </c>
      <c r="M505" s="16">
        <v>2.12829471719862</v>
      </c>
      <c r="N505" s="16">
        <v>1.492288</v>
      </c>
      <c r="O505" s="16">
        <v>1.245</v>
      </c>
      <c r="P505" s="16">
        <v>6.8310563145618</v>
      </c>
      <c r="Q505" s="17" t="s">
        <v>24</v>
      </c>
      <c r="S505" s="14">
        <v>0.896</v>
      </c>
      <c r="T505" s="14">
        <v>0.4984653</v>
      </c>
      <c r="U505" s="14">
        <v>0.12352</v>
      </c>
    </row>
    <row r="506">
      <c r="A506" s="10" t="s">
        <v>90</v>
      </c>
      <c r="B506" s="11">
        <v>2022.0</v>
      </c>
      <c r="C506" s="11">
        <v>9.0</v>
      </c>
      <c r="D506" s="11">
        <v>7.364</v>
      </c>
      <c r="E506" s="11">
        <v>1.826</v>
      </c>
      <c r="F506" s="11">
        <v>1.221</v>
      </c>
      <c r="G506" s="11">
        <v>0.818</v>
      </c>
      <c r="H506" s="11">
        <v>0.568</v>
      </c>
      <c r="I506" s="11">
        <v>0.155</v>
      </c>
      <c r="J506" s="11">
        <v>0.143</v>
      </c>
      <c r="K506" s="11">
        <v>10.348907705451</v>
      </c>
      <c r="L506" s="11">
        <v>4.347448</v>
      </c>
      <c r="M506" s="11">
        <v>4.28415028773842</v>
      </c>
      <c r="N506" s="11">
        <v>4.393597</v>
      </c>
      <c r="O506" s="11">
        <v>3.93951219512194</v>
      </c>
      <c r="P506" s="11">
        <v>13.0614472863381</v>
      </c>
      <c r="Q506" s="13" t="s">
        <v>24</v>
      </c>
      <c r="S506" s="14">
        <v>0.896</v>
      </c>
      <c r="T506" s="14">
        <v>0.499</v>
      </c>
      <c r="U506" s="14">
        <v>0.123717859</v>
      </c>
    </row>
    <row r="507">
      <c r="A507" s="15" t="s">
        <v>90</v>
      </c>
      <c r="B507" s="16">
        <v>2023.0</v>
      </c>
      <c r="C507" s="16">
        <v>4.0</v>
      </c>
      <c r="D507" s="16">
        <v>7.473</v>
      </c>
      <c r="E507" s="16">
        <v>10.639</v>
      </c>
      <c r="F507" s="16">
        <v>0.943</v>
      </c>
      <c r="G507" s="16">
        <v>72.697</v>
      </c>
      <c r="H507" s="16">
        <v>0.809</v>
      </c>
      <c r="I507" s="16">
        <v>-0.023</v>
      </c>
      <c r="J507" s="16">
        <v>0.708</v>
      </c>
      <c r="K507" s="16">
        <v>4.31900114920477</v>
      </c>
      <c r="L507" s="16">
        <v>4.63212667151569</v>
      </c>
      <c r="M507" s="16">
        <v>3.74587358919695</v>
      </c>
      <c r="N507" s="16">
        <v>4.22535211267609</v>
      </c>
      <c r="O507" s="16">
        <v>4.16436674139075</v>
      </c>
      <c r="P507" s="16">
        <v>1.03985639854514</v>
      </c>
      <c r="Q507" s="17" t="s">
        <v>24</v>
      </c>
      <c r="S507" s="14">
        <v>0.896</v>
      </c>
      <c r="T507" s="14">
        <v>0.5</v>
      </c>
      <c r="U507" s="14">
        <v>0.12372</v>
      </c>
    </row>
    <row r="508">
      <c r="A508" s="10" t="s">
        <v>91</v>
      </c>
      <c r="B508" s="11">
        <v>2015.0</v>
      </c>
      <c r="C508" s="11">
        <v>50.0</v>
      </c>
      <c r="D508" s="11">
        <v>5.948</v>
      </c>
      <c r="E508" s="11">
        <v>1.25114</v>
      </c>
      <c r="F508" s="11">
        <v>1.19777</v>
      </c>
      <c r="G508" s="11">
        <v>0.95446</v>
      </c>
      <c r="H508" s="11">
        <v>0.26236</v>
      </c>
      <c r="I508" s="11">
        <v>0.22823</v>
      </c>
      <c r="J508" s="11">
        <v>0.02901</v>
      </c>
      <c r="K508" s="11">
        <v>-0.810191690921783</v>
      </c>
      <c r="L508" s="11">
        <v>1.10334420204162</v>
      </c>
      <c r="M508" s="11">
        <v>0.931598655591107</v>
      </c>
      <c r="N508" s="11">
        <v>0.0387920178472995</v>
      </c>
      <c r="O508" s="11">
        <v>0.680348813533783</v>
      </c>
      <c r="P508" s="11">
        <v>-2.67662000656127</v>
      </c>
      <c r="Q508" s="13" t="s">
        <v>26</v>
      </c>
      <c r="S508" s="14">
        <v>0.896</v>
      </c>
      <c r="T508" s="14">
        <v>0.50036</v>
      </c>
      <c r="U508" s="14">
        <v>0.124348067</v>
      </c>
    </row>
    <row r="509">
      <c r="A509" s="15" t="s">
        <v>91</v>
      </c>
      <c r="B509" s="16">
        <v>2016.0</v>
      </c>
      <c r="C509" s="16">
        <v>50.0</v>
      </c>
      <c r="D509" s="16">
        <v>5.977</v>
      </c>
      <c r="E509" s="16">
        <v>1.35495</v>
      </c>
      <c r="F509" s="16">
        <v>1.04167</v>
      </c>
      <c r="G509" s="16">
        <v>0.85102</v>
      </c>
      <c r="H509" s="16">
        <v>0.18827</v>
      </c>
      <c r="I509" s="16">
        <v>0.16684</v>
      </c>
      <c r="J509" s="16">
        <v>0.02556</v>
      </c>
      <c r="K509" s="16">
        <v>-1.64193630218505</v>
      </c>
      <c r="L509" s="16">
        <v>0.17494474351406</v>
      </c>
      <c r="M509" s="16">
        <v>1.134</v>
      </c>
      <c r="N509" s="16">
        <v>-0.0940232947468757</v>
      </c>
      <c r="O509" s="16">
        <v>-28.6194152832031</v>
      </c>
      <c r="P509" s="16">
        <v>-1.92515838146209</v>
      </c>
      <c r="Q509" s="17" t="s">
        <v>26</v>
      </c>
      <c r="S509" s="14">
        <v>0.896723807</v>
      </c>
      <c r="T509" s="14">
        <v>0.501537681</v>
      </c>
      <c r="U509" s="14">
        <v>0.12468</v>
      </c>
    </row>
    <row r="510">
      <c r="A510" s="10" t="s">
        <v>91</v>
      </c>
      <c r="B510" s="11">
        <v>2017.0</v>
      </c>
      <c r="C510" s="11">
        <v>48.0</v>
      </c>
      <c r="D510" s="11">
        <v>5.964000225</v>
      </c>
      <c r="E510" s="11">
        <v>1.395066619</v>
      </c>
      <c r="F510" s="11">
        <v>1.444923282</v>
      </c>
      <c r="G510" s="11">
        <v>0.853144348</v>
      </c>
      <c r="H510" s="11">
        <v>0.256450713</v>
      </c>
      <c r="I510" s="11">
        <v>0.172789648</v>
      </c>
      <c r="J510" s="11">
        <v>0.028028091</v>
      </c>
      <c r="K510" s="11">
        <v>1.76255881786346</v>
      </c>
      <c r="L510" s="11">
        <v>1.87941575050354</v>
      </c>
      <c r="M510" s="11">
        <v>0.726758557952814</v>
      </c>
      <c r="N510" s="11">
        <v>1.326</v>
      </c>
      <c r="O510" s="11">
        <v>0.691495418548584</v>
      </c>
      <c r="P510" s="11">
        <v>2.33684086799621</v>
      </c>
      <c r="Q510" s="13" t="s">
        <v>26</v>
      </c>
      <c r="S510" s="14">
        <v>0.898</v>
      </c>
      <c r="T510" s="14">
        <v>0.502</v>
      </c>
      <c r="U510" s="14">
        <v>0.12474</v>
      </c>
    </row>
    <row r="511">
      <c r="A511" s="15" t="s">
        <v>91</v>
      </c>
      <c r="B511" s="16">
        <v>2018.0</v>
      </c>
      <c r="C511" s="16">
        <v>47.0</v>
      </c>
      <c r="D511" s="16">
        <v>6.0</v>
      </c>
      <c r="E511" s="16">
        <v>1.264</v>
      </c>
      <c r="F511" s="16">
        <v>1.501</v>
      </c>
      <c r="G511" s="16">
        <v>0.946</v>
      </c>
      <c r="H511" s="16">
        <v>0.281</v>
      </c>
      <c r="I511" s="16">
        <v>0.137</v>
      </c>
      <c r="J511" s="16">
        <v>0.028</v>
      </c>
      <c r="K511" s="16">
        <v>2.5647497177124</v>
      </c>
      <c r="L511" s="16">
        <v>1.22438979148864</v>
      </c>
      <c r="M511" s="16">
        <v>1.06214844555261</v>
      </c>
      <c r="N511" s="16">
        <v>1.14</v>
      </c>
      <c r="O511" s="16">
        <v>0.608426928520202</v>
      </c>
      <c r="P511" s="16">
        <v>3.28821730613708</v>
      </c>
      <c r="Q511" s="17" t="s">
        <v>26</v>
      </c>
      <c r="S511" s="14">
        <v>0.898</v>
      </c>
      <c r="T511" s="14">
        <v>0.503</v>
      </c>
      <c r="U511" s="14">
        <v>0.12504</v>
      </c>
    </row>
    <row r="512">
      <c r="A512" s="10" t="s">
        <v>91</v>
      </c>
      <c r="B512" s="11">
        <v>2019.0</v>
      </c>
      <c r="C512" s="11">
        <v>36.0</v>
      </c>
      <c r="D512" s="11">
        <v>6.223</v>
      </c>
      <c r="E512" s="11">
        <v>1.294</v>
      </c>
      <c r="F512" s="11">
        <v>1.488</v>
      </c>
      <c r="G512" s="11">
        <v>1.039</v>
      </c>
      <c r="H512" s="11">
        <v>0.231</v>
      </c>
      <c r="I512" s="11">
        <v>0.158</v>
      </c>
      <c r="J512" s="11">
        <v>0.03</v>
      </c>
      <c r="K512" s="11">
        <v>0.484916806221008</v>
      </c>
      <c r="L512" s="11">
        <v>0.766067326068878</v>
      </c>
      <c r="M512" s="11">
        <v>0.804266107177203</v>
      </c>
      <c r="N512" s="11">
        <v>0.63400000333786</v>
      </c>
      <c r="O512" s="11">
        <v>0.596109092235565</v>
      </c>
      <c r="P512" s="11">
        <v>0.184911265969276</v>
      </c>
      <c r="Q512" s="13" t="s">
        <v>26</v>
      </c>
      <c r="S512" s="14">
        <v>0.898</v>
      </c>
      <c r="T512" s="14">
        <v>0.503</v>
      </c>
      <c r="U512" s="14">
        <v>0.12533</v>
      </c>
    </row>
    <row r="513">
      <c r="A513" s="15" t="s">
        <v>91</v>
      </c>
      <c r="B513" s="16">
        <v>2020.0</v>
      </c>
      <c r="C513" s="16">
        <v>30.0</v>
      </c>
      <c r="D513" s="16">
        <v>6.38740015</v>
      </c>
      <c r="E513" s="16">
        <v>1.236396074</v>
      </c>
      <c r="F513" s="16">
        <v>0.889878571</v>
      </c>
      <c r="G513" s="16">
        <v>73.60168457</v>
      </c>
      <c r="H513" s="16">
        <v>0.66465199</v>
      </c>
      <c r="I513" s="16">
        <v>-0.043460999</v>
      </c>
      <c r="J513" s="16">
        <v>0.873404682</v>
      </c>
      <c r="K513" s="16">
        <v>-8.2081651687622</v>
      </c>
      <c r="L513" s="16">
        <v>1.40100206550511</v>
      </c>
      <c r="M513" s="16">
        <v>1.19581032771562</v>
      </c>
      <c r="N513" s="16">
        <v>-0.137707573917057</v>
      </c>
      <c r="O513" s="16">
        <v>0.494810789823532</v>
      </c>
      <c r="P513" s="16">
        <v>56.1389808654785</v>
      </c>
      <c r="Q513" s="17" t="s">
        <v>26</v>
      </c>
      <c r="S513" s="14">
        <v>0.898727894</v>
      </c>
      <c r="T513" s="14">
        <v>0.50379</v>
      </c>
      <c r="U513" s="14">
        <v>0.12569</v>
      </c>
    </row>
    <row r="514">
      <c r="A514" s="10" t="s">
        <v>91</v>
      </c>
      <c r="B514" s="11">
        <v>2021.0</v>
      </c>
      <c r="C514" s="11">
        <v>28.0</v>
      </c>
      <c r="D514" s="11">
        <v>6.483</v>
      </c>
      <c r="E514" s="11">
        <v>10.623</v>
      </c>
      <c r="F514" s="11">
        <v>0.88</v>
      </c>
      <c r="G514" s="11">
        <v>73.8</v>
      </c>
      <c r="H514" s="11">
        <v>0.693</v>
      </c>
      <c r="I514" s="11">
        <v>-0.084</v>
      </c>
      <c r="J514" s="11">
        <v>0.866</v>
      </c>
      <c r="K514" s="11">
        <v>14.08469</v>
      </c>
      <c r="L514" s="11">
        <v>0.576</v>
      </c>
      <c r="M514" s="11">
        <v>0.538692422604536</v>
      </c>
      <c r="N514" s="11">
        <v>1.873783</v>
      </c>
      <c r="O514" s="11">
        <v>0.797</v>
      </c>
      <c r="P514" s="11">
        <v>6.22</v>
      </c>
      <c r="Q514" s="13" t="s">
        <v>26</v>
      </c>
      <c r="S514" s="14">
        <v>0.898874462</v>
      </c>
      <c r="T514" s="14">
        <v>0.504</v>
      </c>
      <c r="U514" s="14">
        <v>0.12583</v>
      </c>
    </row>
    <row r="515">
      <c r="A515" s="15" t="s">
        <v>91</v>
      </c>
      <c r="B515" s="16">
        <v>2022.0</v>
      </c>
      <c r="C515" s="16">
        <v>31.0</v>
      </c>
      <c r="D515" s="16">
        <v>6.467</v>
      </c>
      <c r="E515" s="16">
        <v>1.834</v>
      </c>
      <c r="F515" s="16">
        <v>1.052</v>
      </c>
      <c r="G515" s="16">
        <v>0.801</v>
      </c>
      <c r="H515" s="16">
        <v>0.412</v>
      </c>
      <c r="I515" s="16">
        <v>0.085</v>
      </c>
      <c r="J515" s="16">
        <v>0.059</v>
      </c>
      <c r="K515" s="16">
        <v>50.172133535478</v>
      </c>
      <c r="L515" s="16">
        <v>9.141557</v>
      </c>
      <c r="M515" s="16">
        <v>2.92206930989018</v>
      </c>
      <c r="N515" s="16">
        <v>8.20129</v>
      </c>
      <c r="O515" s="16">
        <v>2.91879518072291</v>
      </c>
      <c r="P515" s="16">
        <v>42.7716186252771</v>
      </c>
      <c r="Q515" s="17" t="s">
        <v>26</v>
      </c>
      <c r="S515" s="14">
        <v>0.900567949</v>
      </c>
      <c r="T515" s="14">
        <v>0.50442</v>
      </c>
      <c r="U515" s="14">
        <v>0.126</v>
      </c>
    </row>
    <row r="516">
      <c r="A516" s="10" t="s">
        <v>91</v>
      </c>
      <c r="B516" s="11">
        <v>2023.0</v>
      </c>
      <c r="C516" s="11">
        <v>33.0</v>
      </c>
      <c r="D516" s="11">
        <v>6.405</v>
      </c>
      <c r="E516" s="11">
        <v>10.634</v>
      </c>
      <c r="F516" s="11">
        <v>0.882</v>
      </c>
      <c r="G516" s="11">
        <v>72.05</v>
      </c>
      <c r="H516" s="11">
        <v>0.711</v>
      </c>
      <c r="I516" s="11">
        <v>-0.074</v>
      </c>
      <c r="J516" s="11">
        <v>0.842</v>
      </c>
      <c r="K516" s="11">
        <v>3.72190502186824</v>
      </c>
      <c r="L516" s="11">
        <v>10.0151585348072</v>
      </c>
      <c r="M516" s="11">
        <v>5.29190326668201</v>
      </c>
      <c r="N516" s="11">
        <v>5.62219442195901</v>
      </c>
      <c r="O516" s="11">
        <v>4.15332770115224</v>
      </c>
      <c r="P516" s="11">
        <v>-5.63616071428526</v>
      </c>
      <c r="Q516" s="13" t="s">
        <v>26</v>
      </c>
      <c r="S516" s="14">
        <v>0.901545942</v>
      </c>
      <c r="T516" s="14">
        <v>0.505</v>
      </c>
      <c r="U516" s="14">
        <v>0.126</v>
      </c>
    </row>
    <row r="517">
      <c r="A517" s="15" t="s">
        <v>92</v>
      </c>
      <c r="B517" s="16">
        <v>2015.0</v>
      </c>
      <c r="C517" s="16">
        <v>65.0</v>
      </c>
      <c r="D517" s="16">
        <v>5.709</v>
      </c>
      <c r="E517" s="16">
        <v>0.81038</v>
      </c>
      <c r="F517" s="16">
        <v>1.15102</v>
      </c>
      <c r="G517" s="16">
        <v>0.68741</v>
      </c>
      <c r="H517" s="16">
        <v>0.50442</v>
      </c>
      <c r="I517" s="16">
        <v>0.2123</v>
      </c>
      <c r="J517" s="16">
        <v>0.02299</v>
      </c>
      <c r="K517" s="16">
        <v>-9.09775352478027</v>
      </c>
      <c r="L517" s="16">
        <v>7.76701593399047</v>
      </c>
      <c r="M517" s="16">
        <v>6.71054329590914</v>
      </c>
      <c r="N517" s="16">
        <v>3.67772674560546</v>
      </c>
      <c r="O517" s="12"/>
      <c r="P517" s="16">
        <v>-2.75197196006774</v>
      </c>
      <c r="Q517" s="17" t="s">
        <v>43</v>
      </c>
      <c r="S517" s="14">
        <v>0.902</v>
      </c>
      <c r="T517" s="14">
        <v>0.505196333</v>
      </c>
      <c r="U517" s="14">
        <v>0.12692</v>
      </c>
    </row>
    <row r="518">
      <c r="A518" s="10" t="s">
        <v>92</v>
      </c>
      <c r="B518" s="11">
        <v>2016.0</v>
      </c>
      <c r="C518" s="11">
        <v>73.0</v>
      </c>
      <c r="D518" s="11">
        <v>5.51</v>
      </c>
      <c r="E518" s="11">
        <v>0.89333</v>
      </c>
      <c r="F518" s="11">
        <v>0.96372</v>
      </c>
      <c r="G518" s="11">
        <v>0.59469</v>
      </c>
      <c r="H518" s="11">
        <v>0.43597</v>
      </c>
      <c r="I518" s="11">
        <v>0.22245</v>
      </c>
      <c r="J518" s="11">
        <v>0.04294</v>
      </c>
      <c r="K518" s="11">
        <v>-1.38072752952575</v>
      </c>
      <c r="L518" s="11">
        <v>3.97940397262573</v>
      </c>
      <c r="M518" s="11">
        <v>4.53724979060569</v>
      </c>
      <c r="N518" s="11">
        <v>2.35259962081909</v>
      </c>
      <c r="O518" s="12"/>
      <c r="P518" s="11">
        <v>-0.480067759752273</v>
      </c>
      <c r="Q518" s="13" t="s">
        <v>43</v>
      </c>
      <c r="S518" s="14">
        <v>0.902094483</v>
      </c>
      <c r="T518" s="14">
        <v>0.505625546</v>
      </c>
      <c r="U518" s="14">
        <v>0.127</v>
      </c>
    </row>
    <row r="519">
      <c r="A519" s="15" t="s">
        <v>92</v>
      </c>
      <c r="B519" s="16">
        <v>2017.0</v>
      </c>
      <c r="C519" s="16">
        <v>76.0</v>
      </c>
      <c r="D519" s="16">
        <v>5.31099987</v>
      </c>
      <c r="E519" s="16">
        <v>0.925579309</v>
      </c>
      <c r="F519" s="16">
        <v>1.368218064</v>
      </c>
      <c r="G519" s="16">
        <v>0.641022384</v>
      </c>
      <c r="H519" s="16">
        <v>0.474307239</v>
      </c>
      <c r="I519" s="16">
        <v>0.233818337</v>
      </c>
      <c r="J519" s="16">
        <v>0.055267781</v>
      </c>
      <c r="K519" s="16">
        <v>11.1004438400268</v>
      </c>
      <c r="L519" s="16">
        <v>4.46063184738159</v>
      </c>
      <c r="M519" s="16">
        <v>6.88623909028977</v>
      </c>
      <c r="N519" s="16">
        <v>4.383</v>
      </c>
      <c r="O519" s="12"/>
      <c r="P519" s="16">
        <v>7.0326018333435</v>
      </c>
      <c r="Q519" s="17" t="s">
        <v>43</v>
      </c>
      <c r="S519" s="14">
        <v>0.903</v>
      </c>
      <c r="T519" s="14">
        <v>0.505740523</v>
      </c>
      <c r="U519" s="14">
        <v>0.127</v>
      </c>
    </row>
    <row r="520">
      <c r="A520" s="10" t="s">
        <v>92</v>
      </c>
      <c r="B520" s="11">
        <v>2018.0</v>
      </c>
      <c r="C520" s="11">
        <v>56.0</v>
      </c>
      <c r="D520" s="11">
        <v>5.89</v>
      </c>
      <c r="E520" s="11">
        <v>0.819</v>
      </c>
      <c r="F520" s="11">
        <v>1.493</v>
      </c>
      <c r="G520" s="11">
        <v>0.693</v>
      </c>
      <c r="H520" s="11">
        <v>0.575</v>
      </c>
      <c r="I520" s="11">
        <v>0.096</v>
      </c>
      <c r="J520" s="11">
        <v>0.031</v>
      </c>
      <c r="K520" s="11">
        <v>6.30806064605712</v>
      </c>
      <c r="L520" s="11">
        <v>4.07719230651855</v>
      </c>
      <c r="M520" s="11">
        <v>5.05762331389172</v>
      </c>
      <c r="N520" s="11">
        <v>3.73</v>
      </c>
      <c r="O520" s="12"/>
      <c r="P520" s="11">
        <v>7.26789426803588</v>
      </c>
      <c r="Q520" s="13" t="s">
        <v>43</v>
      </c>
      <c r="S520" s="14">
        <v>0.90432</v>
      </c>
      <c r="T520" s="14">
        <v>0.507</v>
      </c>
      <c r="U520" s="14">
        <v>0.12721</v>
      </c>
    </row>
    <row r="521">
      <c r="A521" s="15" t="s">
        <v>92</v>
      </c>
      <c r="B521" s="16">
        <v>2019.0</v>
      </c>
      <c r="C521" s="16">
        <v>56.0</v>
      </c>
      <c r="D521" s="16">
        <v>5.89</v>
      </c>
      <c r="E521" s="16">
        <v>0.831</v>
      </c>
      <c r="F521" s="16">
        <v>1.478</v>
      </c>
      <c r="G521" s="16">
        <v>0.831</v>
      </c>
      <c r="H521" s="16">
        <v>0.49</v>
      </c>
      <c r="I521" s="16">
        <v>0.107</v>
      </c>
      <c r="J521" s="16">
        <v>0.028</v>
      </c>
      <c r="K521" s="16">
        <v>1.299125790596</v>
      </c>
      <c r="L521" s="16">
        <v>6.32819604873657</v>
      </c>
      <c r="M521" s="16">
        <v>3.10284567425462</v>
      </c>
      <c r="N521" s="16">
        <v>3.91000008583068</v>
      </c>
      <c r="O521" s="12"/>
      <c r="P521" s="16">
        <v>3.113529920578</v>
      </c>
      <c r="Q521" s="17" t="s">
        <v>43</v>
      </c>
      <c r="S521" s="14">
        <v>0.905</v>
      </c>
      <c r="T521" s="14">
        <v>0.508</v>
      </c>
      <c r="U521" s="14">
        <v>0.128</v>
      </c>
    </row>
    <row r="522">
      <c r="A522" s="10" t="s">
        <v>92</v>
      </c>
      <c r="B522" s="11">
        <v>2020.0</v>
      </c>
      <c r="C522" s="11">
        <v>60.0</v>
      </c>
      <c r="D522" s="11">
        <v>5.889800072</v>
      </c>
      <c r="E522" s="11">
        <v>0.779058397</v>
      </c>
      <c r="F522" s="11">
        <v>0.915701866</v>
      </c>
      <c r="G522" s="11">
        <v>67.09999847</v>
      </c>
      <c r="H522" s="11">
        <v>0.858068526</v>
      </c>
      <c r="I522" s="11">
        <v>-0.125106767</v>
      </c>
      <c r="J522" s="11">
        <v>0.888890028</v>
      </c>
      <c r="K522" s="11">
        <v>2.13744163513183</v>
      </c>
      <c r="L522" s="11">
        <v>10.8287858963012</v>
      </c>
      <c r="M522" s="11">
        <v>4.28512216243422</v>
      </c>
      <c r="N522" s="11">
        <v>5.22677779293501</v>
      </c>
      <c r="O522" s="12"/>
      <c r="P522" s="11">
        <v>0.969331979751586</v>
      </c>
      <c r="Q522" s="13" t="s">
        <v>43</v>
      </c>
      <c r="S522" s="14">
        <v>0.905</v>
      </c>
      <c r="T522" s="14">
        <v>0.508</v>
      </c>
      <c r="U522" s="14">
        <v>0.128</v>
      </c>
    </row>
    <row r="523">
      <c r="A523" s="15" t="s">
        <v>92</v>
      </c>
      <c r="B523" s="16">
        <v>2021.0</v>
      </c>
      <c r="C523" s="16">
        <v>37.0</v>
      </c>
      <c r="D523" s="16">
        <v>6.309</v>
      </c>
      <c r="E523" s="16">
        <v>9.186</v>
      </c>
      <c r="F523" s="16">
        <v>0.877</v>
      </c>
      <c r="G523" s="16">
        <v>67.5</v>
      </c>
      <c r="H523" s="16">
        <v>0.89</v>
      </c>
      <c r="I523" s="16">
        <v>-0.137</v>
      </c>
      <c r="J523" s="16">
        <v>0.884</v>
      </c>
      <c r="K523" s="16">
        <v>5.31372157311751</v>
      </c>
      <c r="L523" s="16">
        <v>6.71931986001407</v>
      </c>
      <c r="M523" s="16">
        <v>7.42742370243525</v>
      </c>
      <c r="N523" s="16">
        <v>5.85999366487169</v>
      </c>
      <c r="O523" s="12"/>
      <c r="P523" s="16">
        <v>12.9393785022924</v>
      </c>
      <c r="Q523" s="17" t="s">
        <v>43</v>
      </c>
      <c r="S523" s="14">
        <v>0.90528</v>
      </c>
      <c r="T523" s="14">
        <v>0.508</v>
      </c>
      <c r="U523" s="14">
        <v>0.128</v>
      </c>
    </row>
    <row r="524">
      <c r="A524" s="10" t="s">
        <v>92</v>
      </c>
      <c r="B524" s="11">
        <v>2022.0</v>
      </c>
      <c r="C524" s="11">
        <v>63.0</v>
      </c>
      <c r="D524" s="11">
        <v>5.85</v>
      </c>
      <c r="E524" s="11">
        <v>1.296</v>
      </c>
      <c r="F524" s="11">
        <v>1.045</v>
      </c>
      <c r="G524" s="11">
        <v>0.646</v>
      </c>
      <c r="H524" s="11">
        <v>0.567</v>
      </c>
      <c r="I524" s="11">
        <v>0.08</v>
      </c>
      <c r="J524" s="11">
        <v>0.053</v>
      </c>
      <c r="K524" s="11">
        <v>7.79235991578372</v>
      </c>
      <c r="L524" s="11">
        <v>11.9535428847168</v>
      </c>
      <c r="M524" s="11">
        <v>7.42591433425736</v>
      </c>
      <c r="N524" s="11">
        <v>10.3495688391272</v>
      </c>
      <c r="O524" s="12"/>
      <c r="P524" s="11">
        <v>20.1247932641707</v>
      </c>
      <c r="Q524" s="13" t="s">
        <v>43</v>
      </c>
      <c r="S524" s="14">
        <v>0.90557</v>
      </c>
      <c r="T524" s="14">
        <v>0.50817</v>
      </c>
      <c r="U524" s="14">
        <v>0.12832</v>
      </c>
    </row>
    <row r="525">
      <c r="A525" s="15" t="s">
        <v>92</v>
      </c>
      <c r="B525" s="16">
        <v>2023.0</v>
      </c>
      <c r="C525" s="16">
        <v>68.0</v>
      </c>
      <c r="D525" s="16">
        <v>5.703</v>
      </c>
      <c r="E525" s="16">
        <v>9.165</v>
      </c>
      <c r="F525" s="16">
        <v>0.867</v>
      </c>
      <c r="G525" s="16">
        <v>66.6</v>
      </c>
      <c r="H525" s="16">
        <v>0.822</v>
      </c>
      <c r="I525" s="16">
        <v>-0.106</v>
      </c>
      <c r="J525" s="16">
        <v>0.875</v>
      </c>
      <c r="K525" s="12"/>
      <c r="L525" s="16">
        <v>10.0933862095432</v>
      </c>
      <c r="M525" s="16">
        <v>9.19999291558925</v>
      </c>
      <c r="N525" s="16">
        <v>6.61893693723822</v>
      </c>
      <c r="O525" s="12"/>
      <c r="P525" s="12"/>
      <c r="Q525" s="17" t="s">
        <v>43</v>
      </c>
      <c r="S525" s="14">
        <v>0.90587</v>
      </c>
      <c r="T525" s="14">
        <v>0.508190036</v>
      </c>
      <c r="U525" s="14">
        <v>0.12869</v>
      </c>
    </row>
    <row r="526">
      <c r="A526" s="10" t="s">
        <v>93</v>
      </c>
      <c r="B526" s="11">
        <v>2015.0</v>
      </c>
      <c r="C526" s="11">
        <v>46.0</v>
      </c>
      <c r="D526" s="11">
        <v>5.987</v>
      </c>
      <c r="E526" s="11">
        <v>1.27074</v>
      </c>
      <c r="F526" s="11">
        <v>1.25712</v>
      </c>
      <c r="G526" s="11">
        <v>0.99111</v>
      </c>
      <c r="H526" s="11">
        <v>0.49615</v>
      </c>
      <c r="I526" s="11">
        <v>0.10705</v>
      </c>
      <c r="J526" s="11">
        <v>0.1806</v>
      </c>
      <c r="K526" s="11">
        <v>0.0416780151426792</v>
      </c>
      <c r="L526" s="11">
        <v>3.08365678787231</v>
      </c>
      <c r="M526" s="11">
        <v>2.11186340287776</v>
      </c>
      <c r="N526" s="11">
        <v>0.789517402648925</v>
      </c>
      <c r="O526" s="11">
        <v>1.021213</v>
      </c>
      <c r="P526" s="11">
        <v>-2.28790616989135</v>
      </c>
      <c r="Q526" s="13" t="s">
        <v>24</v>
      </c>
      <c r="S526" s="14">
        <v>0.906</v>
      </c>
      <c r="T526" s="14">
        <v>0.509</v>
      </c>
      <c r="U526" s="14">
        <v>0.13</v>
      </c>
    </row>
    <row r="527">
      <c r="A527" s="15" t="s">
        <v>93</v>
      </c>
      <c r="B527" s="16">
        <v>2016.0</v>
      </c>
      <c r="C527" s="16">
        <v>53.0</v>
      </c>
      <c r="D527" s="16">
        <v>5.921</v>
      </c>
      <c r="E527" s="16">
        <v>1.38007</v>
      </c>
      <c r="F527" s="16">
        <v>1.06054</v>
      </c>
      <c r="G527" s="16">
        <v>0.91491</v>
      </c>
      <c r="H527" s="16">
        <v>0.46761</v>
      </c>
      <c r="I527" s="16">
        <v>0.10224</v>
      </c>
      <c r="J527" s="16">
        <v>0.18985</v>
      </c>
      <c r="K527" s="16">
        <v>-0.133320197463035</v>
      </c>
      <c r="L527" s="16">
        <v>1.69152474403381</v>
      </c>
      <c r="M527" s="16">
        <v>0.420037803402307</v>
      </c>
      <c r="N527" s="16">
        <v>-0.116668701171875</v>
      </c>
      <c r="O527" s="16">
        <v>0.4040112</v>
      </c>
      <c r="P527" s="16">
        <v>-3.49971151351928</v>
      </c>
      <c r="Q527" s="17" t="s">
        <v>24</v>
      </c>
      <c r="S527" s="14">
        <v>0.906</v>
      </c>
      <c r="T527" s="14">
        <v>0.50961</v>
      </c>
      <c r="U527" s="14">
        <v>0.13</v>
      </c>
    </row>
    <row r="528">
      <c r="A528" s="10" t="s">
        <v>93</v>
      </c>
      <c r="B528" s="11">
        <v>2017.0</v>
      </c>
      <c r="C528" s="11">
        <v>51.0</v>
      </c>
      <c r="D528" s="11">
        <v>5.920000076</v>
      </c>
      <c r="E528" s="11">
        <v>1.416915178</v>
      </c>
      <c r="F528" s="11">
        <v>1.436337829</v>
      </c>
      <c r="G528" s="11">
        <v>0.913475871</v>
      </c>
      <c r="H528" s="11">
        <v>0.505625546</v>
      </c>
      <c r="I528" s="11">
        <v>0.120572768</v>
      </c>
      <c r="J528" s="11">
        <v>0.163760737</v>
      </c>
      <c r="K528" s="11">
        <v>-0.158530995249748</v>
      </c>
      <c r="L528" s="11">
        <v>0.721079051494598</v>
      </c>
      <c r="M528" s="11">
        <v>-0.0746930117218261</v>
      </c>
      <c r="N528" s="11">
        <v>0.468</v>
      </c>
      <c r="O528" s="11">
        <v>-0.06723353</v>
      </c>
      <c r="P528" s="11">
        <v>2.34005427360534</v>
      </c>
      <c r="Q528" s="13" t="s">
        <v>24</v>
      </c>
      <c r="S528" s="14">
        <v>0.906</v>
      </c>
      <c r="T528" s="14">
        <v>0.511</v>
      </c>
      <c r="U528" s="14">
        <v>0.13015</v>
      </c>
    </row>
    <row r="529">
      <c r="A529" s="15" t="s">
        <v>93</v>
      </c>
      <c r="B529" s="16">
        <v>2018.0</v>
      </c>
      <c r="C529" s="16">
        <v>54.0</v>
      </c>
      <c r="D529" s="16">
        <v>5.915</v>
      </c>
      <c r="E529" s="16">
        <v>1.294</v>
      </c>
      <c r="F529" s="16">
        <v>1.462</v>
      </c>
      <c r="G529" s="16">
        <v>0.988</v>
      </c>
      <c r="H529" s="16">
        <v>0.553</v>
      </c>
      <c r="I529" s="16">
        <v>0.079</v>
      </c>
      <c r="J529" s="16">
        <v>0.15</v>
      </c>
      <c r="K529" s="16">
        <v>-0.117000199854373</v>
      </c>
      <c r="L529" s="16">
        <v>1.40741848945617</v>
      </c>
      <c r="M529" s="16">
        <v>0.0049832562589653</v>
      </c>
      <c r="N529" s="16">
        <v>0.98</v>
      </c>
      <c r="O529" s="16">
        <v>0.1929031</v>
      </c>
      <c r="P529" s="16">
        <v>2.51432967185974</v>
      </c>
      <c r="Q529" s="17" t="s">
        <v>24</v>
      </c>
      <c r="S529" s="14">
        <v>0.90674746</v>
      </c>
      <c r="T529" s="14">
        <v>0.511</v>
      </c>
      <c r="U529" s="14">
        <v>0.130687982</v>
      </c>
    </row>
    <row r="530">
      <c r="A530" s="10" t="s">
        <v>93</v>
      </c>
      <c r="B530" s="11">
        <v>2019.0</v>
      </c>
      <c r="C530" s="11">
        <v>58.0</v>
      </c>
      <c r="D530" s="11">
        <v>5.886</v>
      </c>
      <c r="E530" s="11">
        <v>1.327</v>
      </c>
      <c r="F530" s="11">
        <v>1.419</v>
      </c>
      <c r="G530" s="11">
        <v>1.088</v>
      </c>
      <c r="H530" s="11">
        <v>0.445</v>
      </c>
      <c r="I530" s="11">
        <v>0.069</v>
      </c>
      <c r="J530" s="11">
        <v>0.14</v>
      </c>
      <c r="K530" s="11">
        <v>1.3677190542221</v>
      </c>
      <c r="L530" s="11">
        <v>0.2190880761454</v>
      </c>
      <c r="M530" s="11">
        <v>0.640814821458826</v>
      </c>
      <c r="N530" s="11">
        <v>0.476999998092651</v>
      </c>
      <c r="O530" s="11">
        <v>0.4548088</v>
      </c>
      <c r="P530" s="11">
        <v>4.11774682998657</v>
      </c>
      <c r="Q530" s="13" t="s">
        <v>24</v>
      </c>
      <c r="S530" s="14">
        <v>0.906912208</v>
      </c>
      <c r="T530" s="14">
        <v>0.51231</v>
      </c>
      <c r="U530" s="14">
        <v>0.132</v>
      </c>
    </row>
    <row r="531">
      <c r="A531" s="15" t="s">
        <v>93</v>
      </c>
      <c r="B531" s="16">
        <v>2020.0</v>
      </c>
      <c r="C531" s="16">
        <v>62.0</v>
      </c>
      <c r="D531" s="16">
        <v>5.870800018</v>
      </c>
      <c r="E531" s="16">
        <v>1.26672411</v>
      </c>
      <c r="F531" s="16">
        <v>0.883545935</v>
      </c>
      <c r="G531" s="16">
        <v>75.00096893</v>
      </c>
      <c r="H531" s="16">
        <v>0.809961379</v>
      </c>
      <c r="I531" s="16">
        <v>-0.246910349</v>
      </c>
      <c r="J531" s="16">
        <v>0.654558063</v>
      </c>
      <c r="K531" s="16">
        <v>-0.385692962693926</v>
      </c>
      <c r="L531" s="16">
        <v>1.20251176255866</v>
      </c>
      <c r="M531" s="16">
        <v>0.919947714489426</v>
      </c>
      <c r="N531" s="16">
        <v>-0.0163692912103031</v>
      </c>
      <c r="O531" s="16">
        <v>0.1139894</v>
      </c>
      <c r="P531" s="16">
        <v>2.99885702133178</v>
      </c>
      <c r="Q531" s="17" t="s">
        <v>24</v>
      </c>
      <c r="S531" s="14">
        <v>0.907</v>
      </c>
      <c r="T531" s="14">
        <v>0.513</v>
      </c>
      <c r="U531" s="14">
        <v>0.132</v>
      </c>
    </row>
    <row r="532">
      <c r="A532" s="10" t="s">
        <v>93</v>
      </c>
      <c r="B532" s="11">
        <v>2021.0</v>
      </c>
      <c r="C532" s="11">
        <v>56.0</v>
      </c>
      <c r="D532" s="11">
        <v>5.94</v>
      </c>
      <c r="E532" s="11">
        <v>10.611</v>
      </c>
      <c r="F532" s="11">
        <v>0.884</v>
      </c>
      <c r="G532" s="11">
        <v>75.1</v>
      </c>
      <c r="H532" s="11">
        <v>0.796</v>
      </c>
      <c r="I532" s="11">
        <v>-0.258</v>
      </c>
      <c r="J532" s="11">
        <v>0.638</v>
      </c>
      <c r="K532" s="11">
        <v>3.958663</v>
      </c>
      <c r="L532" s="11">
        <v>-0.05</v>
      </c>
      <c r="M532" s="11">
        <v>-0.875626752687526</v>
      </c>
      <c r="N532" s="11">
        <v>-0.2333528</v>
      </c>
      <c r="O532" s="11">
        <v>-0.733</v>
      </c>
      <c r="P532" s="11">
        <v>4.75039586632219</v>
      </c>
      <c r="Q532" s="13" t="s">
        <v>24</v>
      </c>
      <c r="S532" s="14">
        <v>0.907</v>
      </c>
      <c r="T532" s="14">
        <v>0.51354</v>
      </c>
      <c r="U532" s="14">
        <v>0.132774115</v>
      </c>
    </row>
    <row r="533">
      <c r="A533" s="15" t="s">
        <v>93</v>
      </c>
      <c r="B533" s="16">
        <v>2022.0</v>
      </c>
      <c r="C533" s="16">
        <v>54.0</v>
      </c>
      <c r="D533" s="16">
        <v>6.039</v>
      </c>
      <c r="E533" s="16">
        <v>1.835</v>
      </c>
      <c r="F533" s="16">
        <v>1.089</v>
      </c>
      <c r="G533" s="16">
        <v>0.866</v>
      </c>
      <c r="H533" s="16">
        <v>0.537</v>
      </c>
      <c r="I533" s="16">
        <v>0.007</v>
      </c>
      <c r="J533" s="16">
        <v>0.218</v>
      </c>
      <c r="K533" s="16">
        <v>17.1376927800511</v>
      </c>
      <c r="L533" s="16">
        <v>4.901634</v>
      </c>
      <c r="M533" s="16">
        <v>0.243869778803953</v>
      </c>
      <c r="N533" s="16">
        <v>2.508333</v>
      </c>
      <c r="O533" s="16">
        <v>0.336322869955152</v>
      </c>
      <c r="P533" s="16">
        <v>8.43344737051476</v>
      </c>
      <c r="Q533" s="17" t="s">
        <v>24</v>
      </c>
      <c r="S533" s="14">
        <v>0.908</v>
      </c>
      <c r="T533" s="14">
        <v>0.514</v>
      </c>
      <c r="U533" s="14">
        <v>0.13297</v>
      </c>
    </row>
    <row r="534">
      <c r="A534" s="10" t="s">
        <v>93</v>
      </c>
      <c r="B534" s="11">
        <v>2023.0</v>
      </c>
      <c r="C534" s="11">
        <v>47.0</v>
      </c>
      <c r="D534" s="11">
        <v>6.129</v>
      </c>
      <c r="E534" s="11">
        <v>10.616</v>
      </c>
      <c r="F534" s="11">
        <v>0.894</v>
      </c>
      <c r="G534" s="11">
        <v>74.349</v>
      </c>
      <c r="H534" s="11">
        <v>0.799</v>
      </c>
      <c r="I534" s="11">
        <v>-0.237</v>
      </c>
      <c r="J534" s="11">
        <v>0.64</v>
      </c>
      <c r="K534" s="11">
        <v>-5.80371139126453</v>
      </c>
      <c r="L534" s="11">
        <v>8.05679642629229</v>
      </c>
      <c r="M534" s="11">
        <v>3.64868786800058</v>
      </c>
      <c r="N534" s="11">
        <v>3.26813365933163</v>
      </c>
      <c r="O534" s="11">
        <v>2.71921565823292</v>
      </c>
      <c r="P534" s="11">
        <v>4.37370480746259</v>
      </c>
      <c r="Q534" s="13" t="s">
        <v>24</v>
      </c>
      <c r="S534" s="14">
        <v>0.908</v>
      </c>
      <c r="T534" s="14">
        <v>0.514492035</v>
      </c>
      <c r="U534" s="14">
        <v>0.133</v>
      </c>
    </row>
    <row r="535">
      <c r="A535" s="15" t="s">
        <v>94</v>
      </c>
      <c r="B535" s="16">
        <v>2015.0</v>
      </c>
      <c r="C535" s="16">
        <v>82.0</v>
      </c>
      <c r="D535" s="16">
        <v>5.192</v>
      </c>
      <c r="E535" s="16">
        <v>0.90198</v>
      </c>
      <c r="F535" s="16">
        <v>1.05392</v>
      </c>
      <c r="G535" s="16">
        <v>0.69639</v>
      </c>
      <c r="H535" s="16">
        <v>0.40661</v>
      </c>
      <c r="I535" s="16">
        <v>0.11053</v>
      </c>
      <c r="J535" s="16">
        <v>0.14293</v>
      </c>
      <c r="K535" s="16">
        <v>0.569956600666046</v>
      </c>
      <c r="L535" s="16">
        <v>1.12389695644378</v>
      </c>
      <c r="M535" s="16">
        <v>2.16961299075195</v>
      </c>
      <c r="N535" s="16">
        <v>-0.872054517269134</v>
      </c>
      <c r="O535" s="16">
        <v>-0.692354023456573</v>
      </c>
      <c r="P535" s="16">
        <v>-9.93152141571045</v>
      </c>
      <c r="Q535" s="17" t="s">
        <v>24</v>
      </c>
      <c r="S535" s="14">
        <v>0.90836</v>
      </c>
      <c r="T535" s="14">
        <v>0.51469</v>
      </c>
      <c r="U535" s="14">
        <v>0.134</v>
      </c>
    </row>
    <row r="536">
      <c r="A536" s="10" t="s">
        <v>94</v>
      </c>
      <c r="B536" s="11">
        <v>2016.0</v>
      </c>
      <c r="C536" s="11">
        <v>80.0</v>
      </c>
      <c r="D536" s="11">
        <v>5.303</v>
      </c>
      <c r="E536" s="11">
        <v>0.99673</v>
      </c>
      <c r="F536" s="11">
        <v>0.86216</v>
      </c>
      <c r="G536" s="11">
        <v>0.60712</v>
      </c>
      <c r="H536" s="11">
        <v>0.36023</v>
      </c>
      <c r="I536" s="11">
        <v>0.14262</v>
      </c>
      <c r="J536" s="11">
        <v>0.13297</v>
      </c>
      <c r="K536" s="11">
        <v>1.15759050846099</v>
      </c>
      <c r="L536" s="11">
        <v>-3.47594952583313</v>
      </c>
      <c r="M536" s="11">
        <v>1.36230943885824</v>
      </c>
      <c r="N536" s="11">
        <v>-0.777362346649169</v>
      </c>
      <c r="O536" s="11">
        <v>0.611755609512329</v>
      </c>
      <c r="P536" s="11">
        <v>-8.76763439178466</v>
      </c>
      <c r="Q536" s="13" t="s">
        <v>24</v>
      </c>
      <c r="S536" s="14">
        <v>0.909</v>
      </c>
      <c r="T536" s="14">
        <v>0.516</v>
      </c>
      <c r="U536" s="14">
        <v>0.134</v>
      </c>
    </row>
    <row r="537">
      <c r="A537" s="15" t="s">
        <v>94</v>
      </c>
      <c r="B537" s="16">
        <v>2017.0</v>
      </c>
      <c r="C537" s="16">
        <v>74.0</v>
      </c>
      <c r="D537" s="16">
        <v>5.335999966</v>
      </c>
      <c r="E537" s="16">
        <v>0.991012394</v>
      </c>
      <c r="F537" s="16">
        <v>1.239088893</v>
      </c>
      <c r="G537" s="16">
        <v>0.604590058</v>
      </c>
      <c r="H537" s="16">
        <v>0.418421149</v>
      </c>
      <c r="I537" s="16">
        <v>0.17217046</v>
      </c>
      <c r="J537" s="16">
        <v>0.119803272</v>
      </c>
      <c r="K537" s="16">
        <v>2.79576468467712</v>
      </c>
      <c r="L537" s="16">
        <v>-0.412030518054962</v>
      </c>
      <c r="M537" s="16">
        <v>1.677</v>
      </c>
      <c r="N537" s="16">
        <v>3.324</v>
      </c>
      <c r="O537" s="16">
        <v>4.73647212982177</v>
      </c>
      <c r="P537" s="16">
        <v>4.11493921279907</v>
      </c>
      <c r="Q537" s="17" t="s">
        <v>24</v>
      </c>
      <c r="S537" s="14">
        <v>0.909</v>
      </c>
      <c r="T537" s="14">
        <v>0.516</v>
      </c>
      <c r="U537" s="14">
        <v>0.135</v>
      </c>
    </row>
    <row r="538">
      <c r="A538" s="10" t="s">
        <v>94</v>
      </c>
      <c r="B538" s="11">
        <v>2018.0</v>
      </c>
      <c r="C538" s="11">
        <v>90.0</v>
      </c>
      <c r="D538" s="11">
        <v>5.161</v>
      </c>
      <c r="E538" s="11">
        <v>0.822</v>
      </c>
      <c r="F538" s="11">
        <v>1.265</v>
      </c>
      <c r="G538" s="11">
        <v>0.645</v>
      </c>
      <c r="H538" s="11">
        <v>0.468</v>
      </c>
      <c r="I538" s="11">
        <v>0.13</v>
      </c>
      <c r="J538" s="11">
        <v>0.134</v>
      </c>
      <c r="K538" s="11">
        <v>3.52529382705688</v>
      </c>
      <c r="L538" s="11">
        <v>3.23389077186584</v>
      </c>
      <c r="M538" s="11">
        <v>1.71326848746519</v>
      </c>
      <c r="N538" s="11">
        <v>4.46</v>
      </c>
      <c r="O538" s="11">
        <v>4.60247039794921</v>
      </c>
      <c r="P538" s="11">
        <v>7.52991104125976</v>
      </c>
      <c r="Q538" s="13" t="s">
        <v>24</v>
      </c>
      <c r="S538" s="14">
        <v>0.90981</v>
      </c>
      <c r="T538" s="14">
        <v>0.516</v>
      </c>
      <c r="U538" s="14">
        <v>0.135</v>
      </c>
    </row>
    <row r="539">
      <c r="A539" s="15" t="s">
        <v>94</v>
      </c>
      <c r="B539" s="16">
        <v>2019.0</v>
      </c>
      <c r="C539" s="16">
        <v>101.0</v>
      </c>
      <c r="D539" s="16">
        <v>4.906</v>
      </c>
      <c r="E539" s="16">
        <v>0.837</v>
      </c>
      <c r="F539" s="16">
        <v>1.225</v>
      </c>
      <c r="G539" s="16">
        <v>0.815</v>
      </c>
      <c r="H539" s="16">
        <v>0.383</v>
      </c>
      <c r="I539" s="16">
        <v>0.11</v>
      </c>
      <c r="J539" s="16">
        <v>0.13</v>
      </c>
      <c r="K539" s="16">
        <v>1.54916667938232</v>
      </c>
      <c r="L539" s="16">
        <v>0.277502298355102</v>
      </c>
      <c r="M539" s="16">
        <v>1.67087285701854</v>
      </c>
      <c r="N539" s="16">
        <v>0.676999986171722</v>
      </c>
      <c r="O539" s="16">
        <v>1.04082465171813</v>
      </c>
      <c r="P539" s="16">
        <v>-1.46856081485748</v>
      </c>
      <c r="Q539" s="17" t="s">
        <v>24</v>
      </c>
      <c r="S539" s="14">
        <v>0.91</v>
      </c>
      <c r="T539" s="14">
        <v>0.51649</v>
      </c>
      <c r="U539" s="14">
        <v>0.13509</v>
      </c>
    </row>
    <row r="540">
      <c r="A540" s="10" t="s">
        <v>94</v>
      </c>
      <c r="B540" s="11">
        <v>2020.0</v>
      </c>
      <c r="C540" s="11">
        <v>119.0</v>
      </c>
      <c r="D540" s="11">
        <v>4.633399963</v>
      </c>
      <c r="E540" s="11">
        <v>0.785179198</v>
      </c>
      <c r="F540" s="11">
        <v>0.80216372</v>
      </c>
      <c r="G540" s="11">
        <v>66.79975128</v>
      </c>
      <c r="H540" s="11">
        <v>0.75104779</v>
      </c>
      <c r="I540" s="11">
        <v>-0.162565202</v>
      </c>
      <c r="J540" s="11">
        <v>0.700344324</v>
      </c>
      <c r="K540" s="11">
        <v>-1.81837513667601</v>
      </c>
      <c r="L540" s="11">
        <v>2.32772660255432</v>
      </c>
      <c r="M540" s="11">
        <v>-0.469818444653675</v>
      </c>
      <c r="N540" s="11">
        <v>0.333294350628691</v>
      </c>
      <c r="O540" s="11">
        <v>0.182268038392066</v>
      </c>
      <c r="P540" s="11">
        <v>-7.51568937301635</v>
      </c>
      <c r="Q540" s="13" t="s">
        <v>24</v>
      </c>
      <c r="S540" s="14">
        <v>0.91</v>
      </c>
      <c r="T540" s="14">
        <v>0.51697</v>
      </c>
      <c r="U540" s="14">
        <v>0.135638788</v>
      </c>
    </row>
    <row r="541">
      <c r="A541" s="15" t="s">
        <v>94</v>
      </c>
      <c r="B541" s="16">
        <v>2021.0</v>
      </c>
      <c r="C541" s="16">
        <v>127.0</v>
      </c>
      <c r="D541" s="16">
        <v>4.395</v>
      </c>
      <c r="E541" s="16">
        <v>9.182</v>
      </c>
      <c r="F541" s="16">
        <v>0.767</v>
      </c>
      <c r="G541" s="16">
        <v>67.0</v>
      </c>
      <c r="H541" s="16">
        <v>0.755</v>
      </c>
      <c r="I541" s="16">
        <v>-0.167</v>
      </c>
      <c r="J541" s="16">
        <v>0.705</v>
      </c>
      <c r="K541" s="16">
        <v>1.56</v>
      </c>
      <c r="L541" s="16">
        <v>0.1</v>
      </c>
      <c r="M541" s="16">
        <v>1.27866344499299</v>
      </c>
      <c r="N541" s="16">
        <v>1.34689571037621</v>
      </c>
      <c r="O541" s="16">
        <v>1.76503033645888</v>
      </c>
      <c r="P541" s="16">
        <v>12.5267714397755</v>
      </c>
      <c r="Q541" s="17" t="s">
        <v>24</v>
      </c>
      <c r="S541" s="14">
        <v>0.910268962</v>
      </c>
      <c r="T541" s="14">
        <v>0.518630743</v>
      </c>
      <c r="U541" s="14">
        <v>0.13586</v>
      </c>
    </row>
    <row r="542">
      <c r="A542" s="10" t="s">
        <v>94</v>
      </c>
      <c r="B542" s="11">
        <v>2022.0</v>
      </c>
      <c r="C542" s="11">
        <v>134.0</v>
      </c>
      <c r="D542" s="11">
        <v>4.152</v>
      </c>
      <c r="E542" s="11">
        <v>1.324</v>
      </c>
      <c r="F542" s="11">
        <v>0.724</v>
      </c>
      <c r="G542" s="11">
        <v>0.675</v>
      </c>
      <c r="H542" s="11">
        <v>0.476</v>
      </c>
      <c r="I542" s="11">
        <v>0.058</v>
      </c>
      <c r="J542" s="11">
        <v>0.2</v>
      </c>
      <c r="K542" s="11">
        <v>6.6171499637616</v>
      </c>
      <c r="L542" s="11">
        <v>3.43837404416295</v>
      </c>
      <c r="M542" s="11">
        <v>2.5886524822695</v>
      </c>
      <c r="N542" s="11">
        <v>4.22915568897118</v>
      </c>
      <c r="O542" s="11">
        <v>3.22137009351841</v>
      </c>
      <c r="P542" s="11">
        <v>13.9737962001139</v>
      </c>
      <c r="Q542" s="13" t="s">
        <v>24</v>
      </c>
      <c r="S542" s="14">
        <v>0.910357833</v>
      </c>
      <c r="T542" s="14">
        <v>0.519</v>
      </c>
      <c r="U542" s="14">
        <v>0.136</v>
      </c>
    </row>
    <row r="543">
      <c r="A543" s="15" t="s">
        <v>94</v>
      </c>
      <c r="B543" s="16">
        <v>2023.0</v>
      </c>
      <c r="C543" s="16">
        <v>123.0</v>
      </c>
      <c r="D543" s="16">
        <v>4.12</v>
      </c>
      <c r="E543" s="16">
        <v>9.13</v>
      </c>
      <c r="F543" s="16">
        <v>0.729</v>
      </c>
      <c r="G543" s="16">
        <v>67.6</v>
      </c>
      <c r="H543" s="16">
        <v>0.77</v>
      </c>
      <c r="I543" s="16">
        <v>-0.15</v>
      </c>
      <c r="J543" s="16">
        <v>0.687</v>
      </c>
      <c r="K543" s="16">
        <v>4.44715468564335</v>
      </c>
      <c r="L543" s="16">
        <v>0.581348457580034</v>
      </c>
      <c r="M543" s="16">
        <v>2.62675416507155</v>
      </c>
      <c r="N543" s="16">
        <v>2.08486986327134</v>
      </c>
      <c r="O543" s="16">
        <v>2.29552650553308</v>
      </c>
      <c r="P543" s="12"/>
      <c r="Q543" s="17" t="s">
        <v>24</v>
      </c>
      <c r="S543" s="14">
        <v>0.911632538</v>
      </c>
      <c r="T543" s="14">
        <v>0.519</v>
      </c>
      <c r="U543" s="14">
        <v>0.136</v>
      </c>
    </row>
    <row r="544">
      <c r="A544" s="10" t="s">
        <v>95</v>
      </c>
      <c r="B544" s="11">
        <v>2015.0</v>
      </c>
      <c r="C544" s="11">
        <v>54.0</v>
      </c>
      <c r="D544" s="11">
        <v>5.855</v>
      </c>
      <c r="E544" s="11">
        <v>1.12254</v>
      </c>
      <c r="F544" s="11">
        <v>1.12241</v>
      </c>
      <c r="G544" s="11">
        <v>0.64368</v>
      </c>
      <c r="H544" s="11">
        <v>0.51649</v>
      </c>
      <c r="I544" s="11">
        <v>0.11827</v>
      </c>
      <c r="J544" s="11">
        <v>0.08454</v>
      </c>
      <c r="K544" s="11">
        <v>4.08088016510009</v>
      </c>
      <c r="L544" s="11">
        <v>6.56050014495849</v>
      </c>
      <c r="M544" s="11">
        <v>1.82326927715686</v>
      </c>
      <c r="N544" s="11">
        <v>6.72047996520996</v>
      </c>
      <c r="O544" s="11">
        <v>7.67287545</v>
      </c>
      <c r="P544" s="11">
        <v>-20.5207805633544</v>
      </c>
      <c r="Q544" s="13" t="s">
        <v>24</v>
      </c>
      <c r="S544" s="14">
        <v>0.912</v>
      </c>
      <c r="T544" s="14">
        <v>0.52</v>
      </c>
      <c r="U544" s="14">
        <v>0.13633</v>
      </c>
    </row>
    <row r="545">
      <c r="A545" s="15" t="s">
        <v>95</v>
      </c>
      <c r="B545" s="16">
        <v>2016.0</v>
      </c>
      <c r="C545" s="16">
        <v>54.0</v>
      </c>
      <c r="D545" s="16">
        <v>5.919</v>
      </c>
      <c r="E545" s="16">
        <v>1.22943</v>
      </c>
      <c r="F545" s="16">
        <v>0.95544</v>
      </c>
      <c r="G545" s="16">
        <v>0.57386</v>
      </c>
      <c r="H545" s="16">
        <v>0.4052</v>
      </c>
      <c r="I545" s="16">
        <v>0.15011</v>
      </c>
      <c r="J545" s="16">
        <v>0.11132</v>
      </c>
      <c r="K545" s="16">
        <v>11.5947999954223</v>
      </c>
      <c r="L545" s="16">
        <v>12.7875003814697</v>
      </c>
      <c r="M545" s="16">
        <v>13.6386033847767</v>
      </c>
      <c r="N545" s="16">
        <v>14.5903587341308</v>
      </c>
      <c r="O545" s="16">
        <v>15.39898598</v>
      </c>
      <c r="P545" s="16">
        <v>16.837345123291</v>
      </c>
      <c r="Q545" s="17" t="s">
        <v>24</v>
      </c>
      <c r="S545" s="14">
        <v>0.91226</v>
      </c>
      <c r="T545" s="14">
        <v>0.520303547</v>
      </c>
      <c r="U545" s="14">
        <v>0.13636</v>
      </c>
    </row>
    <row r="546">
      <c r="A546" s="10" t="s">
        <v>95</v>
      </c>
      <c r="B546" s="11">
        <v>2017.0</v>
      </c>
      <c r="C546" s="11">
        <v>60.0</v>
      </c>
      <c r="D546" s="11">
        <v>5.818999767</v>
      </c>
      <c r="E546" s="11">
        <v>1.28455627</v>
      </c>
      <c r="F546" s="11">
        <v>1.384369016</v>
      </c>
      <c r="G546" s="11">
        <v>0.606041551</v>
      </c>
      <c r="H546" s="11">
        <v>0.437454283</v>
      </c>
      <c r="I546" s="11">
        <v>0.201964423</v>
      </c>
      <c r="J546" s="11">
        <v>0.119282886</v>
      </c>
      <c r="K546" s="11">
        <v>0.753909966825575</v>
      </c>
      <c r="L546" s="11">
        <v>8.58</v>
      </c>
      <c r="M546" s="11">
        <v>11.2112359737945</v>
      </c>
      <c r="N546" s="11">
        <v>7.429</v>
      </c>
      <c r="O546" s="11">
        <v>6.96420733</v>
      </c>
      <c r="P546" s="11">
        <v>15.2923212051391</v>
      </c>
      <c r="Q546" s="13" t="s">
        <v>24</v>
      </c>
      <c r="S546" s="14">
        <v>0.913</v>
      </c>
      <c r="T546" s="14">
        <v>0.520342112</v>
      </c>
      <c r="U546" s="14">
        <v>0.13647</v>
      </c>
    </row>
    <row r="547">
      <c r="A547" s="15" t="s">
        <v>95</v>
      </c>
      <c r="B547" s="16">
        <v>2018.0</v>
      </c>
      <c r="C547" s="16">
        <v>60.0</v>
      </c>
      <c r="D547" s="16">
        <v>5.79</v>
      </c>
      <c r="E547" s="16">
        <v>1.143</v>
      </c>
      <c r="F547" s="16">
        <v>1.516</v>
      </c>
      <c r="G547" s="16">
        <v>0.631</v>
      </c>
      <c r="H547" s="16">
        <v>0.454</v>
      </c>
      <c r="I547" s="16">
        <v>0.148</v>
      </c>
      <c r="J547" s="16">
        <v>0.121</v>
      </c>
      <c r="K547" s="16">
        <v>0.570770557981897</v>
      </c>
      <c r="L547" s="16">
        <v>4.73</v>
      </c>
      <c r="M547" s="16">
        <v>9.205514511082</v>
      </c>
      <c r="N547" s="16">
        <v>6.02</v>
      </c>
      <c r="O547" s="16">
        <v>6.1928277</v>
      </c>
      <c r="P547" s="16">
        <v>18.9626522064209</v>
      </c>
      <c r="Q547" s="17" t="s">
        <v>24</v>
      </c>
      <c r="S547" s="14">
        <v>0.913</v>
      </c>
      <c r="T547" s="14">
        <v>0.521</v>
      </c>
      <c r="U547" s="14">
        <v>0.136957005</v>
      </c>
    </row>
    <row r="548">
      <c r="A548" s="10" t="s">
        <v>95</v>
      </c>
      <c r="B548" s="11">
        <v>2019.0</v>
      </c>
      <c r="C548" s="11">
        <v>60.0</v>
      </c>
      <c r="D548" s="11">
        <v>5.809</v>
      </c>
      <c r="E548" s="11">
        <v>1.173</v>
      </c>
      <c r="F548" s="11">
        <v>1.508</v>
      </c>
      <c r="G548" s="11">
        <v>0.729</v>
      </c>
      <c r="H548" s="11">
        <v>0.41</v>
      </c>
      <c r="I548" s="11">
        <v>0.146</v>
      </c>
      <c r="J548" s="11">
        <v>0.096</v>
      </c>
      <c r="K548" s="11">
        <v>1.31882560686683</v>
      </c>
      <c r="L548" s="11">
        <v>8.08972908053344</v>
      </c>
      <c r="M548" s="11">
        <v>7.63331349842083</v>
      </c>
      <c r="N548" s="11">
        <v>5.24399995803833</v>
      </c>
      <c r="O548" s="11">
        <v>7.41568254</v>
      </c>
      <c r="P548" s="11">
        <v>5.0941481590271</v>
      </c>
      <c r="Q548" s="13" t="s">
        <v>24</v>
      </c>
      <c r="S548" s="14">
        <v>0.913020372</v>
      </c>
      <c r="T548" s="14">
        <v>0.522</v>
      </c>
      <c r="U548" s="14">
        <v>0.13788</v>
      </c>
    </row>
    <row r="549">
      <c r="A549" s="15" t="s">
        <v>95</v>
      </c>
      <c r="B549" s="16">
        <v>2020.0</v>
      </c>
      <c r="C549" s="16">
        <v>50.0</v>
      </c>
      <c r="D549" s="16">
        <v>6.057899952</v>
      </c>
      <c r="E549" s="16">
        <v>1.122594237</v>
      </c>
      <c r="F549" s="16">
        <v>0.934744895</v>
      </c>
      <c r="G549" s="16">
        <v>64.60996246</v>
      </c>
      <c r="H549" s="16">
        <v>0.811601937</v>
      </c>
      <c r="I549" s="16">
        <v>-0.068488635</v>
      </c>
      <c r="J549" s="16">
        <v>0.764490843</v>
      </c>
      <c r="K549" s="16">
        <v>2.28901925615933</v>
      </c>
      <c r="L549" s="16">
        <v>10.4417036534857</v>
      </c>
      <c r="M549" s="16">
        <v>0.479913585785883</v>
      </c>
      <c r="N549" s="16">
        <v>6.74900183815997</v>
      </c>
      <c r="O549" s="16">
        <v>7.43437162</v>
      </c>
      <c r="P549" s="16">
        <v>-7.93015813827514</v>
      </c>
      <c r="Q549" s="17" t="s">
        <v>24</v>
      </c>
      <c r="S549" s="14">
        <v>0.91316092</v>
      </c>
      <c r="T549" s="14">
        <v>0.52234</v>
      </c>
      <c r="U549" s="14">
        <v>0.138</v>
      </c>
    </row>
    <row r="550">
      <c r="A550" s="10" t="s">
        <v>95</v>
      </c>
      <c r="B550" s="11">
        <v>2021.0</v>
      </c>
      <c r="C550" s="11">
        <v>45.0</v>
      </c>
      <c r="D550" s="11">
        <v>6.152</v>
      </c>
      <c r="E550" s="11">
        <v>10.155</v>
      </c>
      <c r="F550" s="11">
        <v>0.952</v>
      </c>
      <c r="G550" s="11">
        <v>65.2</v>
      </c>
      <c r="H550" s="11">
        <v>0.853</v>
      </c>
      <c r="I550" s="11">
        <v>-0.069</v>
      </c>
      <c r="J550" s="11">
        <v>0.733</v>
      </c>
      <c r="K550" s="11">
        <v>6.50123294003794</v>
      </c>
      <c r="L550" s="11">
        <v>10.7709850371047</v>
      </c>
      <c r="M550" s="11">
        <v>13.9300750522063</v>
      </c>
      <c r="N550" s="11">
        <v>8.002</v>
      </c>
      <c r="O550" s="11">
        <v>7.98840093</v>
      </c>
      <c r="P550" s="11">
        <v>32.4563236297019</v>
      </c>
      <c r="Q550" s="13" t="s">
        <v>24</v>
      </c>
      <c r="S550" s="14">
        <v>0.913571239</v>
      </c>
      <c r="T550" s="14">
        <v>0.52259</v>
      </c>
      <c r="U550" s="14">
        <v>0.138</v>
      </c>
    </row>
    <row r="551">
      <c r="A551" s="15" t="s">
        <v>95</v>
      </c>
      <c r="B551" s="16">
        <v>2022.0</v>
      </c>
      <c r="C551" s="16">
        <v>40.0</v>
      </c>
      <c r="D551" s="16">
        <v>6.234</v>
      </c>
      <c r="E551" s="16">
        <v>1.668</v>
      </c>
      <c r="F551" s="16">
        <v>1.22</v>
      </c>
      <c r="G551" s="16">
        <v>0.611</v>
      </c>
      <c r="H551" s="16">
        <v>0.584</v>
      </c>
      <c r="I551" s="16">
        <v>0.134</v>
      </c>
      <c r="J551" s="16">
        <v>0.157</v>
      </c>
      <c r="K551" s="16">
        <v>11.5300105440205</v>
      </c>
      <c r="L551" s="16">
        <v>19.1836</v>
      </c>
      <c r="M551" s="16">
        <v>14.1484836845966</v>
      </c>
      <c r="N551" s="16">
        <v>14.355580324917</v>
      </c>
      <c r="O551" s="16">
        <v>15.1281229980781</v>
      </c>
      <c r="P551" s="16">
        <v>29.8202627929776</v>
      </c>
      <c r="Q551" s="17" t="s">
        <v>24</v>
      </c>
      <c r="S551" s="14">
        <v>0.914219022</v>
      </c>
      <c r="T551" s="14">
        <v>0.523</v>
      </c>
      <c r="U551" s="14">
        <v>0.138572946</v>
      </c>
    </row>
    <row r="552">
      <c r="A552" s="10" t="s">
        <v>95</v>
      </c>
      <c r="B552" s="11">
        <v>2023.0</v>
      </c>
      <c r="C552" s="11">
        <v>44.0</v>
      </c>
      <c r="D552" s="11">
        <v>6.144</v>
      </c>
      <c r="E552" s="11">
        <v>10.166</v>
      </c>
      <c r="F552" s="11">
        <v>0.931</v>
      </c>
      <c r="G552" s="11">
        <v>65.802</v>
      </c>
      <c r="H552" s="11">
        <v>0.853</v>
      </c>
      <c r="I552" s="11">
        <v>0.0</v>
      </c>
      <c r="J552" s="11">
        <v>0.721</v>
      </c>
      <c r="K552" s="12"/>
      <c r="L552" s="11">
        <v>15.0795222068237</v>
      </c>
      <c r="M552" s="11">
        <v>9.34622823984526</v>
      </c>
      <c r="N552" s="11">
        <v>14.7168014554676</v>
      </c>
      <c r="O552" s="11">
        <v>14.9437999054057</v>
      </c>
      <c r="P552" s="12"/>
      <c r="Q552" s="13" t="s">
        <v>24</v>
      </c>
      <c r="S552" s="14">
        <v>0.914430678</v>
      </c>
      <c r="T552" s="14">
        <v>0.523</v>
      </c>
      <c r="U552" s="14">
        <v>0.1388</v>
      </c>
    </row>
    <row r="553">
      <c r="A553" s="15" t="s">
        <v>96</v>
      </c>
      <c r="B553" s="16">
        <v>2015.0</v>
      </c>
      <c r="C553" s="16">
        <v>125.0</v>
      </c>
      <c r="D553" s="16">
        <v>4.419</v>
      </c>
      <c r="E553" s="16">
        <v>0.36471</v>
      </c>
      <c r="F553" s="16">
        <v>0.99876</v>
      </c>
      <c r="G553" s="16">
        <v>0.41435</v>
      </c>
      <c r="H553" s="16">
        <v>0.42215</v>
      </c>
      <c r="I553" s="16">
        <v>0.37542</v>
      </c>
      <c r="J553" s="16">
        <v>0.05839</v>
      </c>
      <c r="K553" s="16">
        <v>3.19000005722045</v>
      </c>
      <c r="L553" s="16">
        <v>11.3868465423583</v>
      </c>
      <c r="M553" s="16">
        <v>10.0246063692093</v>
      </c>
      <c r="N553" s="16">
        <v>6.59077167510986</v>
      </c>
      <c r="O553" s="12"/>
      <c r="P553" s="12"/>
      <c r="Q553" s="17" t="s">
        <v>28</v>
      </c>
      <c r="S553" s="14">
        <v>0.91451</v>
      </c>
      <c r="T553" s="14">
        <v>0.525</v>
      </c>
      <c r="U553" s="14">
        <v>0.14</v>
      </c>
    </row>
    <row r="554">
      <c r="A554" s="10" t="s">
        <v>96</v>
      </c>
      <c r="B554" s="11">
        <v>2016.0</v>
      </c>
      <c r="C554" s="11">
        <v>122.0</v>
      </c>
      <c r="D554" s="11">
        <v>4.356</v>
      </c>
      <c r="E554" s="11">
        <v>0.52267</v>
      </c>
      <c r="F554" s="11">
        <v>0.7624</v>
      </c>
      <c r="G554" s="11">
        <v>0.30147</v>
      </c>
      <c r="H554" s="11">
        <v>0.40576</v>
      </c>
      <c r="I554" s="11">
        <v>0.41328</v>
      </c>
      <c r="J554" s="11">
        <v>0.06686</v>
      </c>
      <c r="K554" s="11">
        <v>1.64999997615814</v>
      </c>
      <c r="L554" s="11">
        <v>10.0824432373046</v>
      </c>
      <c r="M554" s="11">
        <v>5.55103096115312</v>
      </c>
      <c r="N554" s="11">
        <v>6.32732105255126</v>
      </c>
      <c r="O554" s="12"/>
      <c r="P554" s="12"/>
      <c r="Q554" s="13" t="s">
        <v>28</v>
      </c>
      <c r="S554" s="14">
        <v>0.915</v>
      </c>
      <c r="T554" s="14">
        <v>0.525</v>
      </c>
      <c r="U554" s="14">
        <v>0.14</v>
      </c>
    </row>
    <row r="555">
      <c r="A555" s="15" t="s">
        <v>96</v>
      </c>
      <c r="B555" s="16">
        <v>2017.0</v>
      </c>
      <c r="C555" s="16">
        <v>112.0</v>
      </c>
      <c r="D555" s="16">
        <v>4.552999973</v>
      </c>
      <c r="E555" s="16">
        <v>0.560479462</v>
      </c>
      <c r="F555" s="16">
        <v>1.067950726</v>
      </c>
      <c r="G555" s="16">
        <v>0.30998835</v>
      </c>
      <c r="H555" s="16">
        <v>0.452763766</v>
      </c>
      <c r="I555" s="16">
        <v>0.444860309</v>
      </c>
      <c r="J555" s="16">
        <v>0.064641319</v>
      </c>
      <c r="K555" s="16">
        <v>3.11999988555908</v>
      </c>
      <c r="L555" s="16">
        <v>13.374490737915</v>
      </c>
      <c r="M555" s="16">
        <v>10.9419588727357</v>
      </c>
      <c r="N555" s="16">
        <v>7.985</v>
      </c>
      <c r="O555" s="12"/>
      <c r="P555" s="12"/>
      <c r="Q555" s="17" t="s">
        <v>28</v>
      </c>
      <c r="S555" s="14">
        <v>0.915</v>
      </c>
      <c r="T555" s="14">
        <v>0.525</v>
      </c>
      <c r="U555" s="14">
        <v>0.140134647</v>
      </c>
    </row>
    <row r="556">
      <c r="A556" s="10" t="s">
        <v>96</v>
      </c>
      <c r="B556" s="11">
        <v>2018.0</v>
      </c>
      <c r="C556" s="11">
        <v>124.0</v>
      </c>
      <c r="D556" s="11">
        <v>4.41</v>
      </c>
      <c r="E556" s="11">
        <v>0.493</v>
      </c>
      <c r="F556" s="11">
        <v>1.048</v>
      </c>
      <c r="G556" s="11">
        <v>0.454</v>
      </c>
      <c r="H556" s="11">
        <v>0.504</v>
      </c>
      <c r="I556" s="11">
        <v>0.352</v>
      </c>
      <c r="J556" s="11">
        <v>0.055</v>
      </c>
      <c r="K556" s="11">
        <v>12.762671470642</v>
      </c>
      <c r="L556" s="11">
        <v>1.55064415931701</v>
      </c>
      <c r="M556" s="11">
        <v>2.42264000971485</v>
      </c>
      <c r="N556" s="11">
        <v>4.69</v>
      </c>
      <c r="O556" s="12"/>
      <c r="P556" s="11">
        <v>0.836882054805755</v>
      </c>
      <c r="Q556" s="13" t="s">
        <v>28</v>
      </c>
      <c r="S556" s="14">
        <v>0.91529417</v>
      </c>
      <c r="T556" s="14">
        <v>0.526</v>
      </c>
      <c r="U556" s="14">
        <v>0.14145</v>
      </c>
    </row>
    <row r="557">
      <c r="A557" s="15" t="s">
        <v>96</v>
      </c>
      <c r="B557" s="16">
        <v>2019.0</v>
      </c>
      <c r="C557" s="16">
        <v>121.0</v>
      </c>
      <c r="D557" s="16">
        <v>4.509</v>
      </c>
      <c r="E557" s="16">
        <v>0.512</v>
      </c>
      <c r="F557" s="16">
        <v>0.983</v>
      </c>
      <c r="G557" s="16">
        <v>0.581</v>
      </c>
      <c r="H557" s="16">
        <v>0.431</v>
      </c>
      <c r="I557" s="16">
        <v>0.372</v>
      </c>
      <c r="J557" s="16">
        <v>0.053</v>
      </c>
      <c r="K557" s="16">
        <v>4.59476470947265</v>
      </c>
      <c r="L557" s="16">
        <v>7.96490716934204</v>
      </c>
      <c r="M557" s="16">
        <v>3.96108970386138</v>
      </c>
      <c r="N557" s="16">
        <v>5.2039999961853</v>
      </c>
      <c r="O557" s="12"/>
      <c r="P557" s="16">
        <v>1.19024169445037</v>
      </c>
      <c r="Q557" s="17" t="s">
        <v>28</v>
      </c>
      <c r="S557" s="14">
        <v>0.915701866</v>
      </c>
      <c r="T557" s="14">
        <v>0.526</v>
      </c>
      <c r="U557" s="14">
        <v>0.14166</v>
      </c>
    </row>
    <row r="558">
      <c r="A558" s="10" t="s">
        <v>96</v>
      </c>
      <c r="B558" s="11">
        <v>2020.0</v>
      </c>
      <c r="C558" s="11">
        <v>121.0</v>
      </c>
      <c r="D558" s="11">
        <v>4.583000183</v>
      </c>
      <c r="E558" s="11">
        <v>0.476413399</v>
      </c>
      <c r="F558" s="11">
        <v>0.702652037</v>
      </c>
      <c r="G558" s="11">
        <v>60.09693146</v>
      </c>
      <c r="H558" s="11">
        <v>0.829747558</v>
      </c>
      <c r="I558" s="11">
        <v>0.294681519</v>
      </c>
      <c r="J558" s="11">
        <v>0.831499159</v>
      </c>
      <c r="K558" s="11">
        <v>0.515008232021348</v>
      </c>
      <c r="L558" s="11">
        <v>9.12873077392578</v>
      </c>
      <c r="M558" s="11">
        <v>8.18952334050439</v>
      </c>
      <c r="N558" s="11">
        <v>5.40481467184542</v>
      </c>
      <c r="O558" s="12"/>
      <c r="P558" s="11">
        <v>0.142425656263055</v>
      </c>
      <c r="Q558" s="13" t="s">
        <v>28</v>
      </c>
      <c r="S558" s="14">
        <v>0.916</v>
      </c>
      <c r="T558" s="14">
        <v>0.527</v>
      </c>
      <c r="U558" s="14">
        <v>0.142</v>
      </c>
    </row>
    <row r="559">
      <c r="A559" s="15" t="s">
        <v>96</v>
      </c>
      <c r="B559" s="16">
        <v>2021.0</v>
      </c>
      <c r="C559" s="16">
        <v>121.0</v>
      </c>
      <c r="D559" s="16">
        <v>4.607</v>
      </c>
      <c r="E559" s="16">
        <v>8.361</v>
      </c>
      <c r="F559" s="16">
        <v>0.688</v>
      </c>
      <c r="G559" s="16">
        <v>60.704</v>
      </c>
      <c r="H559" s="16">
        <v>0.779</v>
      </c>
      <c r="I559" s="16">
        <v>0.287</v>
      </c>
      <c r="J559" s="16">
        <v>0.825</v>
      </c>
      <c r="K559" s="16">
        <v>4.7696311837015</v>
      </c>
      <c r="L559" s="16">
        <v>8.44540838214961</v>
      </c>
      <c r="M559" s="16">
        <v>5.00454644346978</v>
      </c>
      <c r="N559" s="16">
        <v>6.11090916378165</v>
      </c>
      <c r="O559" s="12"/>
      <c r="P559" s="16">
        <v>7.41766999337928</v>
      </c>
      <c r="Q559" s="17" t="s">
        <v>28</v>
      </c>
      <c r="S559" s="14">
        <v>0.91612</v>
      </c>
      <c r="T559" s="14">
        <v>0.527</v>
      </c>
      <c r="U559" s="14">
        <v>0.142</v>
      </c>
    </row>
    <row r="560">
      <c r="A560" s="10" t="s">
        <v>96</v>
      </c>
      <c r="B560" s="11">
        <v>2022.0</v>
      </c>
      <c r="C560" s="11">
        <v>119.0</v>
      </c>
      <c r="D560" s="11">
        <v>4.543</v>
      </c>
      <c r="E560" s="11">
        <v>1.032</v>
      </c>
      <c r="F560" s="11">
        <v>0.605</v>
      </c>
      <c r="G560" s="11">
        <v>0.401</v>
      </c>
      <c r="H560" s="11">
        <v>0.44</v>
      </c>
      <c r="I560" s="11">
        <v>0.322</v>
      </c>
      <c r="J560" s="11">
        <v>0.082</v>
      </c>
      <c r="K560" s="12"/>
      <c r="L560" s="11">
        <v>12.2462145704867</v>
      </c>
      <c r="M560" s="11">
        <v>3.71676629384729</v>
      </c>
      <c r="N560" s="11">
        <v>7.65687456104604</v>
      </c>
      <c r="O560" s="12"/>
      <c r="P560" s="12"/>
      <c r="Q560" s="13" t="s">
        <v>28</v>
      </c>
      <c r="S560" s="14">
        <v>0.917</v>
      </c>
      <c r="T560" s="14">
        <v>0.528</v>
      </c>
      <c r="U560" s="14">
        <v>0.142</v>
      </c>
    </row>
    <row r="561">
      <c r="A561" s="15" t="s">
        <v>96</v>
      </c>
      <c r="B561" s="16">
        <v>2023.0</v>
      </c>
      <c r="C561" s="16">
        <v>111.0</v>
      </c>
      <c r="D561" s="16">
        <v>4.487</v>
      </c>
      <c r="E561" s="16">
        <v>8.458</v>
      </c>
      <c r="F561" s="16">
        <v>0.69</v>
      </c>
      <c r="G561" s="16">
        <v>58.499</v>
      </c>
      <c r="H561" s="16">
        <v>0.696</v>
      </c>
      <c r="I561" s="16">
        <v>0.288</v>
      </c>
      <c r="J561" s="16">
        <v>0.852</v>
      </c>
      <c r="K561" s="12"/>
      <c r="L561" s="16">
        <v>9.67208631874704</v>
      </c>
      <c r="M561" s="16">
        <v>7.32124302694895</v>
      </c>
      <c r="N561" s="16">
        <v>7.675</v>
      </c>
      <c r="O561" s="12"/>
      <c r="P561" s="12"/>
      <c r="Q561" s="17" t="s">
        <v>28</v>
      </c>
      <c r="S561" s="14">
        <v>0.918</v>
      </c>
      <c r="T561" s="14">
        <v>0.529</v>
      </c>
      <c r="U561" s="14">
        <v>0.142</v>
      </c>
    </row>
    <row r="562">
      <c r="A562" s="10" t="s">
        <v>97</v>
      </c>
      <c r="B562" s="11">
        <v>2015.0</v>
      </c>
      <c r="C562" s="11">
        <v>69.0</v>
      </c>
      <c r="D562" s="11">
        <v>5.589</v>
      </c>
      <c r="E562" s="11">
        <v>0.80148</v>
      </c>
      <c r="F562" s="11">
        <v>0.81198</v>
      </c>
      <c r="G562" s="11">
        <v>0.63132</v>
      </c>
      <c r="H562" s="11">
        <v>0.24749</v>
      </c>
      <c r="I562" s="11">
        <v>0.2831</v>
      </c>
      <c r="J562" s="11">
        <v>0.04741</v>
      </c>
      <c r="K562" s="12"/>
      <c r="L562" s="12"/>
      <c r="M562" s="11">
        <v>0.198262934895285</v>
      </c>
      <c r="N562" s="11">
        <v>-0.533712862479993</v>
      </c>
      <c r="O562" s="11">
        <v>-0.744522988796234</v>
      </c>
      <c r="P562" s="11">
        <v>2.6600375175476</v>
      </c>
      <c r="Q562" s="12"/>
      <c r="S562" s="14">
        <v>0.918</v>
      </c>
      <c r="T562" s="14">
        <v>0.53</v>
      </c>
      <c r="U562" s="14">
        <v>0.14234</v>
      </c>
    </row>
    <row r="563">
      <c r="A563" s="15" t="s">
        <v>97</v>
      </c>
      <c r="B563" s="16">
        <v>2016.0</v>
      </c>
      <c r="C563" s="16">
        <v>77.0</v>
      </c>
      <c r="D563" s="16">
        <v>5.401</v>
      </c>
      <c r="E563" s="16">
        <v>0.90145</v>
      </c>
      <c r="F563" s="16">
        <v>0.66062</v>
      </c>
      <c r="G563" s="16">
        <v>0.54</v>
      </c>
      <c r="H563" s="16">
        <v>0.14396</v>
      </c>
      <c r="I563" s="16">
        <v>0.27992</v>
      </c>
      <c r="J563" s="16">
        <v>0.06547</v>
      </c>
      <c r="K563" s="12"/>
      <c r="L563" s="12"/>
      <c r="M563" s="16">
        <v>0.441944556046602</v>
      </c>
      <c r="N563" s="16">
        <v>0.268288320515123</v>
      </c>
      <c r="O563" s="16">
        <v>-2.60256958007812</v>
      </c>
      <c r="P563" s="16">
        <v>-0.0658925026655197</v>
      </c>
      <c r="Q563" s="12"/>
      <c r="S563" s="14">
        <v>0.918288589</v>
      </c>
      <c r="T563" s="14">
        <v>0.53024</v>
      </c>
      <c r="U563" s="14">
        <v>0.14293</v>
      </c>
    </row>
    <row r="564">
      <c r="A564" s="10" t="s">
        <v>97</v>
      </c>
      <c r="B564" s="11">
        <v>2017.0</v>
      </c>
      <c r="C564" s="11">
        <v>78.0</v>
      </c>
      <c r="D564" s="11">
        <v>5.278999805</v>
      </c>
      <c r="E564" s="11">
        <v>0.951484382</v>
      </c>
      <c r="F564" s="11">
        <v>1.137853503</v>
      </c>
      <c r="G564" s="11">
        <v>0.54145205</v>
      </c>
      <c r="H564" s="11">
        <v>0.260287941</v>
      </c>
      <c r="I564" s="11">
        <v>0.319931448</v>
      </c>
      <c r="J564" s="11">
        <v>0.057471618</v>
      </c>
      <c r="K564" s="12"/>
      <c r="L564" s="12"/>
      <c r="M564" s="11">
        <v>1.379</v>
      </c>
      <c r="N564" s="11">
        <v>1.48947556189796</v>
      </c>
      <c r="O564" s="12"/>
      <c r="P564" s="11">
        <v>0.592983961105346</v>
      </c>
      <c r="Q564" s="12"/>
      <c r="S564" s="14">
        <v>0.919</v>
      </c>
      <c r="T564" s="14">
        <v>0.531</v>
      </c>
      <c r="U564" s="14">
        <v>0.14296</v>
      </c>
    </row>
    <row r="565">
      <c r="A565" s="15" t="s">
        <v>97</v>
      </c>
      <c r="B565" s="16">
        <v>2018.0</v>
      </c>
      <c r="C565" s="16">
        <v>66.0</v>
      </c>
      <c r="D565" s="16">
        <v>5.662</v>
      </c>
      <c r="E565" s="16">
        <v>0.855</v>
      </c>
      <c r="F565" s="16">
        <v>1.23</v>
      </c>
      <c r="G565" s="16">
        <v>0.578</v>
      </c>
      <c r="H565" s="16">
        <v>0.448</v>
      </c>
      <c r="I565" s="16">
        <v>0.274</v>
      </c>
      <c r="J565" s="16">
        <v>0.023</v>
      </c>
      <c r="K565" s="12"/>
      <c r="L565" s="12"/>
      <c r="M565" s="16">
        <v>1.01303031199755</v>
      </c>
      <c r="N565" s="16">
        <v>1.05457421566041</v>
      </c>
      <c r="O565" s="12"/>
      <c r="P565" s="16">
        <v>1.35442495346069</v>
      </c>
      <c r="Q565" s="12"/>
      <c r="S565" s="14">
        <v>0.91916</v>
      </c>
      <c r="T565" s="14">
        <v>0.531</v>
      </c>
      <c r="U565" s="14">
        <v>0.143</v>
      </c>
    </row>
    <row r="566">
      <c r="A566" s="10" t="s">
        <v>97</v>
      </c>
      <c r="B566" s="11">
        <v>2019.0</v>
      </c>
      <c r="C566" s="11">
        <v>46.0</v>
      </c>
      <c r="D566" s="11">
        <v>6.1</v>
      </c>
      <c r="E566" s="11">
        <v>0.882</v>
      </c>
      <c r="F566" s="11">
        <v>1.232</v>
      </c>
      <c r="G566" s="11">
        <v>0.758</v>
      </c>
      <c r="H566" s="11">
        <v>0.489</v>
      </c>
      <c r="I566" s="11">
        <v>0.262</v>
      </c>
      <c r="J566" s="11">
        <v>0.006</v>
      </c>
      <c r="K566" s="12"/>
      <c r="L566" s="12"/>
      <c r="M566" s="11">
        <v>0.643516981426861</v>
      </c>
      <c r="N566" s="11">
        <v>2.678493782068</v>
      </c>
      <c r="O566" s="12"/>
      <c r="P566" s="11">
        <v>0.926955878734588</v>
      </c>
      <c r="Q566" s="12"/>
      <c r="S566" s="14">
        <v>0.92</v>
      </c>
      <c r="T566" s="14">
        <v>0.531</v>
      </c>
      <c r="U566" s="14">
        <v>0.143</v>
      </c>
    </row>
    <row r="567">
      <c r="A567" s="15" t="s">
        <v>97</v>
      </c>
      <c r="B567" s="16">
        <v>2020.0</v>
      </c>
      <c r="C567" s="16">
        <v>35.0</v>
      </c>
      <c r="D567" s="16">
        <v>6.325200081</v>
      </c>
      <c r="E567" s="16">
        <v>0.840481341</v>
      </c>
      <c r="F567" s="16">
        <v>0.820726514</v>
      </c>
      <c r="G567" s="16">
        <v>63.88555527</v>
      </c>
      <c r="H567" s="16">
        <v>0.861535907</v>
      </c>
      <c r="I567" s="16">
        <v>0.190933764</v>
      </c>
      <c r="J567" s="16">
        <v>0.922328293</v>
      </c>
      <c r="K567" s="12"/>
      <c r="L567" s="12"/>
      <c r="M567" s="16">
        <v>2.19958278756124</v>
      </c>
      <c r="N567" s="16">
        <v>0.194799695096132</v>
      </c>
      <c r="O567" s="12"/>
      <c r="P567" s="16">
        <v>-0.576553491351736</v>
      </c>
      <c r="Q567" s="12"/>
      <c r="S567" s="14">
        <v>0.92</v>
      </c>
      <c r="T567" s="14">
        <v>0.53122</v>
      </c>
      <c r="U567" s="14">
        <v>0.144</v>
      </c>
    </row>
    <row r="568">
      <c r="A568" s="10" t="s">
        <v>97</v>
      </c>
      <c r="B568" s="11">
        <v>2021.0</v>
      </c>
      <c r="C568" s="11">
        <v>33.0</v>
      </c>
      <c r="D568" s="11">
        <v>6.372</v>
      </c>
      <c r="E568" s="11">
        <v>9.318</v>
      </c>
      <c r="F568" s="11">
        <v>0.821</v>
      </c>
      <c r="G568" s="11">
        <v>63.813</v>
      </c>
      <c r="H568" s="11">
        <v>0.869</v>
      </c>
      <c r="I568" s="11">
        <v>0.257</v>
      </c>
      <c r="J568" s="11">
        <v>0.917</v>
      </c>
      <c r="K568" s="12"/>
      <c r="L568" s="12"/>
      <c r="M568" s="11">
        <v>6.11558254671749</v>
      </c>
      <c r="N568" s="11">
        <v>3.35587489433643</v>
      </c>
      <c r="O568" s="12"/>
      <c r="P568" s="11">
        <v>4.91838487972508</v>
      </c>
      <c r="Q568" s="12"/>
      <c r="S568" s="14">
        <v>0.921125412</v>
      </c>
      <c r="T568" s="14">
        <v>0.531310618</v>
      </c>
      <c r="U568" s="14">
        <v>0.144</v>
      </c>
    </row>
    <row r="569">
      <c r="A569" s="15" t="s">
        <v>97</v>
      </c>
      <c r="B569" s="16">
        <v>2022.0</v>
      </c>
      <c r="C569" s="16">
        <v>32.0</v>
      </c>
      <c r="D569" s="16">
        <v>6.455</v>
      </c>
      <c r="E569" s="16">
        <v>1.362</v>
      </c>
      <c r="F569" s="16">
        <v>0.949</v>
      </c>
      <c r="G569" s="16">
        <v>0.569</v>
      </c>
      <c r="H569" s="16">
        <v>0.599</v>
      </c>
      <c r="I569" s="16">
        <v>0.309</v>
      </c>
      <c r="J569" s="16">
        <v>0.035</v>
      </c>
      <c r="K569" s="12"/>
      <c r="L569" s="12"/>
      <c r="M569" s="16">
        <v>3.6449017995643</v>
      </c>
      <c r="N569" s="16">
        <v>11.674</v>
      </c>
      <c r="O569" s="12"/>
      <c r="P569" s="16">
        <v>9.33469805527124</v>
      </c>
      <c r="Q569" s="12"/>
      <c r="S569" s="14">
        <v>0.921934128</v>
      </c>
      <c r="T569" s="14">
        <v>0.53164</v>
      </c>
      <c r="U569" s="14">
        <v>0.14476</v>
      </c>
    </row>
    <row r="570">
      <c r="A570" s="10" t="s">
        <v>97</v>
      </c>
      <c r="B570" s="11">
        <v>2023.0</v>
      </c>
      <c r="C570" s="11">
        <v>34.0</v>
      </c>
      <c r="D570" s="11">
        <v>6.368</v>
      </c>
      <c r="E570" s="11">
        <v>9.359</v>
      </c>
      <c r="F570" s="11">
        <v>0.844</v>
      </c>
      <c r="G570" s="11">
        <v>65.195</v>
      </c>
      <c r="H570" s="11">
        <v>0.861</v>
      </c>
      <c r="I570" s="11">
        <v>0.259</v>
      </c>
      <c r="J570" s="11">
        <v>0.866</v>
      </c>
      <c r="K570" s="12"/>
      <c r="L570" s="12"/>
      <c r="M570" s="12"/>
      <c r="N570" s="11">
        <v>4.94422709645871</v>
      </c>
      <c r="O570" s="12"/>
      <c r="P570" s="12"/>
      <c r="Q570" s="12"/>
      <c r="S570" s="14">
        <v>0.922</v>
      </c>
      <c r="T570" s="14">
        <v>0.532</v>
      </c>
      <c r="U570" s="14">
        <v>0.146</v>
      </c>
    </row>
    <row r="571">
      <c r="A571" s="15" t="s">
        <v>98</v>
      </c>
      <c r="B571" s="16">
        <v>2015.0</v>
      </c>
      <c r="C571" s="16">
        <v>39.0</v>
      </c>
      <c r="D571" s="16">
        <v>6.295</v>
      </c>
      <c r="E571" s="16">
        <v>1.55422</v>
      </c>
      <c r="F571" s="16">
        <v>1.16594</v>
      </c>
      <c r="G571" s="16">
        <v>0.72492</v>
      </c>
      <c r="H571" s="16">
        <v>0.55499</v>
      </c>
      <c r="I571" s="16">
        <v>0.16228</v>
      </c>
      <c r="J571" s="16">
        <v>0.25609</v>
      </c>
      <c r="K571" s="16">
        <v>5.96999979019165</v>
      </c>
      <c r="L571" s="16">
        <v>3.38664412498474</v>
      </c>
      <c r="M571" s="16">
        <v>-25.9585743038393</v>
      </c>
      <c r="N571" s="16">
        <v>3.26844644546508</v>
      </c>
      <c r="O571" s="12"/>
      <c r="P571" s="16">
        <v>2.98308396339416</v>
      </c>
      <c r="Q571" s="17" t="s">
        <v>24</v>
      </c>
      <c r="S571" s="14">
        <v>0.922493756</v>
      </c>
      <c r="T571" s="14">
        <v>0.53206</v>
      </c>
      <c r="U571" s="14">
        <v>0.146</v>
      </c>
    </row>
    <row r="572">
      <c r="A572" s="10" t="s">
        <v>98</v>
      </c>
      <c r="B572" s="11">
        <v>2016.0</v>
      </c>
      <c r="C572" s="11">
        <v>41.0</v>
      </c>
      <c r="D572" s="11">
        <v>6.239</v>
      </c>
      <c r="E572" s="11">
        <v>1.61714</v>
      </c>
      <c r="F572" s="11">
        <v>0.87758</v>
      </c>
      <c r="G572" s="11">
        <v>0.63569</v>
      </c>
      <c r="H572" s="11">
        <v>0.43166</v>
      </c>
      <c r="I572" s="11">
        <v>0.15965</v>
      </c>
      <c r="J572" s="11">
        <v>0.23669</v>
      </c>
      <c r="K572" s="11">
        <v>6.78000020980835</v>
      </c>
      <c r="L572" s="11">
        <v>1.71284341812133</v>
      </c>
      <c r="M572" s="11">
        <v>-6.83825384809488</v>
      </c>
      <c r="N572" s="11">
        <v>2.95554614067077</v>
      </c>
      <c r="O572" s="12"/>
      <c r="P572" s="11">
        <v>1.27375864982604</v>
      </c>
      <c r="Q572" s="13" t="s">
        <v>24</v>
      </c>
      <c r="S572" s="14">
        <v>0.92281127</v>
      </c>
      <c r="T572" s="14">
        <v>0.533</v>
      </c>
      <c r="U572" s="14">
        <v>0.14609611</v>
      </c>
    </row>
    <row r="573">
      <c r="A573" s="15" t="s">
        <v>98</v>
      </c>
      <c r="B573" s="16">
        <v>2017.0</v>
      </c>
      <c r="C573" s="16">
        <v>39.0</v>
      </c>
      <c r="D573" s="16">
        <v>6.105000019</v>
      </c>
      <c r="E573" s="16">
        <v>1.632952452</v>
      </c>
      <c r="F573" s="16">
        <v>1.259698749</v>
      </c>
      <c r="G573" s="16">
        <v>0.632105708</v>
      </c>
      <c r="H573" s="16">
        <v>0.496337593</v>
      </c>
      <c r="I573" s="16">
        <v>0.228289798</v>
      </c>
      <c r="J573" s="16">
        <v>0.21515955</v>
      </c>
      <c r="K573" s="16">
        <v>2.58999991416931</v>
      </c>
      <c r="L573" s="16">
        <v>0.162970408797264</v>
      </c>
      <c r="M573" s="16">
        <v>16.2279621786664</v>
      </c>
      <c r="N573" s="16">
        <v>1.507</v>
      </c>
      <c r="O573" s="12"/>
      <c r="P573" s="16">
        <v>3.10285639762878</v>
      </c>
      <c r="Q573" s="17" t="s">
        <v>24</v>
      </c>
      <c r="S573" s="14">
        <v>0.923</v>
      </c>
      <c r="T573" s="14">
        <v>0.53466</v>
      </c>
      <c r="U573" s="14">
        <v>0.146377146</v>
      </c>
    </row>
    <row r="574">
      <c r="A574" s="10" t="s">
        <v>98</v>
      </c>
      <c r="B574" s="11">
        <v>2018.0</v>
      </c>
      <c r="C574" s="11">
        <v>45.0</v>
      </c>
      <c r="D574" s="11">
        <v>6.083</v>
      </c>
      <c r="E574" s="11">
        <v>1.474</v>
      </c>
      <c r="F574" s="11">
        <v>1.301</v>
      </c>
      <c r="G574" s="11">
        <v>0.675</v>
      </c>
      <c r="H574" s="11">
        <v>0.554</v>
      </c>
      <c r="I574" s="11">
        <v>0.167</v>
      </c>
      <c r="J574" s="11">
        <v>0.106</v>
      </c>
      <c r="K574" s="11">
        <v>-1.14170649635787</v>
      </c>
      <c r="L574" s="11">
        <v>0.0542350783944129</v>
      </c>
      <c r="M574" s="11">
        <v>14.5903289020708</v>
      </c>
      <c r="N574" s="11">
        <v>0.57</v>
      </c>
      <c r="O574" s="11">
        <v>0.647296786308288</v>
      </c>
      <c r="P574" s="11">
        <v>1.31277179718017</v>
      </c>
      <c r="Q574" s="13" t="s">
        <v>24</v>
      </c>
      <c r="S574" s="14">
        <v>0.924</v>
      </c>
      <c r="T574" s="14">
        <v>0.53466</v>
      </c>
      <c r="U574" s="14">
        <v>0.1466</v>
      </c>
    </row>
    <row r="575">
      <c r="A575" s="15" t="s">
        <v>98</v>
      </c>
      <c r="B575" s="16">
        <v>2019.0</v>
      </c>
      <c r="C575" s="16">
        <v>51.0</v>
      </c>
      <c r="D575" s="16">
        <v>6.021</v>
      </c>
      <c r="E575" s="16">
        <v>1.5</v>
      </c>
      <c r="F575" s="16">
        <v>1.319</v>
      </c>
      <c r="G575" s="16">
        <v>0.808</v>
      </c>
      <c r="H575" s="16">
        <v>0.493</v>
      </c>
      <c r="I575" s="16">
        <v>0.142</v>
      </c>
      <c r="J575" s="16">
        <v>0.097</v>
      </c>
      <c r="K575" s="16">
        <v>-0.817731857299804</v>
      </c>
      <c r="L575" s="16">
        <v>1.07635128498077</v>
      </c>
      <c r="M575" s="16">
        <v>-4.17918449976428</v>
      </c>
      <c r="N575" s="16">
        <v>1.10000002384185</v>
      </c>
      <c r="O575" s="16">
        <v>1.08894252777099</v>
      </c>
      <c r="P575" s="16">
        <v>0.635659515857696</v>
      </c>
      <c r="Q575" s="17" t="s">
        <v>24</v>
      </c>
      <c r="S575" s="14">
        <v>0.925</v>
      </c>
      <c r="T575" s="14">
        <v>0.535</v>
      </c>
      <c r="U575" s="14">
        <v>0.147</v>
      </c>
    </row>
    <row r="576">
      <c r="A576" s="10" t="s">
        <v>98</v>
      </c>
      <c r="B576" s="11">
        <v>2020.0</v>
      </c>
      <c r="C576" s="11">
        <v>48.0</v>
      </c>
      <c r="D576" s="11">
        <v>6.102099895</v>
      </c>
      <c r="E576" s="11">
        <v>1.424833655</v>
      </c>
      <c r="F576" s="11">
        <v>0.846475244</v>
      </c>
      <c r="G576" s="11">
        <v>66.76764679</v>
      </c>
      <c r="H576" s="11">
        <v>0.872366488</v>
      </c>
      <c r="I576" s="11">
        <v>-0.100184701</v>
      </c>
      <c r="J576" s="11">
        <v>0.760849059</v>
      </c>
      <c r="K576" s="11">
        <v>-0.195270121097564</v>
      </c>
      <c r="L576" s="11">
        <v>4.8801040649414</v>
      </c>
      <c r="M576" s="11">
        <v>-11.9710972621505</v>
      </c>
      <c r="N576" s="11">
        <v>1.0</v>
      </c>
      <c r="O576" s="11">
        <v>1.56159627437591</v>
      </c>
      <c r="P576" s="11">
        <v>-30.591727307545</v>
      </c>
      <c r="Q576" s="13" t="s">
        <v>24</v>
      </c>
      <c r="S576" s="14">
        <v>0.925</v>
      </c>
      <c r="T576" s="14">
        <v>0.535</v>
      </c>
      <c r="U576" s="14">
        <v>0.148</v>
      </c>
    </row>
    <row r="577">
      <c r="A577" s="15" t="s">
        <v>98</v>
      </c>
      <c r="B577" s="16">
        <v>2021.0</v>
      </c>
      <c r="C577" s="16">
        <v>47.0</v>
      </c>
      <c r="D577" s="16">
        <v>6.106</v>
      </c>
      <c r="E577" s="16">
        <v>10.817</v>
      </c>
      <c r="F577" s="16">
        <v>0.843</v>
      </c>
      <c r="G577" s="16">
        <v>66.9</v>
      </c>
      <c r="H577" s="16">
        <v>0.867</v>
      </c>
      <c r="I577" s="16">
        <v>-0.104</v>
      </c>
      <c r="J577" s="16">
        <v>0.736</v>
      </c>
      <c r="K577" s="16">
        <v>0.46</v>
      </c>
      <c r="L577" s="16">
        <v>9.48</v>
      </c>
      <c r="M577" s="16">
        <v>25.396737321052</v>
      </c>
      <c r="N577" s="16">
        <v>3.42362947609175</v>
      </c>
      <c r="O577" s="16">
        <v>2.25654897494305</v>
      </c>
      <c r="P577" s="16">
        <v>54.6558145951165</v>
      </c>
      <c r="Q577" s="17" t="s">
        <v>24</v>
      </c>
      <c r="S577" s="14">
        <v>0.92542</v>
      </c>
      <c r="T577" s="14">
        <v>0.536</v>
      </c>
      <c r="U577" s="14">
        <v>0.14868</v>
      </c>
    </row>
    <row r="578">
      <c r="A578" s="10" t="s">
        <v>99</v>
      </c>
      <c r="B578" s="11">
        <v>2015.0</v>
      </c>
      <c r="C578" s="11">
        <v>89.0</v>
      </c>
      <c r="D578" s="11">
        <v>5.098</v>
      </c>
      <c r="E578" s="11">
        <v>1.11312</v>
      </c>
      <c r="F578" s="11">
        <v>1.09562</v>
      </c>
      <c r="G578" s="11">
        <v>0.72437</v>
      </c>
      <c r="H578" s="11">
        <v>0.29671</v>
      </c>
      <c r="I578" s="11">
        <v>0.18226</v>
      </c>
      <c r="J578" s="11">
        <v>0.06332</v>
      </c>
      <c r="K578" s="11">
        <v>3.56373119354248</v>
      </c>
      <c r="L578" s="11">
        <v>-1.25884628295898</v>
      </c>
      <c r="M578" s="11">
        <v>0.0030000900027001</v>
      </c>
      <c r="N578" s="11">
        <v>0.174237996339797</v>
      </c>
      <c r="O578" s="11">
        <v>1.80738222599029</v>
      </c>
      <c r="P578" s="11">
        <v>-0.941130638122558</v>
      </c>
      <c r="Q578" s="13" t="s">
        <v>26</v>
      </c>
      <c r="S578" s="14">
        <v>0.926</v>
      </c>
      <c r="T578" s="14">
        <v>0.536746919</v>
      </c>
      <c r="U578" s="14">
        <v>0.149</v>
      </c>
    </row>
    <row r="579">
      <c r="A579" s="15" t="s">
        <v>99</v>
      </c>
      <c r="B579" s="16">
        <v>2016.0</v>
      </c>
      <c r="C579" s="16">
        <v>68.0</v>
      </c>
      <c r="D579" s="16">
        <v>5.56</v>
      </c>
      <c r="E579" s="16">
        <v>1.21788</v>
      </c>
      <c r="F579" s="16">
        <v>0.95025</v>
      </c>
      <c r="G579" s="16">
        <v>0.63952</v>
      </c>
      <c r="H579" s="16">
        <v>0.27996</v>
      </c>
      <c r="I579" s="16">
        <v>0.17445</v>
      </c>
      <c r="J579" s="16">
        <v>0.0889</v>
      </c>
      <c r="K579" s="16">
        <v>-2.94118309020996</v>
      </c>
      <c r="L579" s="16">
        <v>1.06657683849334</v>
      </c>
      <c r="M579" s="16">
        <v>0.861000000000004</v>
      </c>
      <c r="N579" s="16">
        <v>0.140632629394531</v>
      </c>
      <c r="O579" s="16">
        <v>1.55025839805603</v>
      </c>
      <c r="P579" s="16">
        <v>-2.40854167938232</v>
      </c>
      <c r="Q579" s="17" t="s">
        <v>26</v>
      </c>
      <c r="S579" s="14">
        <v>0.926107109</v>
      </c>
      <c r="T579" s="14">
        <v>0.537</v>
      </c>
      <c r="U579" s="14">
        <v>0.14975</v>
      </c>
    </row>
    <row r="580">
      <c r="A580" s="10" t="s">
        <v>99</v>
      </c>
      <c r="B580" s="11">
        <v>2017.0</v>
      </c>
      <c r="C580" s="11">
        <v>54.0</v>
      </c>
      <c r="D580" s="11">
        <v>5.849999905</v>
      </c>
      <c r="E580" s="11">
        <v>1.260748625</v>
      </c>
      <c r="F580" s="11">
        <v>1.404714942</v>
      </c>
      <c r="G580" s="11">
        <v>0.638566971</v>
      </c>
      <c r="H580" s="11">
        <v>0.325707912</v>
      </c>
      <c r="I580" s="11">
        <v>0.153074786</v>
      </c>
      <c r="J580" s="11">
        <v>0.073842727</v>
      </c>
      <c r="K580" s="11">
        <v>2.04309797286987</v>
      </c>
      <c r="L580" s="11">
        <v>5.58991003036499</v>
      </c>
      <c r="M580" s="11">
        <v>2.97042464381673</v>
      </c>
      <c r="N580" s="11">
        <v>2.894</v>
      </c>
      <c r="O580" s="11">
        <v>1.60045957565307</v>
      </c>
      <c r="P580" s="11">
        <v>2.45089364051818</v>
      </c>
      <c r="Q580" s="13" t="s">
        <v>26</v>
      </c>
      <c r="S580" s="14">
        <v>0.926311195</v>
      </c>
      <c r="T580" s="14">
        <v>0.53726</v>
      </c>
      <c r="U580" s="14">
        <v>0.15</v>
      </c>
    </row>
    <row r="581">
      <c r="A581" s="15" t="s">
        <v>99</v>
      </c>
      <c r="B581" s="16">
        <v>2018.0</v>
      </c>
      <c r="C581" s="16">
        <v>53.0</v>
      </c>
      <c r="D581" s="16">
        <v>5.933</v>
      </c>
      <c r="E581" s="16">
        <v>1.148</v>
      </c>
      <c r="F581" s="16">
        <v>1.454</v>
      </c>
      <c r="G581" s="16">
        <v>0.671</v>
      </c>
      <c r="H581" s="16">
        <v>0.363</v>
      </c>
      <c r="I581" s="16">
        <v>0.092</v>
      </c>
      <c r="J581" s="16">
        <v>0.066</v>
      </c>
      <c r="K581" s="16">
        <v>4.13056325912475</v>
      </c>
      <c r="L581" s="16">
        <v>0.577810943126678</v>
      </c>
      <c r="M581" s="16">
        <v>3.9044070211926</v>
      </c>
      <c r="N581" s="16">
        <v>2.53</v>
      </c>
      <c r="O581" s="16">
        <v>2.25381684303283</v>
      </c>
      <c r="P581" s="16">
        <v>4.39276885986328</v>
      </c>
      <c r="Q581" s="17" t="s">
        <v>26</v>
      </c>
      <c r="S581" s="14">
        <v>0.926595807</v>
      </c>
      <c r="T581" s="14">
        <v>0.537825167</v>
      </c>
      <c r="U581" s="14">
        <v>0.15</v>
      </c>
    </row>
    <row r="582">
      <c r="A582" s="10" t="s">
        <v>99</v>
      </c>
      <c r="B582" s="11">
        <v>2019.0</v>
      </c>
      <c r="C582" s="11">
        <v>53.0</v>
      </c>
      <c r="D582" s="11">
        <v>5.94</v>
      </c>
      <c r="E582" s="11">
        <v>1.187</v>
      </c>
      <c r="F582" s="11">
        <v>1.465</v>
      </c>
      <c r="G582" s="11">
        <v>0.812</v>
      </c>
      <c r="H582" s="11">
        <v>0.264</v>
      </c>
      <c r="I582" s="11">
        <v>0.075</v>
      </c>
      <c r="J582" s="11">
        <v>0.064</v>
      </c>
      <c r="K582" s="11">
        <v>3.0745210647583</v>
      </c>
      <c r="L582" s="11">
        <v>2.91902804374694</v>
      </c>
      <c r="M582" s="11">
        <v>2.31299577433463</v>
      </c>
      <c r="N582" s="11">
        <v>2.74699997901916</v>
      </c>
      <c r="O582" s="11">
        <v>2.78085017204284</v>
      </c>
      <c r="P582" s="11">
        <v>1.7486457824707</v>
      </c>
      <c r="Q582" s="13" t="s">
        <v>26</v>
      </c>
      <c r="S582" s="14">
        <v>0.927</v>
      </c>
      <c r="T582" s="14">
        <v>0.538</v>
      </c>
      <c r="U582" s="14">
        <v>0.15</v>
      </c>
    </row>
    <row r="583">
      <c r="A583" s="15" t="s">
        <v>99</v>
      </c>
      <c r="B583" s="16">
        <v>2020.0</v>
      </c>
      <c r="C583" s="16">
        <v>57.0</v>
      </c>
      <c r="D583" s="16">
        <v>5.949999809</v>
      </c>
      <c r="E583" s="16">
        <v>1.14139545</v>
      </c>
      <c r="F583" s="16">
        <v>0.918288589</v>
      </c>
      <c r="G583" s="16">
        <v>66.8074646</v>
      </c>
      <c r="H583" s="16">
        <v>0.671237648</v>
      </c>
      <c r="I583" s="16">
        <v>-0.186888844</v>
      </c>
      <c r="J583" s="16">
        <v>0.795580089</v>
      </c>
      <c r="K583" s="16">
        <v>-2.41389442643454</v>
      </c>
      <c r="L583" s="16">
        <v>2.38364648818969</v>
      </c>
      <c r="M583" s="16">
        <v>0.052532425186574</v>
      </c>
      <c r="N583" s="16">
        <v>0.219064904842852</v>
      </c>
      <c r="O583" s="16">
        <v>1.219808</v>
      </c>
      <c r="P583" s="16">
        <v>-1.86616885662078</v>
      </c>
      <c r="Q583" s="17" t="s">
        <v>26</v>
      </c>
      <c r="S583" s="14">
        <v>0.927176654</v>
      </c>
      <c r="T583" s="14">
        <v>0.53899</v>
      </c>
      <c r="U583" s="14">
        <v>0.15048</v>
      </c>
    </row>
    <row r="584">
      <c r="A584" s="10" t="s">
        <v>99</v>
      </c>
      <c r="B584" s="11">
        <v>2021.0</v>
      </c>
      <c r="C584" s="11">
        <v>51.0</v>
      </c>
      <c r="D584" s="11">
        <v>6.032</v>
      </c>
      <c r="E584" s="11">
        <v>10.315</v>
      </c>
      <c r="F584" s="11">
        <v>0.927</v>
      </c>
      <c r="G584" s="11">
        <v>67.1</v>
      </c>
      <c r="H584" s="11">
        <v>0.715</v>
      </c>
      <c r="I584" s="11">
        <v>-0.162</v>
      </c>
      <c r="J584" s="11">
        <v>0.8</v>
      </c>
      <c r="K584" s="11">
        <v>10.49641</v>
      </c>
      <c r="L584" s="11">
        <v>2.237</v>
      </c>
      <c r="M584" s="11">
        <v>6.88144180390806</v>
      </c>
      <c r="N584" s="11">
        <v>3.275814</v>
      </c>
      <c r="O584" s="11">
        <v>1.877</v>
      </c>
      <c r="P584" s="11">
        <v>13.0719999999997</v>
      </c>
      <c r="Q584" s="13" t="s">
        <v>26</v>
      </c>
      <c r="S584" s="14">
        <v>0.928</v>
      </c>
      <c r="T584" s="14">
        <v>0.539</v>
      </c>
      <c r="U584" s="14">
        <v>0.15072</v>
      </c>
    </row>
    <row r="585">
      <c r="A585" s="15" t="s">
        <v>99</v>
      </c>
      <c r="B585" s="16">
        <v>2022.0</v>
      </c>
      <c r="C585" s="16">
        <v>42.0</v>
      </c>
      <c r="D585" s="16">
        <v>6.18</v>
      </c>
      <c r="E585" s="16">
        <v>1.732</v>
      </c>
      <c r="F585" s="16">
        <v>1.221</v>
      </c>
      <c r="G585" s="16">
        <v>0.637</v>
      </c>
      <c r="H585" s="16">
        <v>0.502</v>
      </c>
      <c r="I585" s="16">
        <v>0.075</v>
      </c>
      <c r="J585" s="16">
        <v>0.09</v>
      </c>
      <c r="K585" s="16">
        <v>48.3479461330539</v>
      </c>
      <c r="L585" s="16">
        <v>21.64045</v>
      </c>
      <c r="M585" s="16">
        <v>12.3574984615513</v>
      </c>
      <c r="N585" s="16">
        <v>17.31029</v>
      </c>
      <c r="O585" s="16">
        <v>7.17110266159695</v>
      </c>
      <c r="P585" s="16">
        <v>30.8122258384045</v>
      </c>
      <c r="Q585" s="17" t="s">
        <v>26</v>
      </c>
      <c r="S585" s="14">
        <v>0.928045869</v>
      </c>
      <c r="T585" s="14">
        <v>0.539770722</v>
      </c>
      <c r="U585" s="14">
        <v>0.151</v>
      </c>
    </row>
    <row r="586">
      <c r="A586" s="10" t="s">
        <v>99</v>
      </c>
      <c r="B586" s="11">
        <v>2023.0</v>
      </c>
      <c r="C586" s="11">
        <v>41.0</v>
      </c>
      <c r="D586" s="11">
        <v>6.213</v>
      </c>
      <c r="E586" s="11">
        <v>10.37</v>
      </c>
      <c r="F586" s="11">
        <v>0.937</v>
      </c>
      <c r="G586" s="11">
        <v>66.4</v>
      </c>
      <c r="H586" s="11">
        <v>0.818</v>
      </c>
      <c r="I586" s="11">
        <v>-0.056</v>
      </c>
      <c r="J586" s="11">
        <v>0.83</v>
      </c>
      <c r="K586" s="11">
        <v>8.40923592481329</v>
      </c>
      <c r="L586" s="11">
        <v>13.1926918565385</v>
      </c>
      <c r="M586" s="11">
        <v>5.61357373307786</v>
      </c>
      <c r="N586" s="11">
        <v>8.93804623316637</v>
      </c>
      <c r="O586" s="11">
        <v>8.25274005997742</v>
      </c>
      <c r="P586" s="11">
        <v>0.768024230623217</v>
      </c>
      <c r="Q586" s="13" t="s">
        <v>26</v>
      </c>
      <c r="S586" s="14">
        <v>0.929</v>
      </c>
      <c r="T586" s="14">
        <v>0.54008</v>
      </c>
      <c r="U586" s="14">
        <v>0.15184</v>
      </c>
    </row>
    <row r="587">
      <c r="A587" s="15" t="s">
        <v>100</v>
      </c>
      <c r="B587" s="16">
        <v>2015.0</v>
      </c>
      <c r="C587" s="16">
        <v>103.0</v>
      </c>
      <c r="D587" s="16">
        <v>4.839</v>
      </c>
      <c r="E587" s="16">
        <v>1.02564</v>
      </c>
      <c r="F587" s="16">
        <v>0.80001</v>
      </c>
      <c r="G587" s="16">
        <v>0.83947</v>
      </c>
      <c r="H587" s="16">
        <v>0.33916</v>
      </c>
      <c r="I587" s="16">
        <v>0.21854</v>
      </c>
      <c r="J587" s="16">
        <v>0.04582</v>
      </c>
      <c r="K587" s="16">
        <v>-5.53000020980835</v>
      </c>
      <c r="L587" s="16">
        <v>-1.10270106792449</v>
      </c>
      <c r="M587" s="16">
        <v>3.53044547930761</v>
      </c>
      <c r="N587" s="16">
        <v>-3.75299596786499</v>
      </c>
      <c r="O587" s="12"/>
      <c r="P587" s="12"/>
      <c r="Q587" s="17" t="s">
        <v>24</v>
      </c>
      <c r="S587" s="14">
        <v>0.929</v>
      </c>
      <c r="T587" s="14">
        <v>0.541</v>
      </c>
      <c r="U587" s="14">
        <v>0.152</v>
      </c>
    </row>
    <row r="588">
      <c r="A588" s="10" t="s">
        <v>100</v>
      </c>
      <c r="B588" s="11">
        <v>2016.0</v>
      </c>
      <c r="C588" s="11">
        <v>93.0</v>
      </c>
      <c r="D588" s="11">
        <v>5.129</v>
      </c>
      <c r="E588" s="11">
        <v>1.12268</v>
      </c>
      <c r="F588" s="11">
        <v>0.64184</v>
      </c>
      <c r="G588" s="11">
        <v>0.76171</v>
      </c>
      <c r="H588" s="11">
        <v>0.26228</v>
      </c>
      <c r="I588" s="11">
        <v>0.23693</v>
      </c>
      <c r="J588" s="11">
        <v>0.03061</v>
      </c>
      <c r="K588" s="11">
        <v>-1.8400000333786</v>
      </c>
      <c r="L588" s="11">
        <v>-1.22316372394561</v>
      </c>
      <c r="M588" s="11">
        <v>0.989578028991408</v>
      </c>
      <c r="N588" s="11">
        <v>-0.815946161746978</v>
      </c>
      <c r="O588" s="12"/>
      <c r="P588" s="12"/>
      <c r="Q588" s="13" t="s">
        <v>24</v>
      </c>
      <c r="S588" s="14">
        <v>0.92933</v>
      </c>
      <c r="T588" s="14">
        <v>0.541</v>
      </c>
      <c r="U588" s="14">
        <v>0.153066069</v>
      </c>
    </row>
    <row r="589">
      <c r="A589" s="15" t="s">
        <v>100</v>
      </c>
      <c r="B589" s="16">
        <v>2017.0</v>
      </c>
      <c r="C589" s="16">
        <v>88.0</v>
      </c>
      <c r="D589" s="16">
        <v>5.224999905</v>
      </c>
      <c r="E589" s="16">
        <v>1.074987531</v>
      </c>
      <c r="F589" s="16">
        <v>1.129624248</v>
      </c>
      <c r="G589" s="16">
        <v>0.735081077</v>
      </c>
      <c r="H589" s="16">
        <v>0.288515985</v>
      </c>
      <c r="I589" s="16">
        <v>0.264450759</v>
      </c>
      <c r="J589" s="16">
        <v>0.03751383</v>
      </c>
      <c r="K589" s="16">
        <v>5.1100001335144</v>
      </c>
      <c r="L589" s="16">
        <v>3.6728138923645</v>
      </c>
      <c r="M589" s="16">
        <v>2.90434811839252</v>
      </c>
      <c r="N589" s="16">
        <v>4.476</v>
      </c>
      <c r="O589" s="12"/>
      <c r="P589" s="12"/>
      <c r="Q589" s="17" t="s">
        <v>24</v>
      </c>
      <c r="S589" s="14">
        <v>0.93</v>
      </c>
      <c r="T589" s="14">
        <v>0.541345119</v>
      </c>
      <c r="U589" s="14">
        <v>0.153526559</v>
      </c>
    </row>
    <row r="590">
      <c r="A590" s="10" t="s">
        <v>100</v>
      </c>
      <c r="B590" s="11">
        <v>2018.0</v>
      </c>
      <c r="C590" s="11">
        <v>80.0</v>
      </c>
      <c r="D590" s="11">
        <v>5.358</v>
      </c>
      <c r="E590" s="11">
        <v>0.965</v>
      </c>
      <c r="F590" s="11">
        <v>1.179</v>
      </c>
      <c r="G590" s="11">
        <v>0.785</v>
      </c>
      <c r="H590" s="11">
        <v>0.503</v>
      </c>
      <c r="I590" s="11">
        <v>0.214</v>
      </c>
      <c r="J590" s="11">
        <v>0.136</v>
      </c>
      <c r="K590" s="11">
        <v>6.83954048156738</v>
      </c>
      <c r="L590" s="11">
        <v>5.19216394424438</v>
      </c>
      <c r="M590" s="11">
        <v>5.45773785218457</v>
      </c>
      <c r="N590" s="11">
        <v>6.07</v>
      </c>
      <c r="O590" s="12"/>
      <c r="P590" s="12"/>
      <c r="Q590" s="13" t="s">
        <v>24</v>
      </c>
      <c r="S590" s="14">
        <v>0.93037951</v>
      </c>
      <c r="T590" s="14">
        <v>0.542</v>
      </c>
      <c r="U590" s="14">
        <v>0.154</v>
      </c>
    </row>
    <row r="591">
      <c r="A591" s="15" t="s">
        <v>100</v>
      </c>
      <c r="B591" s="16">
        <v>2019.0</v>
      </c>
      <c r="C591" s="16">
        <v>91.0</v>
      </c>
      <c r="D591" s="16">
        <v>5.197</v>
      </c>
      <c r="E591" s="16">
        <v>0.987</v>
      </c>
      <c r="F591" s="16">
        <v>1.224</v>
      </c>
      <c r="G591" s="16">
        <v>0.815</v>
      </c>
      <c r="H591" s="16">
        <v>0.216</v>
      </c>
      <c r="I591" s="16">
        <v>0.166</v>
      </c>
      <c r="J591" s="16">
        <v>0.027</v>
      </c>
      <c r="K591" s="16">
        <v>1.40601682662963</v>
      </c>
      <c r="L591" s="16">
        <v>4.13255071640014</v>
      </c>
      <c r="M591" s="16">
        <v>2.52143139244035</v>
      </c>
      <c r="N591" s="16">
        <v>2.89499998092651</v>
      </c>
      <c r="O591" s="12"/>
      <c r="P591" s="12"/>
      <c r="Q591" s="17" t="s">
        <v>24</v>
      </c>
      <c r="S591" s="14">
        <v>0.931</v>
      </c>
      <c r="T591" s="14">
        <v>0.5421</v>
      </c>
      <c r="U591" s="14">
        <v>0.15445</v>
      </c>
    </row>
    <row r="592">
      <c r="A592" s="10" t="s">
        <v>100</v>
      </c>
      <c r="B592" s="11">
        <v>2020.0</v>
      </c>
      <c r="C592" s="11">
        <v>111.0</v>
      </c>
      <c r="D592" s="11">
        <v>4.771500111</v>
      </c>
      <c r="E592" s="11">
        <v>0.889232516</v>
      </c>
      <c r="F592" s="11">
        <v>0.824338138</v>
      </c>
      <c r="G592" s="11">
        <v>67.10658264</v>
      </c>
      <c r="H592" s="11">
        <v>0.551357508</v>
      </c>
      <c r="I592" s="11">
        <v>-0.06121527</v>
      </c>
      <c r="J592" s="11">
        <v>0.90225625</v>
      </c>
      <c r="K592" s="11">
        <v>7.65544961481084</v>
      </c>
      <c r="L592" s="11">
        <v>253.96</v>
      </c>
      <c r="M592" s="11">
        <v>60.8864784838619</v>
      </c>
      <c r="N592" s="11">
        <v>84.864333047205</v>
      </c>
      <c r="O592" s="12"/>
      <c r="P592" s="12"/>
      <c r="Q592" s="13" t="s">
        <v>24</v>
      </c>
      <c r="S592" s="14">
        <v>0.931</v>
      </c>
      <c r="T592" s="14">
        <v>0.54252</v>
      </c>
      <c r="U592" s="14">
        <v>0.155</v>
      </c>
    </row>
    <row r="593">
      <c r="A593" s="15" t="s">
        <v>100</v>
      </c>
      <c r="B593" s="16">
        <v>2021.0</v>
      </c>
      <c r="C593" s="16">
        <v>123.0</v>
      </c>
      <c r="D593" s="16">
        <v>4.584</v>
      </c>
      <c r="E593" s="16">
        <v>9.626</v>
      </c>
      <c r="F593" s="16">
        <v>0.848</v>
      </c>
      <c r="G593" s="16">
        <v>67.355</v>
      </c>
      <c r="H593" s="16">
        <v>0.525</v>
      </c>
      <c r="I593" s="16">
        <v>-0.073</v>
      </c>
      <c r="J593" s="16">
        <v>0.898</v>
      </c>
      <c r="K593" s="16">
        <v>49.6</v>
      </c>
      <c r="L593" s="16">
        <v>310.68</v>
      </c>
      <c r="M593" s="16">
        <v>150.000704989201</v>
      </c>
      <c r="N593" s="16">
        <v>154.758677346477</v>
      </c>
      <c r="O593" s="12"/>
      <c r="P593" s="12"/>
      <c r="Q593" s="17" t="s">
        <v>24</v>
      </c>
      <c r="S593" s="14">
        <v>0.931</v>
      </c>
      <c r="T593" s="14">
        <v>0.543</v>
      </c>
      <c r="U593" s="14">
        <v>0.155</v>
      </c>
    </row>
    <row r="594">
      <c r="A594" s="10" t="s">
        <v>100</v>
      </c>
      <c r="B594" s="11">
        <v>2022.0</v>
      </c>
      <c r="C594" s="11">
        <v>145.0</v>
      </c>
      <c r="D594" s="11">
        <v>2.955</v>
      </c>
      <c r="E594" s="11">
        <v>1.392</v>
      </c>
      <c r="F594" s="11">
        <v>0.498</v>
      </c>
      <c r="G594" s="11">
        <v>0.631</v>
      </c>
      <c r="H594" s="11">
        <v>0.103</v>
      </c>
      <c r="I594" s="11">
        <v>0.082</v>
      </c>
      <c r="J594" s="11">
        <v>0.034</v>
      </c>
      <c r="K594" s="11">
        <v>105.214321800615</v>
      </c>
      <c r="L594" s="11">
        <v>276.075288722639</v>
      </c>
      <c r="M594" s="11">
        <v>24.3361325816412</v>
      </c>
      <c r="N594" s="11">
        <v>189.436408615975</v>
      </c>
      <c r="O594" s="12"/>
      <c r="P594" s="12"/>
      <c r="Q594" s="13" t="s">
        <v>24</v>
      </c>
      <c r="S594" s="14">
        <v>0.93164</v>
      </c>
      <c r="T594" s="14">
        <v>0.543</v>
      </c>
      <c r="U594" s="14">
        <v>0.15603</v>
      </c>
    </row>
    <row r="595">
      <c r="A595" s="15" t="s">
        <v>100</v>
      </c>
      <c r="B595" s="16">
        <v>2023.0</v>
      </c>
      <c r="C595" s="16">
        <v>136.0</v>
      </c>
      <c r="D595" s="16">
        <v>2.392</v>
      </c>
      <c r="E595" s="16">
        <v>9.478</v>
      </c>
      <c r="F595" s="16">
        <v>0.53</v>
      </c>
      <c r="G595" s="16">
        <v>66.149</v>
      </c>
      <c r="H595" s="16">
        <v>0.474</v>
      </c>
      <c r="I595" s="16">
        <v>-0.141</v>
      </c>
      <c r="J595" s="16">
        <v>0.891</v>
      </c>
      <c r="K595" s="16">
        <v>180.526014937911</v>
      </c>
      <c r="L595" s="16">
        <v>254.556389482755</v>
      </c>
      <c r="M595" s="12"/>
      <c r="N595" s="16">
        <v>221.341644023365</v>
      </c>
      <c r="O595" s="12"/>
      <c r="P595" s="12"/>
      <c r="Q595" s="17" t="s">
        <v>24</v>
      </c>
      <c r="S595" s="14">
        <v>0.932</v>
      </c>
      <c r="T595" s="14">
        <v>0.5432</v>
      </c>
      <c r="U595" s="14">
        <v>0.156313822</v>
      </c>
    </row>
    <row r="596">
      <c r="A596" s="10" t="s">
        <v>101</v>
      </c>
      <c r="B596" s="11">
        <v>2015.0</v>
      </c>
      <c r="C596" s="11">
        <v>97.0</v>
      </c>
      <c r="D596" s="11">
        <v>4.898</v>
      </c>
      <c r="E596" s="11">
        <v>0.37545</v>
      </c>
      <c r="F596" s="11">
        <v>1.04103</v>
      </c>
      <c r="G596" s="11">
        <v>0.07612</v>
      </c>
      <c r="H596" s="11">
        <v>0.31767</v>
      </c>
      <c r="I596" s="11">
        <v>0.16388</v>
      </c>
      <c r="J596" s="11">
        <v>0.12504</v>
      </c>
      <c r="K596" s="11">
        <v>-6.87279319763183</v>
      </c>
      <c r="L596" s="11">
        <v>6.14064788818359</v>
      </c>
      <c r="M596" s="11">
        <v>7.53487290762555</v>
      </c>
      <c r="N596" s="11">
        <v>4.30000019073486</v>
      </c>
      <c r="O596" s="12"/>
      <c r="P596" s="12"/>
      <c r="Q596" s="13" t="s">
        <v>28</v>
      </c>
      <c r="S596" s="14">
        <v>0.932</v>
      </c>
      <c r="T596" s="14">
        <v>0.54355</v>
      </c>
      <c r="U596" s="14">
        <v>0.15639</v>
      </c>
    </row>
    <row r="597">
      <c r="A597" s="15" t="s">
        <v>101</v>
      </c>
      <c r="B597" s="16">
        <v>2017.0</v>
      </c>
      <c r="C597" s="16">
        <v>139.0</v>
      </c>
      <c r="D597" s="16">
        <v>3.808000088</v>
      </c>
      <c r="E597" s="16">
        <v>0.521021247</v>
      </c>
      <c r="F597" s="16">
        <v>1.190095186</v>
      </c>
      <c r="G597" s="16">
        <v>0.0</v>
      </c>
      <c r="H597" s="16">
        <v>0.390661299</v>
      </c>
      <c r="I597" s="16">
        <v>0.157497272</v>
      </c>
      <c r="J597" s="16">
        <v>0.11909464</v>
      </c>
      <c r="K597" s="16">
        <v>6.2766842842102</v>
      </c>
      <c r="L597" s="16">
        <v>6.43109512329101</v>
      </c>
      <c r="M597" s="16">
        <v>0.90062356369154</v>
      </c>
      <c r="N597" s="16">
        <v>4.459</v>
      </c>
      <c r="O597" s="12"/>
      <c r="P597" s="12"/>
      <c r="Q597" s="17" t="s">
        <v>28</v>
      </c>
      <c r="S597" s="14">
        <v>0.932</v>
      </c>
      <c r="T597" s="14">
        <v>0.54388</v>
      </c>
      <c r="U597" s="14">
        <v>0.157</v>
      </c>
    </row>
    <row r="598">
      <c r="A598" s="10" t="s">
        <v>101</v>
      </c>
      <c r="B598" s="11">
        <v>2018.0</v>
      </c>
      <c r="C598" s="11">
        <v>141.0</v>
      </c>
      <c r="D598" s="11">
        <v>3.808</v>
      </c>
      <c r="E598" s="11">
        <v>0.472</v>
      </c>
      <c r="F598" s="11">
        <v>1.215</v>
      </c>
      <c r="G598" s="11">
        <v>0.079</v>
      </c>
      <c r="H598" s="11">
        <v>0.423</v>
      </c>
      <c r="I598" s="11">
        <v>0.116</v>
      </c>
      <c r="J598" s="11">
        <v>0.112</v>
      </c>
      <c r="K598" s="11">
        <v>8.81113624572753</v>
      </c>
      <c r="L598" s="11">
        <v>4.43653488159179</v>
      </c>
      <c r="M598" s="11">
        <v>5.27178424708562</v>
      </c>
      <c r="N598" s="11">
        <v>4.01</v>
      </c>
      <c r="O598" s="12"/>
      <c r="P598" s="12"/>
      <c r="Q598" s="13" t="s">
        <v>28</v>
      </c>
      <c r="S598" s="14">
        <v>0.933</v>
      </c>
      <c r="T598" s="14">
        <v>0.545</v>
      </c>
      <c r="U598" s="14">
        <v>0.157</v>
      </c>
    </row>
    <row r="599">
      <c r="A599" s="15" t="s">
        <v>101</v>
      </c>
      <c r="B599" s="16">
        <v>2019.0</v>
      </c>
      <c r="C599" s="16">
        <v>144.0</v>
      </c>
      <c r="D599" s="16">
        <v>3.802</v>
      </c>
      <c r="E599" s="16">
        <v>0.489</v>
      </c>
      <c r="F599" s="16">
        <v>1.169</v>
      </c>
      <c r="G599" s="16">
        <v>0.168</v>
      </c>
      <c r="H599" s="16">
        <v>0.359</v>
      </c>
      <c r="I599" s="16">
        <v>0.107</v>
      </c>
      <c r="J599" s="16">
        <v>0.093</v>
      </c>
      <c r="K599" s="16">
        <v>7.9988989830017</v>
      </c>
      <c r="L599" s="16">
        <v>6.8292441368103</v>
      </c>
      <c r="M599" s="16">
        <v>4.91612129218368</v>
      </c>
      <c r="N599" s="16">
        <v>5.1890001296997</v>
      </c>
      <c r="O599" s="12"/>
      <c r="P599" s="12"/>
      <c r="Q599" s="17" t="s">
        <v>28</v>
      </c>
      <c r="S599" s="14">
        <v>0.934</v>
      </c>
      <c r="T599" s="14">
        <v>0.545</v>
      </c>
      <c r="U599" s="14">
        <v>0.15746</v>
      </c>
    </row>
    <row r="600">
      <c r="A600" s="10" t="s">
        <v>101</v>
      </c>
      <c r="B600" s="11">
        <v>2020.0</v>
      </c>
      <c r="C600" s="11">
        <v>143.0</v>
      </c>
      <c r="D600" s="11">
        <v>3.652800083</v>
      </c>
      <c r="E600" s="11">
        <v>0.45493874</v>
      </c>
      <c r="F600" s="11">
        <v>0.780495703</v>
      </c>
      <c r="G600" s="11">
        <v>48.00362396</v>
      </c>
      <c r="H600" s="11">
        <v>0.738125861</v>
      </c>
      <c r="I600" s="11">
        <v>-0.145732045</v>
      </c>
      <c r="J600" s="11">
        <v>0.857392073</v>
      </c>
      <c r="K600" s="11">
        <v>-1.9274648474369</v>
      </c>
      <c r="L600" s="11">
        <v>10.3431911468505</v>
      </c>
      <c r="M600" s="11">
        <v>4.66520624682808</v>
      </c>
      <c r="N600" s="11">
        <v>4.97809676252334</v>
      </c>
      <c r="O600" s="12"/>
      <c r="P600" s="12"/>
      <c r="Q600" s="13" t="s">
        <v>28</v>
      </c>
      <c r="S600" s="14">
        <v>0.934</v>
      </c>
      <c r="T600" s="14">
        <v>0.546</v>
      </c>
      <c r="U600" s="14">
        <v>0.158</v>
      </c>
    </row>
    <row r="601">
      <c r="A601" s="15" t="s">
        <v>101</v>
      </c>
      <c r="B601" s="16">
        <v>2021.0</v>
      </c>
      <c r="C601" s="16">
        <v>145.0</v>
      </c>
      <c r="D601" s="16">
        <v>3.512</v>
      </c>
      <c r="E601" s="16">
        <v>7.926</v>
      </c>
      <c r="F601" s="16">
        <v>0.787</v>
      </c>
      <c r="G601" s="16">
        <v>48.7</v>
      </c>
      <c r="H601" s="16">
        <v>0.715</v>
      </c>
      <c r="I601" s="16">
        <v>-0.131</v>
      </c>
      <c r="J601" s="16">
        <v>0.915</v>
      </c>
      <c r="K601" s="16">
        <v>6.87</v>
      </c>
      <c r="L601" s="16">
        <v>9.64</v>
      </c>
      <c r="M601" s="16">
        <v>-0.884113276285598</v>
      </c>
      <c r="N601" s="16">
        <v>6.04867105324808</v>
      </c>
      <c r="O601" s="12"/>
      <c r="P601" s="12"/>
      <c r="Q601" s="17" t="s">
        <v>28</v>
      </c>
      <c r="S601" s="14">
        <v>0.934</v>
      </c>
      <c r="T601" s="14">
        <v>0.546</v>
      </c>
      <c r="U601" s="14">
        <v>0.1589</v>
      </c>
    </row>
    <row r="602">
      <c r="A602" s="10" t="s">
        <v>102</v>
      </c>
      <c r="B602" s="11">
        <v>2015.0</v>
      </c>
      <c r="C602" s="11">
        <v>116.0</v>
      </c>
      <c r="D602" s="11">
        <v>4.571</v>
      </c>
      <c r="E602" s="11">
        <v>0.0712</v>
      </c>
      <c r="F602" s="11">
        <v>0.78968</v>
      </c>
      <c r="G602" s="11">
        <v>0.34201</v>
      </c>
      <c r="H602" s="11">
        <v>0.28531</v>
      </c>
      <c r="I602" s="11">
        <v>0.24362</v>
      </c>
      <c r="J602" s="11">
        <v>0.06232</v>
      </c>
      <c r="K602" s="11">
        <v>-0.370000004768371</v>
      </c>
      <c r="L602" s="11">
        <v>10.079999923706</v>
      </c>
      <c r="M602" s="11">
        <v>-0.0869349230004853</v>
      </c>
      <c r="N602" s="11">
        <v>7.74200010299682</v>
      </c>
      <c r="O602" s="12"/>
      <c r="P602" s="12"/>
      <c r="Q602" s="13" t="s">
        <v>28</v>
      </c>
      <c r="S602" s="14">
        <v>0.934</v>
      </c>
      <c r="T602" s="14">
        <v>0.546</v>
      </c>
      <c r="U602" s="14">
        <v>0.16065</v>
      </c>
    </row>
    <row r="603">
      <c r="A603" s="15" t="s">
        <v>102</v>
      </c>
      <c r="B603" s="16">
        <v>2016.0</v>
      </c>
      <c r="C603" s="16">
        <v>150.0</v>
      </c>
      <c r="D603" s="16">
        <v>3.622</v>
      </c>
      <c r="E603" s="16">
        <v>0.10706</v>
      </c>
      <c r="F603" s="16">
        <v>0.50353</v>
      </c>
      <c r="G603" s="16">
        <v>0.23165</v>
      </c>
      <c r="H603" s="16">
        <v>0.25748</v>
      </c>
      <c r="I603" s="16">
        <v>0.24063</v>
      </c>
      <c r="J603" s="16">
        <v>0.04852</v>
      </c>
      <c r="K603" s="16">
        <v>-5.38999986648559</v>
      </c>
      <c r="L603" s="16">
        <v>7.88999986648559</v>
      </c>
      <c r="M603" s="16">
        <v>7.25916718458669</v>
      </c>
      <c r="N603" s="16">
        <v>8.84399986267089</v>
      </c>
      <c r="O603" s="12"/>
      <c r="P603" s="12"/>
      <c r="Q603" s="17" t="s">
        <v>28</v>
      </c>
      <c r="S603" s="14">
        <v>0.934</v>
      </c>
      <c r="T603" s="14">
        <v>0.54604</v>
      </c>
      <c r="U603" s="14">
        <v>0.161</v>
      </c>
    </row>
    <row r="604">
      <c r="A604" s="10" t="s">
        <v>102</v>
      </c>
      <c r="B604" s="11">
        <v>2017.0</v>
      </c>
      <c r="C604" s="11">
        <v>148.0</v>
      </c>
      <c r="D604" s="11">
        <v>3.532999992</v>
      </c>
      <c r="E604" s="11">
        <v>0.119041793</v>
      </c>
      <c r="F604" s="11">
        <v>0.872117937</v>
      </c>
      <c r="G604" s="11">
        <v>0.229918197</v>
      </c>
      <c r="H604" s="11">
        <v>0.332881182</v>
      </c>
      <c r="I604" s="11">
        <v>0.266549885</v>
      </c>
      <c r="J604" s="11">
        <v>0.038948249</v>
      </c>
      <c r="K604" s="11">
        <v>11.5492792550016</v>
      </c>
      <c r="L604" s="11">
        <v>6.4514497694773</v>
      </c>
      <c r="M604" s="11">
        <v>-0.114922547997063</v>
      </c>
      <c r="N604" s="11">
        <v>12.435</v>
      </c>
      <c r="O604" s="12"/>
      <c r="P604" s="12"/>
      <c r="Q604" s="13" t="s">
        <v>28</v>
      </c>
      <c r="S604" s="14">
        <v>0.934729993</v>
      </c>
      <c r="T604" s="14">
        <v>0.547</v>
      </c>
      <c r="U604" s="14">
        <v>0.16157</v>
      </c>
    </row>
    <row r="605">
      <c r="A605" s="15" t="s">
        <v>102</v>
      </c>
      <c r="B605" s="16">
        <v>2018.0</v>
      </c>
      <c r="C605" s="16">
        <v>149.0</v>
      </c>
      <c r="D605" s="16">
        <v>3.495</v>
      </c>
      <c r="E605" s="16">
        <v>0.076</v>
      </c>
      <c r="F605" s="16">
        <v>0.858</v>
      </c>
      <c r="G605" s="16">
        <v>0.267</v>
      </c>
      <c r="H605" s="16">
        <v>0.419</v>
      </c>
      <c r="I605" s="16">
        <v>0.206</v>
      </c>
      <c r="J605" s="16">
        <v>0.03</v>
      </c>
      <c r="K605" s="16">
        <v>19.1495621900946</v>
      </c>
      <c r="L605" s="16">
        <v>20.9073759700141</v>
      </c>
      <c r="M605" s="16">
        <v>-3.3153177542082</v>
      </c>
      <c r="N605" s="16">
        <v>23.56</v>
      </c>
      <c r="O605" s="12"/>
      <c r="P605" s="12"/>
      <c r="Q605" s="17" t="s">
        <v>28</v>
      </c>
      <c r="S605" s="14">
        <v>0.934744895</v>
      </c>
      <c r="T605" s="14">
        <v>0.547509372</v>
      </c>
      <c r="U605" s="14">
        <v>0.1616</v>
      </c>
    </row>
    <row r="606">
      <c r="A606" s="10" t="s">
        <v>102</v>
      </c>
      <c r="B606" s="11">
        <v>2019.0</v>
      </c>
      <c r="C606" s="11">
        <v>141.0</v>
      </c>
      <c r="D606" s="11">
        <v>3.975</v>
      </c>
      <c r="E606" s="11">
        <v>0.073</v>
      </c>
      <c r="F606" s="11">
        <v>0.922</v>
      </c>
      <c r="G606" s="11">
        <v>0.443</v>
      </c>
      <c r="H606" s="11">
        <v>0.37</v>
      </c>
      <c r="I606" s="11">
        <v>0.233</v>
      </c>
      <c r="J606" s="11">
        <v>0.033</v>
      </c>
      <c r="K606" s="12"/>
      <c r="L606" s="11">
        <v>28.8911190961513</v>
      </c>
      <c r="M606" s="11">
        <v>-3.71999999999999</v>
      </c>
      <c r="N606" s="11">
        <v>26.9689998626709</v>
      </c>
      <c r="O606" s="12"/>
      <c r="P606" s="12"/>
      <c r="Q606" s="13" t="s">
        <v>28</v>
      </c>
      <c r="S606" s="14">
        <v>0.935</v>
      </c>
      <c r="T606" s="14">
        <v>0.547612607</v>
      </c>
      <c r="U606" s="14">
        <v>0.16292</v>
      </c>
    </row>
    <row r="607">
      <c r="A607" s="15" t="s">
        <v>102</v>
      </c>
      <c r="B607" s="16">
        <v>2020.0</v>
      </c>
      <c r="C607" s="16">
        <v>124.0</v>
      </c>
      <c r="D607" s="16">
        <v>4.557899952</v>
      </c>
      <c r="E607" s="16">
        <v>0.174103007</v>
      </c>
      <c r="F607" s="16">
        <v>0.70928055</v>
      </c>
      <c r="G607" s="16">
        <v>56.09631348</v>
      </c>
      <c r="H607" s="16">
        <v>0.735268712</v>
      </c>
      <c r="I607" s="16">
        <v>0.04227322</v>
      </c>
      <c r="J607" s="16">
        <v>0.856375933</v>
      </c>
      <c r="K607" s="12"/>
      <c r="L607" s="12"/>
      <c r="M607" s="16">
        <v>2.03780639800582</v>
      </c>
      <c r="N607" s="16">
        <v>11.8940000534057</v>
      </c>
      <c r="O607" s="12"/>
      <c r="P607" s="12"/>
      <c r="Q607" s="17" t="s">
        <v>28</v>
      </c>
      <c r="S607" s="14">
        <v>0.935</v>
      </c>
      <c r="T607" s="14">
        <v>0.548</v>
      </c>
      <c r="U607" s="14">
        <v>0.163760737</v>
      </c>
    </row>
    <row r="608">
      <c r="A608" s="10" t="s">
        <v>102</v>
      </c>
      <c r="B608" s="11">
        <v>2021.0</v>
      </c>
      <c r="C608" s="11">
        <v>120.0</v>
      </c>
      <c r="D608" s="11">
        <v>4.625</v>
      </c>
      <c r="E608" s="11">
        <v>7.288</v>
      </c>
      <c r="F608" s="11">
        <v>0.72</v>
      </c>
      <c r="G608" s="11">
        <v>56.498</v>
      </c>
      <c r="H608" s="11">
        <v>0.735</v>
      </c>
      <c r="I608" s="11">
        <v>0.05</v>
      </c>
      <c r="J608" s="11">
        <v>0.85</v>
      </c>
      <c r="K608" s="12"/>
      <c r="L608" s="12"/>
      <c r="M608" s="11">
        <v>9.94562353110219</v>
      </c>
      <c r="N608" s="11">
        <v>7.816</v>
      </c>
      <c r="O608" s="12"/>
      <c r="P608" s="12"/>
      <c r="Q608" s="13" t="s">
        <v>28</v>
      </c>
      <c r="S608" s="14">
        <v>0.936</v>
      </c>
      <c r="T608" s="14">
        <v>0.54854</v>
      </c>
      <c r="U608" s="14">
        <v>0.164</v>
      </c>
    </row>
    <row r="609">
      <c r="A609" s="15" t="s">
        <v>102</v>
      </c>
      <c r="B609" s="16">
        <v>2023.0</v>
      </c>
      <c r="C609" s="16">
        <v>125.0</v>
      </c>
      <c r="D609" s="16">
        <v>4.042</v>
      </c>
      <c r="E609" s="16">
        <v>7.277</v>
      </c>
      <c r="F609" s="16">
        <v>0.596</v>
      </c>
      <c r="G609" s="16">
        <v>56.7</v>
      </c>
      <c r="H609" s="16">
        <v>0.735</v>
      </c>
      <c r="I609" s="16">
        <v>0.154</v>
      </c>
      <c r="J609" s="16">
        <v>0.83</v>
      </c>
      <c r="K609" s="12"/>
      <c r="L609" s="12"/>
      <c r="M609" s="16">
        <v>5.62281961830495</v>
      </c>
      <c r="N609" s="16">
        <v>2.55517671442635</v>
      </c>
      <c r="O609" s="12"/>
      <c r="P609" s="12"/>
      <c r="Q609" s="17" t="s">
        <v>28</v>
      </c>
      <c r="S609" s="14">
        <v>0.93668282</v>
      </c>
      <c r="T609" s="14">
        <v>0.5487</v>
      </c>
      <c r="U609" s="14">
        <v>0.165455714</v>
      </c>
    </row>
    <row r="610">
      <c r="A610" s="10" t="s">
        <v>103</v>
      </c>
      <c r="B610" s="11">
        <v>2015.0</v>
      </c>
      <c r="C610" s="11">
        <v>63.0</v>
      </c>
      <c r="D610" s="11">
        <v>5.754</v>
      </c>
      <c r="E610" s="11">
        <v>1.13145</v>
      </c>
      <c r="F610" s="11">
        <v>1.11862</v>
      </c>
      <c r="G610" s="11">
        <v>0.7038</v>
      </c>
      <c r="H610" s="11">
        <v>0.41668</v>
      </c>
      <c r="I610" s="11">
        <v>0.18295</v>
      </c>
      <c r="J610" s="11">
        <v>0.11023</v>
      </c>
      <c r="K610" s="12"/>
      <c r="L610" s="12"/>
      <c r="M610" s="11">
        <v>-11.4426909295865</v>
      </c>
      <c r="N610" s="11">
        <v>9.83899974822998</v>
      </c>
      <c r="O610" s="12"/>
      <c r="P610" s="12"/>
      <c r="Q610" s="13" t="s">
        <v>28</v>
      </c>
      <c r="S610" s="14">
        <v>0.937</v>
      </c>
      <c r="T610" s="14">
        <v>0.549840569</v>
      </c>
      <c r="U610" s="14">
        <v>0.166</v>
      </c>
    </row>
    <row r="611">
      <c r="A611" s="15" t="s">
        <v>103</v>
      </c>
      <c r="B611" s="16">
        <v>2016.0</v>
      </c>
      <c r="C611" s="16">
        <v>67.0</v>
      </c>
      <c r="D611" s="16">
        <v>5.615</v>
      </c>
      <c r="E611" s="16">
        <v>1.06688</v>
      </c>
      <c r="F611" s="16">
        <v>0.95076</v>
      </c>
      <c r="G611" s="16">
        <v>0.52304</v>
      </c>
      <c r="H611" s="16">
        <v>0.40672</v>
      </c>
      <c r="I611" s="16">
        <v>0.17087</v>
      </c>
      <c r="J611" s="16">
        <v>0.10339</v>
      </c>
      <c r="K611" s="12"/>
      <c r="L611" s="16">
        <v>29.8090362548828</v>
      </c>
      <c r="M611" s="16">
        <v>17.0962755861661</v>
      </c>
      <c r="N611" s="16">
        <v>25.8810005187988</v>
      </c>
      <c r="O611" s="12"/>
      <c r="P611" s="12"/>
      <c r="Q611" s="17" t="s">
        <v>28</v>
      </c>
      <c r="S611" s="14">
        <v>0.937103748</v>
      </c>
      <c r="T611" s="14">
        <v>0.54994</v>
      </c>
      <c r="U611" s="14">
        <v>0.167</v>
      </c>
    </row>
    <row r="612">
      <c r="A612" s="10" t="s">
        <v>103</v>
      </c>
      <c r="B612" s="11">
        <v>2017.0</v>
      </c>
      <c r="C612" s="11">
        <v>68.0</v>
      </c>
      <c r="D612" s="11">
        <v>5.525000095</v>
      </c>
      <c r="E612" s="11">
        <v>1.101803064</v>
      </c>
      <c r="F612" s="11">
        <v>1.35756433</v>
      </c>
      <c r="G612" s="11">
        <v>0.52016902</v>
      </c>
      <c r="H612" s="11">
        <v>0.46573323</v>
      </c>
      <c r="I612" s="11">
        <v>0.152073666</v>
      </c>
      <c r="J612" s="11">
        <v>0.09261021</v>
      </c>
      <c r="K612" s="12"/>
      <c r="L612" s="11">
        <v>35.1273765563964</v>
      </c>
      <c r="M612" s="11">
        <v>-1.03465512304728</v>
      </c>
      <c r="N612" s="11">
        <v>28.473</v>
      </c>
      <c r="O612" s="12"/>
      <c r="P612" s="12"/>
      <c r="Q612" s="13" t="s">
        <v>28</v>
      </c>
      <c r="S612" s="14">
        <v>0.937142491</v>
      </c>
      <c r="T612" s="14">
        <v>0.550026834</v>
      </c>
      <c r="U612" s="14">
        <v>0.167</v>
      </c>
    </row>
    <row r="613">
      <c r="A613" s="15" t="s">
        <v>103</v>
      </c>
      <c r="B613" s="16">
        <v>2018.0</v>
      </c>
      <c r="C613" s="16">
        <v>70.0</v>
      </c>
      <c r="D613" s="16">
        <v>5.566</v>
      </c>
      <c r="E613" s="16">
        <v>0.985</v>
      </c>
      <c r="F613" s="16">
        <v>1.35</v>
      </c>
      <c r="G613" s="16">
        <v>0.553</v>
      </c>
      <c r="H613" s="16">
        <v>0.496</v>
      </c>
      <c r="I613" s="16">
        <v>0.116</v>
      </c>
      <c r="J613" s="16">
        <v>0.148</v>
      </c>
      <c r="K613" s="12"/>
      <c r="L613" s="12"/>
      <c r="M613" s="16">
        <v>16.3396705683896</v>
      </c>
      <c r="N613" s="16">
        <v>-1.196</v>
      </c>
      <c r="O613" s="12"/>
      <c r="P613" s="12"/>
      <c r="Q613" s="17" t="s">
        <v>28</v>
      </c>
      <c r="S613" s="14">
        <v>0.937840343</v>
      </c>
      <c r="T613" s="14">
        <v>0.55011</v>
      </c>
      <c r="U613" s="14">
        <v>0.167</v>
      </c>
    </row>
    <row r="614">
      <c r="A614" s="10" t="s">
        <v>103</v>
      </c>
      <c r="B614" s="11">
        <v>2019.0</v>
      </c>
      <c r="C614" s="11">
        <v>72.0</v>
      </c>
      <c r="D614" s="11">
        <v>5.525</v>
      </c>
      <c r="E614" s="11">
        <v>1.044</v>
      </c>
      <c r="F614" s="11">
        <v>1.303</v>
      </c>
      <c r="G614" s="11">
        <v>0.673</v>
      </c>
      <c r="H614" s="11">
        <v>0.416</v>
      </c>
      <c r="I614" s="11">
        <v>0.133</v>
      </c>
      <c r="J614" s="11">
        <v>0.152</v>
      </c>
      <c r="K614" s="12"/>
      <c r="L614" s="12"/>
      <c r="M614" s="11">
        <v>-15.0622976800647</v>
      </c>
      <c r="N614" s="11">
        <v>4.56300020217895</v>
      </c>
      <c r="O614" s="12"/>
      <c r="P614" s="12"/>
      <c r="Q614" s="13" t="s">
        <v>28</v>
      </c>
      <c r="S614" s="14">
        <v>0.93793</v>
      </c>
      <c r="T614" s="14">
        <v>0.551357508</v>
      </c>
      <c r="U614" s="14">
        <v>0.168</v>
      </c>
    </row>
    <row r="615">
      <c r="A615" s="15" t="s">
        <v>103</v>
      </c>
      <c r="B615" s="16">
        <v>2020.0</v>
      </c>
      <c r="C615" s="16">
        <v>80.0</v>
      </c>
      <c r="D615" s="16">
        <v>5.488800049</v>
      </c>
      <c r="E615" s="16">
        <v>1.021913767</v>
      </c>
      <c r="F615" s="16">
        <v>0.825942934</v>
      </c>
      <c r="G615" s="16">
        <v>62.29999924</v>
      </c>
      <c r="H615" s="16">
        <v>0.773157001</v>
      </c>
      <c r="I615" s="16">
        <v>-0.085054487</v>
      </c>
      <c r="J615" s="16">
        <v>0.668779135</v>
      </c>
      <c r="K615" s="12"/>
      <c r="L615" s="12"/>
      <c r="M615" s="16">
        <v>35.8468188156595</v>
      </c>
      <c r="N615" s="16">
        <v>22.256</v>
      </c>
      <c r="O615" s="12"/>
      <c r="P615" s="12"/>
      <c r="Q615" s="17" t="s">
        <v>28</v>
      </c>
      <c r="S615" s="14">
        <v>0.938</v>
      </c>
      <c r="T615" s="14">
        <v>0.551522553</v>
      </c>
      <c r="U615" s="14">
        <v>0.168489456</v>
      </c>
    </row>
    <row r="616">
      <c r="A616" s="10" t="s">
        <v>103</v>
      </c>
      <c r="B616" s="11">
        <v>2021.0</v>
      </c>
      <c r="C616" s="11">
        <v>80.0</v>
      </c>
      <c r="D616" s="11">
        <v>5.41</v>
      </c>
      <c r="E616" s="11">
        <v>9.622</v>
      </c>
      <c r="F616" s="11">
        <v>0.827</v>
      </c>
      <c r="G616" s="11">
        <v>62.3</v>
      </c>
      <c r="H616" s="11">
        <v>0.771</v>
      </c>
      <c r="I616" s="11">
        <v>-0.087</v>
      </c>
      <c r="J616" s="11">
        <v>0.667</v>
      </c>
      <c r="K616" s="12"/>
      <c r="L616" s="12"/>
      <c r="M616" s="11">
        <v>110.400070705125</v>
      </c>
      <c r="N616" s="11">
        <v>2.769</v>
      </c>
      <c r="O616" s="12"/>
      <c r="P616" s="12"/>
      <c r="Q616" s="13" t="s">
        <v>28</v>
      </c>
      <c r="S616" s="14">
        <v>0.939</v>
      </c>
      <c r="T616" s="14">
        <v>0.552</v>
      </c>
      <c r="U616" s="14">
        <v>0.171</v>
      </c>
    </row>
    <row r="617">
      <c r="A617" s="15" t="s">
        <v>104</v>
      </c>
      <c r="B617" s="16">
        <v>2015.0</v>
      </c>
      <c r="C617" s="16">
        <v>56.0</v>
      </c>
      <c r="D617" s="16">
        <v>5.833</v>
      </c>
      <c r="E617" s="16">
        <v>1.14723</v>
      </c>
      <c r="F617" s="16">
        <v>1.25745</v>
      </c>
      <c r="G617" s="16">
        <v>0.73128</v>
      </c>
      <c r="H617" s="16">
        <v>0.21342</v>
      </c>
      <c r="I617" s="16">
        <v>0.02641</v>
      </c>
      <c r="J617" s="16">
        <v>0.01031</v>
      </c>
      <c r="K617" s="16">
        <v>-4.75842475891113</v>
      </c>
      <c r="L617" s="16">
        <v>-0.8614342212677</v>
      </c>
      <c r="M617" s="16">
        <v>0.0640409862311809</v>
      </c>
      <c r="N617" s="16">
        <v>-0.884097099304199</v>
      </c>
      <c r="O617" s="16">
        <v>1.2436089515686</v>
      </c>
      <c r="P617" s="16">
        <v>-9.61741256713867</v>
      </c>
      <c r="Q617" s="17" t="s">
        <v>26</v>
      </c>
      <c r="S617" s="14">
        <v>0.939</v>
      </c>
      <c r="T617" s="14">
        <v>0.55211</v>
      </c>
      <c r="U617" s="14">
        <v>0.171</v>
      </c>
    </row>
    <row r="618">
      <c r="A618" s="10" t="s">
        <v>104</v>
      </c>
      <c r="B618" s="11">
        <v>2016.0</v>
      </c>
      <c r="C618" s="11">
        <v>60.0</v>
      </c>
      <c r="D618" s="11">
        <v>5.813</v>
      </c>
      <c r="E618" s="11">
        <v>1.2692</v>
      </c>
      <c r="F618" s="11">
        <v>1.06411</v>
      </c>
      <c r="G618" s="11">
        <v>0.64674</v>
      </c>
      <c r="H618" s="11">
        <v>0.18929</v>
      </c>
      <c r="I618" s="11">
        <v>0.02025</v>
      </c>
      <c r="J618" s="11">
        <v>0.0182</v>
      </c>
      <c r="K618" s="11">
        <v>-2.03235793113708</v>
      </c>
      <c r="L618" s="11">
        <v>1.23334503173828</v>
      </c>
      <c r="M618" s="11">
        <v>1.57599999999999</v>
      </c>
      <c r="N618" s="11">
        <v>0.905525267124176</v>
      </c>
      <c r="O618" s="11">
        <v>2.2258334159851</v>
      </c>
      <c r="P618" s="11">
        <v>-4.37463474273681</v>
      </c>
      <c r="Q618" s="13" t="s">
        <v>26</v>
      </c>
      <c r="S618" s="14">
        <v>0.939</v>
      </c>
      <c r="T618" s="14">
        <v>0.55225</v>
      </c>
      <c r="U618" s="14">
        <v>0.1717</v>
      </c>
    </row>
    <row r="619">
      <c r="A619" s="15" t="s">
        <v>104</v>
      </c>
      <c r="B619" s="16">
        <v>2017.0</v>
      </c>
      <c r="C619" s="16">
        <v>52.0</v>
      </c>
      <c r="D619" s="16">
        <v>5.90199995</v>
      </c>
      <c r="E619" s="16">
        <v>1.314582348</v>
      </c>
      <c r="F619" s="16">
        <v>1.473516107</v>
      </c>
      <c r="G619" s="16">
        <v>0.62894994</v>
      </c>
      <c r="H619" s="16">
        <v>0.234231785</v>
      </c>
      <c r="I619" s="16">
        <v>0.010164657</v>
      </c>
      <c r="J619" s="16">
        <v>0.011865643</v>
      </c>
      <c r="K619" s="16">
        <v>1.12131226062774</v>
      </c>
      <c r="L619" s="16">
        <v>3.5610601902008</v>
      </c>
      <c r="M619" s="16">
        <v>4.24312829802315</v>
      </c>
      <c r="N619" s="16">
        <v>3.718</v>
      </c>
      <c r="O619" s="16">
        <v>3.88926482200622</v>
      </c>
      <c r="P619" s="16">
        <v>5.06273937225341</v>
      </c>
      <c r="Q619" s="17" t="s">
        <v>26</v>
      </c>
      <c r="S619" s="14">
        <v>0.93913883</v>
      </c>
      <c r="T619" s="14">
        <v>0.552589834</v>
      </c>
      <c r="U619" s="14">
        <v>0.17175</v>
      </c>
    </row>
    <row r="620">
      <c r="A620" s="10" t="s">
        <v>104</v>
      </c>
      <c r="B620" s="11">
        <v>2018.0</v>
      </c>
      <c r="C620" s="11">
        <v>50.0</v>
      </c>
      <c r="D620" s="11">
        <v>5.952</v>
      </c>
      <c r="E620" s="11">
        <v>1.197</v>
      </c>
      <c r="F620" s="11">
        <v>1.527</v>
      </c>
      <c r="G620" s="11">
        <v>0.716</v>
      </c>
      <c r="H620" s="11">
        <v>0.35</v>
      </c>
      <c r="I620" s="11">
        <v>0.026</v>
      </c>
      <c r="J620" s="11">
        <v>0.006</v>
      </c>
      <c r="K620" s="11">
        <v>4.05245018005371</v>
      </c>
      <c r="L620" s="11">
        <v>1.44335687160491</v>
      </c>
      <c r="M620" s="11">
        <v>3.52926732523658</v>
      </c>
      <c r="N620" s="11">
        <v>2.7</v>
      </c>
      <c r="O620" s="11">
        <v>2.17667651176452</v>
      </c>
      <c r="P620" s="11">
        <v>5.6232886314392</v>
      </c>
      <c r="Q620" s="13" t="s">
        <v>26</v>
      </c>
      <c r="S620" s="14">
        <v>0.939575672</v>
      </c>
      <c r="T620" s="14">
        <v>0.553</v>
      </c>
      <c r="U620" s="14">
        <v>0.17176</v>
      </c>
    </row>
    <row r="621">
      <c r="A621" s="15" t="s">
        <v>104</v>
      </c>
      <c r="B621" s="16">
        <v>2019.0</v>
      </c>
      <c r="C621" s="16">
        <v>42.0</v>
      </c>
      <c r="D621" s="16">
        <v>6.149</v>
      </c>
      <c r="E621" s="16">
        <v>1.238</v>
      </c>
      <c r="F621" s="16">
        <v>1.515</v>
      </c>
      <c r="G621" s="16">
        <v>0.818</v>
      </c>
      <c r="H621" s="16">
        <v>0.291</v>
      </c>
      <c r="I621" s="16">
        <v>0.043</v>
      </c>
      <c r="J621" s="16">
        <v>0.042</v>
      </c>
      <c r="K621" s="16">
        <v>0.127216503024101</v>
      </c>
      <c r="L621" s="16">
        <v>2.92987513542175</v>
      </c>
      <c r="M621" s="16">
        <v>2.80689271412021</v>
      </c>
      <c r="N621" s="16">
        <v>2.24200010299682</v>
      </c>
      <c r="O621" s="16">
        <v>2.41060996055603</v>
      </c>
      <c r="P621" s="16">
        <v>-0.0785237103700637</v>
      </c>
      <c r="Q621" s="17" t="s">
        <v>26</v>
      </c>
      <c r="S621" s="14">
        <v>0.94</v>
      </c>
      <c r="T621" s="14">
        <v>0.553</v>
      </c>
      <c r="U621" s="14">
        <v>0.172</v>
      </c>
    </row>
    <row r="622">
      <c r="A622" s="10" t="s">
        <v>104</v>
      </c>
      <c r="B622" s="11">
        <v>2020.0</v>
      </c>
      <c r="C622" s="11">
        <v>41.0</v>
      </c>
      <c r="D622" s="11">
        <v>6.215499878</v>
      </c>
      <c r="E622" s="11">
        <v>1.193559647</v>
      </c>
      <c r="F622" s="11">
        <v>0.926107109</v>
      </c>
      <c r="G622" s="11">
        <v>67.29407501</v>
      </c>
      <c r="H622" s="11">
        <v>0.747381449</v>
      </c>
      <c r="I622" s="11">
        <v>-0.219725296</v>
      </c>
      <c r="J622" s="11">
        <v>0.809583843</v>
      </c>
      <c r="K622" s="11">
        <v>-3.40343070487912</v>
      </c>
      <c r="L622" s="11">
        <v>2.2611813545227</v>
      </c>
      <c r="M622" s="11">
        <v>0.823425022182783</v>
      </c>
      <c r="N622" s="11">
        <v>1.19989444983585</v>
      </c>
      <c r="O622" s="11">
        <v>3.055183</v>
      </c>
      <c r="P622" s="11">
        <v>-8.88015460968017</v>
      </c>
      <c r="Q622" s="13" t="s">
        <v>26</v>
      </c>
      <c r="S622" s="14">
        <v>0.941</v>
      </c>
      <c r="T622" s="14">
        <v>0.554</v>
      </c>
      <c r="U622" s="14">
        <v>0.172502428</v>
      </c>
    </row>
    <row r="623">
      <c r="A623" s="15" t="s">
        <v>104</v>
      </c>
      <c r="B623" s="16">
        <v>2021.0</v>
      </c>
      <c r="C623" s="16">
        <v>38.0</v>
      </c>
      <c r="D623" s="16">
        <v>6.255</v>
      </c>
      <c r="E623" s="16">
        <v>10.499</v>
      </c>
      <c r="F623" s="16">
        <v>0.935</v>
      </c>
      <c r="G623" s="16">
        <v>67.906</v>
      </c>
      <c r="H623" s="16">
        <v>0.773</v>
      </c>
      <c r="I623" s="16">
        <v>-0.203</v>
      </c>
      <c r="J623" s="16">
        <v>0.826</v>
      </c>
      <c r="K623" s="16">
        <v>14.33189</v>
      </c>
      <c r="L623" s="16">
        <v>2.766</v>
      </c>
      <c r="M623" s="16">
        <v>6.50805313836133</v>
      </c>
      <c r="N623" s="16">
        <v>4.683544</v>
      </c>
      <c r="O623" s="16">
        <v>3.502</v>
      </c>
      <c r="P623" s="16">
        <v>9.61953239582454</v>
      </c>
      <c r="Q623" s="17" t="s">
        <v>26</v>
      </c>
      <c r="S623" s="14">
        <v>0.942</v>
      </c>
      <c r="T623" s="14">
        <v>0.55475</v>
      </c>
      <c r="U623" s="14">
        <v>0.17338039</v>
      </c>
    </row>
    <row r="624">
      <c r="A624" s="10" t="s">
        <v>104</v>
      </c>
      <c r="B624" s="11">
        <v>2022.0</v>
      </c>
      <c r="C624" s="11">
        <v>34.0</v>
      </c>
      <c r="D624" s="11">
        <v>6.446</v>
      </c>
      <c r="E624" s="11">
        <v>1.804</v>
      </c>
      <c r="F624" s="11">
        <v>1.204</v>
      </c>
      <c r="G624" s="11">
        <v>0.659</v>
      </c>
      <c r="H624" s="11">
        <v>0.496</v>
      </c>
      <c r="I624" s="11">
        <v>0.053</v>
      </c>
      <c r="J624" s="11">
        <v>0.077</v>
      </c>
      <c r="K624" s="11">
        <v>56.0491644860947</v>
      </c>
      <c r="L624" s="11">
        <v>26.34362</v>
      </c>
      <c r="M624" s="11">
        <v>14.4635277084251</v>
      </c>
      <c r="N624" s="11">
        <v>19.70505</v>
      </c>
      <c r="O624" s="11">
        <v>10.3134987384356</v>
      </c>
      <c r="P624" s="11">
        <v>25.88540846844</v>
      </c>
      <c r="Q624" s="13" t="s">
        <v>26</v>
      </c>
      <c r="S624" s="14">
        <v>0.942</v>
      </c>
      <c r="T624" s="14">
        <v>0.55499</v>
      </c>
      <c r="U624" s="14">
        <v>0.17383</v>
      </c>
    </row>
    <row r="625">
      <c r="A625" s="15" t="s">
        <v>104</v>
      </c>
      <c r="B625" s="16">
        <v>2023.0</v>
      </c>
      <c r="C625" s="16">
        <v>20.0</v>
      </c>
      <c r="D625" s="16">
        <v>6.763</v>
      </c>
      <c r="E625" s="16">
        <v>10.568</v>
      </c>
      <c r="F625" s="16">
        <v>0.939</v>
      </c>
      <c r="G625" s="16">
        <v>67.397</v>
      </c>
      <c r="H625" s="16">
        <v>0.748</v>
      </c>
      <c r="I625" s="16">
        <v>-0.145</v>
      </c>
      <c r="J625" s="16">
        <v>0.805</v>
      </c>
      <c r="K625" s="16">
        <v>0.169712974355718</v>
      </c>
      <c r="L625" s="16">
        <v>14.572627491398</v>
      </c>
      <c r="M625" s="16">
        <v>7.20393283523662</v>
      </c>
      <c r="N625" s="16">
        <v>9.11731962390475</v>
      </c>
      <c r="O625" s="16">
        <v>9.90950053750734</v>
      </c>
      <c r="P625" s="16">
        <v>-2.27982510930618</v>
      </c>
      <c r="Q625" s="17" t="s">
        <v>26</v>
      </c>
      <c r="S625" s="14">
        <v>0.942</v>
      </c>
      <c r="T625" s="14">
        <v>0.555</v>
      </c>
      <c r="U625" s="14">
        <v>0.174</v>
      </c>
    </row>
    <row r="626">
      <c r="A626" s="10" t="s">
        <v>105</v>
      </c>
      <c r="B626" s="11">
        <v>2015.0</v>
      </c>
      <c r="C626" s="11">
        <v>17.0</v>
      </c>
      <c r="D626" s="11">
        <v>6.946</v>
      </c>
      <c r="E626" s="11">
        <v>1.56391</v>
      </c>
      <c r="F626" s="11">
        <v>1.21963</v>
      </c>
      <c r="G626" s="11">
        <v>0.91894</v>
      </c>
      <c r="H626" s="11">
        <v>0.61583</v>
      </c>
      <c r="I626" s="11">
        <v>0.28034</v>
      </c>
      <c r="J626" s="11">
        <v>0.37798</v>
      </c>
      <c r="K626" s="11">
        <v>-0.914113581180572</v>
      </c>
      <c r="L626" s="11">
        <v>0.76749837398529</v>
      </c>
      <c r="M626" s="11">
        <v>0.185279210425517</v>
      </c>
      <c r="N626" s="11">
        <v>0.474746853113174</v>
      </c>
      <c r="O626" s="11">
        <v>1.606256</v>
      </c>
      <c r="P626" s="11">
        <v>-0.827243030071258</v>
      </c>
      <c r="Q626" s="13" t="s">
        <v>26</v>
      </c>
      <c r="S626" s="14">
        <v>0.942081571</v>
      </c>
      <c r="T626" s="14">
        <v>0.555</v>
      </c>
      <c r="U626" s="14">
        <v>0.17457</v>
      </c>
    </row>
    <row r="627">
      <c r="A627" s="15" t="s">
        <v>105</v>
      </c>
      <c r="B627" s="16">
        <v>2016.0</v>
      </c>
      <c r="C627" s="16">
        <v>20.0</v>
      </c>
      <c r="D627" s="16">
        <v>6.871</v>
      </c>
      <c r="E627" s="16">
        <v>1.69752</v>
      </c>
      <c r="F627" s="16">
        <v>1.03999</v>
      </c>
      <c r="G627" s="16">
        <v>0.84542</v>
      </c>
      <c r="H627" s="16">
        <v>0.5487</v>
      </c>
      <c r="I627" s="16">
        <v>0.27571</v>
      </c>
      <c r="J627" s="16">
        <v>0.35329</v>
      </c>
      <c r="K627" s="16">
        <v>-1.57341241836547</v>
      </c>
      <c r="L627" s="16">
        <v>1.52914178371429</v>
      </c>
      <c r="M627" s="16">
        <v>0.770865378630927</v>
      </c>
      <c r="N627" s="16">
        <v>0.29083251953125</v>
      </c>
      <c r="O627" s="16">
        <v>0.9516587</v>
      </c>
      <c r="P627" s="16">
        <v>-1.17498326301574</v>
      </c>
      <c r="Q627" s="17" t="s">
        <v>26</v>
      </c>
      <c r="S627" s="14">
        <v>0.942846596</v>
      </c>
      <c r="T627" s="14">
        <v>0.555</v>
      </c>
      <c r="U627" s="14">
        <v>0.17461</v>
      </c>
    </row>
    <row r="628">
      <c r="A628" s="10" t="s">
        <v>105</v>
      </c>
      <c r="B628" s="11">
        <v>2017.0</v>
      </c>
      <c r="C628" s="11">
        <v>18.0</v>
      </c>
      <c r="D628" s="11">
        <v>6.862999916</v>
      </c>
      <c r="E628" s="11">
        <v>1.741943598</v>
      </c>
      <c r="F628" s="11">
        <v>1.457583666</v>
      </c>
      <c r="G628" s="11">
        <v>0.845089495</v>
      </c>
      <c r="H628" s="11">
        <v>0.596627891</v>
      </c>
      <c r="I628" s="11">
        <v>0.283180982</v>
      </c>
      <c r="J628" s="11">
        <v>0.318834424</v>
      </c>
      <c r="K628" s="11">
        <v>1.67137646675109</v>
      </c>
      <c r="L628" s="11">
        <v>2.81605982780456</v>
      </c>
      <c r="M628" s="11">
        <v>1.71610580740793</v>
      </c>
      <c r="N628" s="11">
        <v>2.111</v>
      </c>
      <c r="O628" s="11">
        <v>1.366979</v>
      </c>
      <c r="P628" s="11">
        <v>2.91836977005004</v>
      </c>
      <c r="Q628" s="13" t="s">
        <v>26</v>
      </c>
      <c r="S628" s="14">
        <v>0.943</v>
      </c>
      <c r="T628" s="14">
        <v>0.556</v>
      </c>
      <c r="U628" s="14">
        <v>0.17521</v>
      </c>
    </row>
    <row r="629">
      <c r="A629" s="15" t="s">
        <v>105</v>
      </c>
      <c r="B629" s="16">
        <v>2018.0</v>
      </c>
      <c r="C629" s="16">
        <v>17.0</v>
      </c>
      <c r="D629" s="16">
        <v>6.91</v>
      </c>
      <c r="E629" s="16">
        <v>1.576</v>
      </c>
      <c r="F629" s="16">
        <v>1.52</v>
      </c>
      <c r="G629" s="16">
        <v>0.896</v>
      </c>
      <c r="H629" s="16">
        <v>0.632</v>
      </c>
      <c r="I629" s="16">
        <v>0.196</v>
      </c>
      <c r="J629" s="16">
        <v>0.321</v>
      </c>
      <c r="K629" s="16">
        <v>3.17871284484863</v>
      </c>
      <c r="L629" s="16">
        <v>2.21126008033752</v>
      </c>
      <c r="M629" s="16">
        <v>2.51207897088035</v>
      </c>
      <c r="N629" s="16">
        <v>1.53</v>
      </c>
      <c r="O629" s="16">
        <v>0.8827434</v>
      </c>
      <c r="P629" s="16">
        <v>4.55900526046752</v>
      </c>
      <c r="Q629" s="17" t="s">
        <v>26</v>
      </c>
      <c r="S629" s="14">
        <v>0.943</v>
      </c>
      <c r="T629" s="14">
        <v>0.556</v>
      </c>
      <c r="U629" s="14">
        <v>0.17554</v>
      </c>
    </row>
    <row r="630">
      <c r="A630" s="10" t="s">
        <v>105</v>
      </c>
      <c r="B630" s="11">
        <v>2019.0</v>
      </c>
      <c r="C630" s="11">
        <v>14.0</v>
      </c>
      <c r="D630" s="11">
        <v>7.09</v>
      </c>
      <c r="E630" s="11">
        <v>1.609</v>
      </c>
      <c r="F630" s="11">
        <v>1.479</v>
      </c>
      <c r="G630" s="11">
        <v>1.012</v>
      </c>
      <c r="H630" s="11">
        <v>0.526</v>
      </c>
      <c r="I630" s="11">
        <v>0.194</v>
      </c>
      <c r="J630" s="11">
        <v>0.316</v>
      </c>
      <c r="K630" s="11">
        <v>1.61465799808502</v>
      </c>
      <c r="L630" s="11">
        <v>1.40192794799804</v>
      </c>
      <c r="M630" s="11">
        <v>3.39146548879242</v>
      </c>
      <c r="N630" s="11">
        <v>1.65400004386901</v>
      </c>
      <c r="O630" s="11">
        <v>1.798471</v>
      </c>
      <c r="P630" s="11">
        <v>-1.86974132061004</v>
      </c>
      <c r="Q630" s="13" t="s">
        <v>26</v>
      </c>
      <c r="S630" s="14">
        <v>0.943</v>
      </c>
      <c r="T630" s="14">
        <v>0.55664</v>
      </c>
      <c r="U630" s="14">
        <v>0.176</v>
      </c>
    </row>
    <row r="631">
      <c r="A631" s="15" t="s">
        <v>105</v>
      </c>
      <c r="B631" s="16">
        <v>2020.0</v>
      </c>
      <c r="C631" s="16">
        <v>10.0</v>
      </c>
      <c r="D631" s="16">
        <v>7.237500191</v>
      </c>
      <c r="E631" s="16">
        <v>1.536676049</v>
      </c>
      <c r="F631" s="16">
        <v>0.906912208</v>
      </c>
      <c r="G631" s="16">
        <v>72.59999847</v>
      </c>
      <c r="H631" s="16">
        <v>0.90563643</v>
      </c>
      <c r="I631" s="16">
        <v>-0.004620588</v>
      </c>
      <c r="J631" s="16">
        <v>0.367084295</v>
      </c>
      <c r="K631" s="16">
        <v>-0.766775187535142</v>
      </c>
      <c r="L631" s="16">
        <v>2.72657895088195</v>
      </c>
      <c r="M631" s="16">
        <v>2.33085352778937</v>
      </c>
      <c r="N631" s="16">
        <v>0.819957302127031</v>
      </c>
      <c r="O631" s="16">
        <v>1.290133</v>
      </c>
      <c r="P631" s="16">
        <v>-1.9492290124492</v>
      </c>
      <c r="Q631" s="17" t="s">
        <v>26</v>
      </c>
      <c r="S631" s="14">
        <v>0.943</v>
      </c>
      <c r="T631" s="14">
        <v>0.557</v>
      </c>
      <c r="U631" s="14">
        <v>0.176</v>
      </c>
    </row>
    <row r="632">
      <c r="A632" s="10" t="s">
        <v>105</v>
      </c>
      <c r="B632" s="11">
        <v>2021.0</v>
      </c>
      <c r="C632" s="11">
        <v>8.0</v>
      </c>
      <c r="D632" s="11">
        <v>7.324</v>
      </c>
      <c r="E632" s="11">
        <v>11.647</v>
      </c>
      <c r="F632" s="11">
        <v>0.908</v>
      </c>
      <c r="G632" s="11">
        <v>72.6</v>
      </c>
      <c r="H632" s="11">
        <v>0.907</v>
      </c>
      <c r="I632" s="11">
        <v>-0.034</v>
      </c>
      <c r="J632" s="11">
        <v>0.386</v>
      </c>
      <c r="K632" s="11">
        <v>18.82429</v>
      </c>
      <c r="L632" s="11">
        <v>0.896</v>
      </c>
      <c r="M632" s="11">
        <v>6.18129245488691</v>
      </c>
      <c r="N632" s="11">
        <v>2.52692</v>
      </c>
      <c r="O632" s="11">
        <v>1.567271</v>
      </c>
      <c r="P632" s="11">
        <v>11.3243594984863</v>
      </c>
      <c r="Q632" s="13" t="s">
        <v>26</v>
      </c>
      <c r="S632" s="14">
        <v>0.94367</v>
      </c>
      <c r="T632" s="14">
        <v>0.557</v>
      </c>
      <c r="U632" s="14">
        <v>0.177</v>
      </c>
    </row>
    <row r="633">
      <c r="A633" s="15" t="s">
        <v>105</v>
      </c>
      <c r="B633" s="16">
        <v>2023.0</v>
      </c>
      <c r="C633" s="16">
        <v>9.0</v>
      </c>
      <c r="D633" s="16">
        <v>7.228</v>
      </c>
      <c r="E633" s="16">
        <v>11.66</v>
      </c>
      <c r="F633" s="16">
        <v>0.879</v>
      </c>
      <c r="G633" s="16">
        <v>71.675</v>
      </c>
      <c r="H633" s="16">
        <v>0.915</v>
      </c>
      <c r="I633" s="16">
        <v>0.024</v>
      </c>
      <c r="J633" s="16">
        <v>0.345</v>
      </c>
      <c r="K633" s="16">
        <v>-5.54261492177259</v>
      </c>
      <c r="L633" s="16">
        <v>10.4528466970814</v>
      </c>
      <c r="M633" s="16">
        <v>3.55052021574275</v>
      </c>
      <c r="N633" s="16">
        <v>3.74140361983136</v>
      </c>
      <c r="O633" s="16">
        <v>3.702222</v>
      </c>
      <c r="P633" s="16">
        <v>2.79977288047892</v>
      </c>
      <c r="Q633" s="17" t="s">
        <v>26</v>
      </c>
      <c r="S633" s="14">
        <v>0.94397</v>
      </c>
      <c r="T633" s="14">
        <v>0.557</v>
      </c>
      <c r="U633" s="14">
        <v>0.178</v>
      </c>
    </row>
    <row r="634">
      <c r="A634" s="10" t="s">
        <v>106</v>
      </c>
      <c r="B634" s="11">
        <v>2015.0</v>
      </c>
      <c r="C634" s="11">
        <v>147.0</v>
      </c>
      <c r="D634" s="11">
        <v>3.681</v>
      </c>
      <c r="E634" s="11">
        <v>0.20824</v>
      </c>
      <c r="F634" s="11">
        <v>0.66801</v>
      </c>
      <c r="G634" s="11">
        <v>0.46721</v>
      </c>
      <c r="H634" s="11">
        <v>0.19184</v>
      </c>
      <c r="I634" s="11">
        <v>0.21333</v>
      </c>
      <c r="J634" s="11">
        <v>0.08124</v>
      </c>
      <c r="K634" s="11">
        <v>12.020357131958</v>
      </c>
      <c r="L634" s="11">
        <v>6.52032995223999</v>
      </c>
      <c r="M634" s="11">
        <v>6.50340381950719</v>
      </c>
      <c r="N634" s="11">
        <v>7.40399980545043</v>
      </c>
      <c r="O634" s="12"/>
      <c r="P634" s="12"/>
      <c r="Q634" s="13" t="s">
        <v>28</v>
      </c>
      <c r="S634" s="14">
        <v>0.944854617</v>
      </c>
      <c r="T634" s="14">
        <v>0.557</v>
      </c>
      <c r="U634" s="14">
        <v>0.178061873</v>
      </c>
    </row>
    <row r="635">
      <c r="A635" s="15" t="s">
        <v>106</v>
      </c>
      <c r="B635" s="16">
        <v>2016.0</v>
      </c>
      <c r="C635" s="16">
        <v>148.0</v>
      </c>
      <c r="D635" s="16">
        <v>3.695</v>
      </c>
      <c r="E635" s="16">
        <v>0.27954</v>
      </c>
      <c r="F635" s="16">
        <v>0.46115</v>
      </c>
      <c r="G635" s="16">
        <v>0.37109</v>
      </c>
      <c r="H635" s="16">
        <v>0.13684</v>
      </c>
      <c r="I635" s="16">
        <v>0.2204</v>
      </c>
      <c r="J635" s="16">
        <v>0.07506</v>
      </c>
      <c r="K635" s="16">
        <v>10.0900001525878</v>
      </c>
      <c r="L635" s="16">
        <v>6.38999986648559</v>
      </c>
      <c r="M635" s="16">
        <v>8.96060186101762</v>
      </c>
      <c r="N635" s="16">
        <v>6.6599998474121</v>
      </c>
      <c r="O635" s="12"/>
      <c r="P635" s="12"/>
      <c r="Q635" s="17" t="s">
        <v>28</v>
      </c>
      <c r="S635" s="14">
        <v>0.945707023</v>
      </c>
      <c r="T635" s="14">
        <v>0.557574093</v>
      </c>
      <c r="U635" s="14">
        <v>0.17808</v>
      </c>
    </row>
    <row r="636">
      <c r="A636" s="10" t="s">
        <v>106</v>
      </c>
      <c r="B636" s="11">
        <v>2017.0</v>
      </c>
      <c r="C636" s="11">
        <v>144.0</v>
      </c>
      <c r="D636" s="11">
        <v>3.644000053</v>
      </c>
      <c r="E636" s="11">
        <v>0.305808693</v>
      </c>
      <c r="F636" s="11">
        <v>0.913020372</v>
      </c>
      <c r="G636" s="11">
        <v>0.375223309</v>
      </c>
      <c r="H636" s="11">
        <v>0.189196765</v>
      </c>
      <c r="I636" s="11">
        <v>0.20873253</v>
      </c>
      <c r="J636" s="11">
        <v>0.067231975</v>
      </c>
      <c r="K636" s="11">
        <v>9.88498083013835</v>
      </c>
      <c r="L636" s="11">
        <v>9.30073172465566</v>
      </c>
      <c r="M636" s="11">
        <v>4.96142784463155</v>
      </c>
      <c r="N636" s="11">
        <v>8.281</v>
      </c>
      <c r="O636" s="12"/>
      <c r="P636" s="12"/>
      <c r="Q636" s="13" t="s">
        <v>28</v>
      </c>
      <c r="S636" s="14">
        <v>0.946</v>
      </c>
      <c r="T636" s="14">
        <v>0.558</v>
      </c>
      <c r="U636" s="14">
        <v>0.179</v>
      </c>
    </row>
    <row r="637">
      <c r="A637" s="15" t="s">
        <v>106</v>
      </c>
      <c r="B637" s="16">
        <v>2018.0</v>
      </c>
      <c r="C637" s="16">
        <v>143.0</v>
      </c>
      <c r="D637" s="16">
        <v>3.774</v>
      </c>
      <c r="E637" s="16">
        <v>0.262</v>
      </c>
      <c r="F637" s="16">
        <v>0.908</v>
      </c>
      <c r="G637" s="16">
        <v>0.402</v>
      </c>
      <c r="H637" s="16">
        <v>0.221</v>
      </c>
      <c r="I637" s="16">
        <v>0.155</v>
      </c>
      <c r="J637" s="16">
        <v>0.049</v>
      </c>
      <c r="K637" s="16">
        <v>6.91747572815535</v>
      </c>
      <c r="L637" s="16">
        <v>10.8621516469872</v>
      </c>
      <c r="M637" s="16">
        <v>9.98402437395825</v>
      </c>
      <c r="N637" s="16">
        <v>7.29</v>
      </c>
      <c r="O637" s="12"/>
      <c r="P637" s="12"/>
      <c r="Q637" s="17" t="s">
        <v>28</v>
      </c>
      <c r="S637" s="14">
        <v>0.946018219</v>
      </c>
      <c r="T637" s="14">
        <v>0.558</v>
      </c>
      <c r="U637" s="14">
        <v>0.179</v>
      </c>
    </row>
    <row r="638">
      <c r="A638" s="10" t="s">
        <v>106</v>
      </c>
      <c r="B638" s="11">
        <v>2019.0</v>
      </c>
      <c r="C638" s="11">
        <v>143.0</v>
      </c>
      <c r="D638" s="11">
        <v>3.933</v>
      </c>
      <c r="E638" s="11">
        <v>0.274</v>
      </c>
      <c r="F638" s="11">
        <v>0.916</v>
      </c>
      <c r="G638" s="11">
        <v>0.555</v>
      </c>
      <c r="H638" s="11">
        <v>0.148</v>
      </c>
      <c r="I638" s="11">
        <v>0.169</v>
      </c>
      <c r="J638" s="11">
        <v>0.041</v>
      </c>
      <c r="K638" s="11">
        <v>9.35017026106696</v>
      </c>
      <c r="L638" s="11">
        <v>4.82078240235182</v>
      </c>
      <c r="M638" s="11">
        <v>7.96693783755829</v>
      </c>
      <c r="N638" s="11">
        <v>5.62300014495849</v>
      </c>
      <c r="O638" s="12"/>
      <c r="P638" s="12"/>
      <c r="Q638" s="13" t="s">
        <v>28</v>
      </c>
      <c r="S638" s="14">
        <v>0.94632</v>
      </c>
      <c r="T638" s="14">
        <v>0.558</v>
      </c>
      <c r="U638" s="14">
        <v>0.17914</v>
      </c>
    </row>
    <row r="639">
      <c r="A639" s="15" t="s">
        <v>106</v>
      </c>
      <c r="B639" s="16">
        <v>2020.0</v>
      </c>
      <c r="C639" s="16">
        <v>137.0</v>
      </c>
      <c r="D639" s="16">
        <v>4.165599823</v>
      </c>
      <c r="E639" s="16">
        <v>0.244553208</v>
      </c>
      <c r="F639" s="16">
        <v>0.668195903</v>
      </c>
      <c r="G639" s="16">
        <v>59.10542679</v>
      </c>
      <c r="H639" s="16">
        <v>0.557574093</v>
      </c>
      <c r="I639" s="16">
        <v>-0.011823639</v>
      </c>
      <c r="J639" s="16">
        <v>0.817485631</v>
      </c>
      <c r="K639" s="16">
        <v>4.61268976255353</v>
      </c>
      <c r="L639" s="16">
        <v>3.80975202608143</v>
      </c>
      <c r="M639" s="16">
        <v>4.18810004789969</v>
      </c>
      <c r="N639" s="16">
        <v>4.20179312190524</v>
      </c>
      <c r="O639" s="12"/>
      <c r="P639" s="12"/>
      <c r="Q639" s="17" t="s">
        <v>28</v>
      </c>
      <c r="S639" s="14">
        <v>0.94675</v>
      </c>
      <c r="T639" s="14">
        <v>0.558732927</v>
      </c>
      <c r="U639" s="14">
        <v>0.179436386</v>
      </c>
    </row>
    <row r="640">
      <c r="A640" s="10" t="s">
        <v>106</v>
      </c>
      <c r="B640" s="11">
        <v>2021.0</v>
      </c>
      <c r="C640" s="11">
        <v>135.0</v>
      </c>
      <c r="D640" s="11">
        <v>4.208</v>
      </c>
      <c r="E640" s="11">
        <v>7.396</v>
      </c>
      <c r="F640" s="11">
        <v>0.686</v>
      </c>
      <c r="G640" s="11">
        <v>59.305</v>
      </c>
      <c r="H640" s="11">
        <v>0.552</v>
      </c>
      <c r="I640" s="11">
        <v>-0.005</v>
      </c>
      <c r="J640" s="11">
        <v>0.803</v>
      </c>
      <c r="K640" s="11">
        <v>2.49</v>
      </c>
      <c r="L640" s="11">
        <v>7.44</v>
      </c>
      <c r="M640" s="11">
        <v>7.39707151596637</v>
      </c>
      <c r="N640" s="11">
        <v>5.819</v>
      </c>
      <c r="O640" s="12"/>
      <c r="P640" s="12"/>
      <c r="Q640" s="13" t="s">
        <v>28</v>
      </c>
      <c r="S640" s="14">
        <v>0.947</v>
      </c>
      <c r="T640" s="14">
        <v>0.55884</v>
      </c>
      <c r="U640" s="14">
        <v>0.17955</v>
      </c>
    </row>
    <row r="641">
      <c r="A641" s="15" t="s">
        <v>106</v>
      </c>
      <c r="B641" s="16">
        <v>2023.0</v>
      </c>
      <c r="C641" s="16">
        <v>127.0</v>
      </c>
      <c r="D641" s="16">
        <v>4.019</v>
      </c>
      <c r="E641" s="16">
        <v>7.29</v>
      </c>
      <c r="F641" s="16">
        <v>0.65</v>
      </c>
      <c r="G641" s="16">
        <v>58.05</v>
      </c>
      <c r="H641" s="16">
        <v>0.522</v>
      </c>
      <c r="I641" s="16">
        <v>0.075</v>
      </c>
      <c r="J641" s="16">
        <v>0.742</v>
      </c>
      <c r="K641" s="16">
        <v>3.81077479349207</v>
      </c>
      <c r="L641" s="16">
        <v>12.0238542953849</v>
      </c>
      <c r="M641" s="16">
        <v>7.38221259373203</v>
      </c>
      <c r="N641" s="16">
        <v>9.861</v>
      </c>
      <c r="O641" s="12"/>
      <c r="P641" s="12"/>
      <c r="Q641" s="17" t="s">
        <v>28</v>
      </c>
      <c r="S641" s="14">
        <v>0.947</v>
      </c>
      <c r="T641" s="14">
        <v>0.559</v>
      </c>
      <c r="U641" s="14">
        <v>0.18</v>
      </c>
    </row>
    <row r="642">
      <c r="A642" s="10" t="s">
        <v>107</v>
      </c>
      <c r="B642" s="11">
        <v>2015.0</v>
      </c>
      <c r="C642" s="11">
        <v>131.0</v>
      </c>
      <c r="D642" s="11">
        <v>4.292</v>
      </c>
      <c r="E642" s="11">
        <v>0.01604</v>
      </c>
      <c r="F642" s="11">
        <v>0.41134</v>
      </c>
      <c r="G642" s="11">
        <v>0.22562</v>
      </c>
      <c r="H642" s="11">
        <v>0.43054</v>
      </c>
      <c r="I642" s="11">
        <v>0.33128</v>
      </c>
      <c r="J642" s="11">
        <v>0.06977</v>
      </c>
      <c r="K642" s="11">
        <v>29.3500003814697</v>
      </c>
      <c r="L642" s="11">
        <v>23.8600006103515</v>
      </c>
      <c r="M642" s="11">
        <v>20.9057765770476</v>
      </c>
      <c r="N642" s="11">
        <v>21.8579998016357</v>
      </c>
      <c r="O642" s="12"/>
      <c r="P642" s="12"/>
      <c r="Q642" s="13" t="s">
        <v>28</v>
      </c>
      <c r="S642" s="14">
        <v>0.948</v>
      </c>
      <c r="T642" s="14">
        <v>0.55954</v>
      </c>
      <c r="U642" s="14">
        <v>0.18</v>
      </c>
    </row>
    <row r="643">
      <c r="A643" s="15" t="s">
        <v>107</v>
      </c>
      <c r="B643" s="16">
        <v>2016.0</v>
      </c>
      <c r="C643" s="16">
        <v>132.0</v>
      </c>
      <c r="D643" s="16">
        <v>4.156</v>
      </c>
      <c r="E643" s="16">
        <v>0.08709</v>
      </c>
      <c r="F643" s="16">
        <v>0.147</v>
      </c>
      <c r="G643" s="16">
        <v>0.29364</v>
      </c>
      <c r="H643" s="16">
        <v>0.4143</v>
      </c>
      <c r="I643" s="16">
        <v>0.30968</v>
      </c>
      <c r="J643" s="16">
        <v>0.07564</v>
      </c>
      <c r="K643" s="16">
        <v>19.329999923706</v>
      </c>
      <c r="L643" s="16">
        <v>24.7700004577636</v>
      </c>
      <c r="M643" s="16">
        <v>20.545010411661</v>
      </c>
      <c r="N643" s="16">
        <v>21.7269992828369</v>
      </c>
      <c r="O643" s="12"/>
      <c r="P643" s="12"/>
      <c r="Q643" s="17" t="s">
        <v>28</v>
      </c>
      <c r="S643" s="14">
        <v>0.948</v>
      </c>
      <c r="T643" s="14">
        <v>0.56066</v>
      </c>
      <c r="U643" s="14">
        <v>0.18037</v>
      </c>
    </row>
    <row r="644">
      <c r="A644" s="10" t="s">
        <v>107</v>
      </c>
      <c r="B644" s="11">
        <v>2017.0</v>
      </c>
      <c r="C644" s="11">
        <v>136.0</v>
      </c>
      <c r="D644" s="11">
        <v>3.970000029</v>
      </c>
      <c r="E644" s="11">
        <v>0.233442038</v>
      </c>
      <c r="F644" s="11">
        <v>0.512568831</v>
      </c>
      <c r="G644" s="11">
        <v>0.315089583</v>
      </c>
      <c r="H644" s="11">
        <v>0.466914654</v>
      </c>
      <c r="I644" s="11">
        <v>0.28717047</v>
      </c>
      <c r="J644" s="11">
        <v>0.072711654</v>
      </c>
      <c r="K644" s="11">
        <v>19.3400001525878</v>
      </c>
      <c r="L644" s="11">
        <v>13.6400003433227</v>
      </c>
      <c r="M644" s="11">
        <v>10.9426127398056</v>
      </c>
      <c r="N644" s="11">
        <v>11.541</v>
      </c>
      <c r="O644" s="12"/>
      <c r="P644" s="12"/>
      <c r="Q644" s="13" t="s">
        <v>28</v>
      </c>
      <c r="S644" s="14">
        <v>0.949</v>
      </c>
      <c r="T644" s="14">
        <v>0.561</v>
      </c>
      <c r="U644" s="14">
        <v>0.1806</v>
      </c>
    </row>
    <row r="645">
      <c r="A645" s="15" t="s">
        <v>107</v>
      </c>
      <c r="B645" s="16">
        <v>2018.0</v>
      </c>
      <c r="C645" s="16">
        <v>147.0</v>
      </c>
      <c r="D645" s="16">
        <v>3.587</v>
      </c>
      <c r="E645" s="16">
        <v>0.186</v>
      </c>
      <c r="F645" s="16">
        <v>0.541</v>
      </c>
      <c r="G645" s="16">
        <v>0.306</v>
      </c>
      <c r="H645" s="16">
        <v>0.531</v>
      </c>
      <c r="I645" s="16">
        <v>0.21</v>
      </c>
      <c r="J645" s="16">
        <v>0.08</v>
      </c>
      <c r="K645" s="16">
        <v>14.633563093389</v>
      </c>
      <c r="L645" s="16">
        <v>12.7453171584718</v>
      </c>
      <c r="M645" s="16">
        <v>7.80441064183373</v>
      </c>
      <c r="N645" s="16">
        <v>9.22</v>
      </c>
      <c r="O645" s="12"/>
      <c r="P645" s="12"/>
      <c r="Q645" s="17" t="s">
        <v>28</v>
      </c>
      <c r="S645" s="14">
        <v>0.949118972</v>
      </c>
      <c r="T645" s="14">
        <v>0.561</v>
      </c>
      <c r="U645" s="14">
        <v>0.1809</v>
      </c>
    </row>
    <row r="646">
      <c r="A646" s="10" t="s">
        <v>107</v>
      </c>
      <c r="B646" s="11">
        <v>2019.0</v>
      </c>
      <c r="C646" s="11">
        <v>150.0</v>
      </c>
      <c r="D646" s="11">
        <v>3.41</v>
      </c>
      <c r="E646" s="11">
        <v>0.191</v>
      </c>
      <c r="F646" s="11">
        <v>0.56</v>
      </c>
      <c r="G646" s="11">
        <v>0.495</v>
      </c>
      <c r="H646" s="11">
        <v>0.443</v>
      </c>
      <c r="I646" s="11">
        <v>0.218</v>
      </c>
      <c r="J646" s="11">
        <v>0.089</v>
      </c>
      <c r="K646" s="11">
        <v>3.7121350342871</v>
      </c>
      <c r="L646" s="11">
        <v>15.2722050662433</v>
      </c>
      <c r="M646" s="11">
        <v>7.99352274400117</v>
      </c>
      <c r="N646" s="11">
        <v>9.37800025939941</v>
      </c>
      <c r="O646" s="12"/>
      <c r="P646" s="12"/>
      <c r="Q646" s="13" t="s">
        <v>28</v>
      </c>
      <c r="S646" s="14">
        <v>0.95</v>
      </c>
      <c r="T646" s="14">
        <v>0.561213255</v>
      </c>
      <c r="U646" s="14">
        <v>0.180987507</v>
      </c>
    </row>
    <row r="647">
      <c r="A647" s="15" t="s">
        <v>107</v>
      </c>
      <c r="B647" s="16">
        <v>2020.0</v>
      </c>
      <c r="C647" s="16">
        <v>145.0</v>
      </c>
      <c r="D647" s="16">
        <v>3.538000107</v>
      </c>
      <c r="E647" s="16">
        <v>0.176534727</v>
      </c>
      <c r="F647" s="16">
        <v>0.544007301</v>
      </c>
      <c r="G647" s="16">
        <v>57.59288788</v>
      </c>
      <c r="H647" s="16">
        <v>0.803223193</v>
      </c>
      <c r="I647" s="16">
        <v>0.021433279</v>
      </c>
      <c r="J647" s="16">
        <v>0.731700778</v>
      </c>
      <c r="K647" s="16">
        <v>2.41282756831785</v>
      </c>
      <c r="L647" s="16">
        <v>17.3435484275952</v>
      </c>
      <c r="M647" s="16">
        <v>8.51165613876257</v>
      </c>
      <c r="N647" s="16">
        <v>8.62551469650547</v>
      </c>
      <c r="O647" s="12"/>
      <c r="P647" s="12"/>
      <c r="Q647" s="17" t="s">
        <v>28</v>
      </c>
      <c r="S647" s="14">
        <v>0.95025</v>
      </c>
      <c r="T647" s="14">
        <v>0.562</v>
      </c>
      <c r="U647" s="14">
        <v>0.182</v>
      </c>
    </row>
    <row r="648">
      <c r="A648" s="10" t="s">
        <v>107</v>
      </c>
      <c r="B648" s="11">
        <v>2021.0</v>
      </c>
      <c r="C648" s="11">
        <v>144.0</v>
      </c>
      <c r="D648" s="11">
        <v>3.6</v>
      </c>
      <c r="E648" s="11">
        <v>6.958</v>
      </c>
      <c r="F648" s="11">
        <v>0.537</v>
      </c>
      <c r="G648" s="11">
        <v>57.948</v>
      </c>
      <c r="H648" s="11">
        <v>0.78</v>
      </c>
      <c r="I648" s="11">
        <v>0.038</v>
      </c>
      <c r="J648" s="11">
        <v>0.729</v>
      </c>
      <c r="K648" s="12"/>
      <c r="L648" s="12"/>
      <c r="M648" s="11">
        <v>8.45877196245605</v>
      </c>
      <c r="N648" s="11">
        <v>9.343</v>
      </c>
      <c r="O648" s="12"/>
      <c r="P648" s="12"/>
      <c r="Q648" s="13" t="s">
        <v>28</v>
      </c>
      <c r="S648" s="14">
        <v>0.95076</v>
      </c>
      <c r="T648" s="14">
        <v>0.56215</v>
      </c>
      <c r="U648" s="14">
        <v>0.182</v>
      </c>
    </row>
    <row r="649">
      <c r="A649" s="15" t="s">
        <v>107</v>
      </c>
      <c r="B649" s="16">
        <v>2022.0</v>
      </c>
      <c r="C649" s="16">
        <v>138.0</v>
      </c>
      <c r="D649" s="16">
        <v>3.75</v>
      </c>
      <c r="E649" s="16">
        <v>0.648</v>
      </c>
      <c r="F649" s="16">
        <v>0.279</v>
      </c>
      <c r="G649" s="16">
        <v>0.388</v>
      </c>
      <c r="H649" s="16">
        <v>0.477</v>
      </c>
      <c r="I649" s="16">
        <v>0.14</v>
      </c>
      <c r="J649" s="16">
        <v>0.157</v>
      </c>
      <c r="K649" s="16">
        <v>18.3262172355973</v>
      </c>
      <c r="L649" s="16">
        <v>22.8387117695235</v>
      </c>
      <c r="M649" s="16">
        <v>8.11900744825316</v>
      </c>
      <c r="N649" s="16">
        <v>20.9539697299689</v>
      </c>
      <c r="O649" s="12"/>
      <c r="P649" s="12"/>
      <c r="Q649" s="17" t="s">
        <v>28</v>
      </c>
      <c r="S649" s="14">
        <v>0.951</v>
      </c>
      <c r="T649" s="14">
        <v>0.562511384</v>
      </c>
      <c r="U649" s="14">
        <v>0.182</v>
      </c>
    </row>
    <row r="650">
      <c r="A650" s="10" t="s">
        <v>107</v>
      </c>
      <c r="B650" s="11">
        <v>2023.0</v>
      </c>
      <c r="C650" s="11">
        <v>131.0</v>
      </c>
      <c r="D650" s="11">
        <v>3.495</v>
      </c>
      <c r="E650" s="11">
        <v>7.302</v>
      </c>
      <c r="F650" s="11">
        <v>0.531</v>
      </c>
      <c r="G650" s="11">
        <v>58.475</v>
      </c>
      <c r="H650" s="11">
        <v>0.75</v>
      </c>
      <c r="I650" s="11">
        <v>0.005</v>
      </c>
      <c r="J650" s="11">
        <v>0.749</v>
      </c>
      <c r="K650" s="11">
        <v>20.4656067530439</v>
      </c>
      <c r="L650" s="11">
        <v>37.1194950738529</v>
      </c>
      <c r="M650" s="11">
        <v>28.6238865424914</v>
      </c>
      <c r="N650" s="11">
        <v>28.7897428247298</v>
      </c>
      <c r="O650" s="12"/>
      <c r="P650" s="12"/>
      <c r="Q650" s="13" t="s">
        <v>28</v>
      </c>
      <c r="S650" s="14">
        <v>0.952</v>
      </c>
      <c r="T650" s="14">
        <v>0.563</v>
      </c>
      <c r="U650" s="14">
        <v>0.183</v>
      </c>
    </row>
    <row r="651">
      <c r="A651" s="15" t="s">
        <v>108</v>
      </c>
      <c r="B651" s="16">
        <v>2015.0</v>
      </c>
      <c r="C651" s="16">
        <v>61.0</v>
      </c>
      <c r="D651" s="16">
        <v>5.77</v>
      </c>
      <c r="E651" s="16">
        <v>1.12486</v>
      </c>
      <c r="F651" s="16">
        <v>1.07023</v>
      </c>
      <c r="G651" s="16">
        <v>0.72394</v>
      </c>
      <c r="H651" s="16">
        <v>0.53024</v>
      </c>
      <c r="I651" s="16">
        <v>0.33075</v>
      </c>
      <c r="J651" s="16">
        <v>0.10501</v>
      </c>
      <c r="K651" s="16">
        <v>2.45097804069519</v>
      </c>
      <c r="L651" s="16">
        <v>3.63214802742004</v>
      </c>
      <c r="M651" s="16">
        <v>-0.119856172592893</v>
      </c>
      <c r="N651" s="16">
        <v>2.10439395904541</v>
      </c>
      <c r="O651" s="16">
        <v>3.34786677360534</v>
      </c>
      <c r="P651" s="16">
        <v>-7.45493221282959</v>
      </c>
      <c r="Q651" s="17" t="s">
        <v>24</v>
      </c>
      <c r="S651" s="14">
        <v>0.952</v>
      </c>
      <c r="T651" s="14">
        <v>0.564</v>
      </c>
      <c r="U651" s="14">
        <v>0.183248922</v>
      </c>
    </row>
    <row r="652">
      <c r="A652" s="10" t="s">
        <v>108</v>
      </c>
      <c r="B652" s="11">
        <v>2016.0</v>
      </c>
      <c r="C652" s="11">
        <v>47.0</v>
      </c>
      <c r="D652" s="11">
        <v>6.005</v>
      </c>
      <c r="E652" s="11">
        <v>1.25142</v>
      </c>
      <c r="F652" s="11">
        <v>0.88025</v>
      </c>
      <c r="G652" s="11">
        <v>0.62366</v>
      </c>
      <c r="H652" s="11">
        <v>0.39031</v>
      </c>
      <c r="I652" s="11">
        <v>0.41474</v>
      </c>
      <c r="J652" s="11">
        <v>0.09081</v>
      </c>
      <c r="K652" s="11">
        <v>2.43720149993896</v>
      </c>
      <c r="L652" s="11">
        <v>3.78412652015686</v>
      </c>
      <c r="M652" s="11">
        <v>1.658</v>
      </c>
      <c r="N652" s="11">
        <v>2.07579278945922</v>
      </c>
      <c r="O652" s="11">
        <v>2.72713565826416</v>
      </c>
      <c r="P652" s="11">
        <v>-1.05176317691802</v>
      </c>
      <c r="Q652" s="13" t="s">
        <v>24</v>
      </c>
      <c r="S652" s="14">
        <v>0.952486575</v>
      </c>
      <c r="T652" s="14">
        <v>0.564</v>
      </c>
      <c r="U652" s="14">
        <v>0.183541179</v>
      </c>
    </row>
    <row r="653">
      <c r="A653" s="15" t="s">
        <v>108</v>
      </c>
      <c r="B653" s="16">
        <v>2017.0</v>
      </c>
      <c r="C653" s="16">
        <v>42.0</v>
      </c>
      <c r="D653" s="16">
        <v>6.084000111</v>
      </c>
      <c r="E653" s="16">
        <v>1.29121542</v>
      </c>
      <c r="F653" s="16">
        <v>1.284646034</v>
      </c>
      <c r="G653" s="16">
        <v>0.618784428</v>
      </c>
      <c r="H653" s="16">
        <v>0.402264982</v>
      </c>
      <c r="I653" s="16">
        <v>0.41660893</v>
      </c>
      <c r="J653" s="16">
        <v>0.065600708</v>
      </c>
      <c r="K653" s="16">
        <v>2.20405411720275</v>
      </c>
      <c r="L653" s="16">
        <v>3.97578454017639</v>
      </c>
      <c r="M653" s="16">
        <v>3.77933856656632</v>
      </c>
      <c r="N653" s="16">
        <v>3.799</v>
      </c>
      <c r="O653" s="16">
        <v>1.78938102722167</v>
      </c>
      <c r="P653" s="16">
        <v>6.69081735610961</v>
      </c>
      <c r="Q653" s="17" t="s">
        <v>24</v>
      </c>
      <c r="S653" s="14">
        <v>0.953</v>
      </c>
      <c r="T653" s="14">
        <v>0.565</v>
      </c>
      <c r="U653" s="14">
        <v>0.18355</v>
      </c>
    </row>
    <row r="654">
      <c r="A654" s="10" t="s">
        <v>108</v>
      </c>
      <c r="B654" s="11">
        <v>2018.0</v>
      </c>
      <c r="C654" s="11">
        <v>35.0</v>
      </c>
      <c r="D654" s="11">
        <v>6.322</v>
      </c>
      <c r="E654" s="11">
        <v>1.161</v>
      </c>
      <c r="F654" s="11">
        <v>1.258</v>
      </c>
      <c r="G654" s="11">
        <v>0.669</v>
      </c>
      <c r="H654" s="11">
        <v>0.356</v>
      </c>
      <c r="I654" s="11">
        <v>0.311</v>
      </c>
      <c r="J654" s="11">
        <v>0.059</v>
      </c>
      <c r="K654" s="11">
        <v>1.99229192733764</v>
      </c>
      <c r="L654" s="11">
        <v>1.63042759895324</v>
      </c>
      <c r="M654" s="11">
        <v>0.672985781990515</v>
      </c>
      <c r="N654" s="11">
        <v>0.97</v>
      </c>
      <c r="O654" s="11">
        <v>0.55475503206253</v>
      </c>
      <c r="P654" s="11">
        <v>-1.14302861690521</v>
      </c>
      <c r="Q654" s="13" t="s">
        <v>24</v>
      </c>
      <c r="S654" s="14">
        <v>0.95348</v>
      </c>
      <c r="T654" s="14">
        <v>0.56624</v>
      </c>
      <c r="U654" s="14">
        <v>0.18437</v>
      </c>
    </row>
    <row r="655">
      <c r="A655" s="15" t="s">
        <v>108</v>
      </c>
      <c r="B655" s="16">
        <v>2019.0</v>
      </c>
      <c r="C655" s="16">
        <v>80.0</v>
      </c>
      <c r="D655" s="16">
        <v>5.339</v>
      </c>
      <c r="E655" s="16">
        <v>1.221</v>
      </c>
      <c r="F655" s="16">
        <v>1.171</v>
      </c>
      <c r="G655" s="16">
        <v>0.828</v>
      </c>
      <c r="H655" s="16">
        <v>0.508</v>
      </c>
      <c r="I655" s="16">
        <v>0.26</v>
      </c>
      <c r="J655" s="16">
        <v>0.024</v>
      </c>
      <c r="K655" s="16">
        <v>1.86935520172119</v>
      </c>
      <c r="L655" s="16">
        <v>1.64884138107299</v>
      </c>
      <c r="M655" s="16">
        <v>0.0640241031918012</v>
      </c>
      <c r="N655" s="16">
        <v>0.662999987602233</v>
      </c>
      <c r="O655" s="16">
        <v>1.08905923366546</v>
      </c>
      <c r="P655" s="16">
        <v>-1.35156154632568</v>
      </c>
      <c r="Q655" s="17" t="s">
        <v>24</v>
      </c>
      <c r="S655" s="14">
        <v>0.953855872</v>
      </c>
      <c r="T655" s="14">
        <v>0.56679</v>
      </c>
      <c r="U655" s="14">
        <v>0.18519</v>
      </c>
    </row>
    <row r="656">
      <c r="A656" s="10" t="s">
        <v>108</v>
      </c>
      <c r="B656" s="11">
        <v>2020.0</v>
      </c>
      <c r="C656" s="11">
        <v>82.0</v>
      </c>
      <c r="D656" s="11">
        <v>5.384300232</v>
      </c>
      <c r="E656" s="11">
        <v>1.168421626</v>
      </c>
      <c r="F656" s="11">
        <v>0.816509426</v>
      </c>
      <c r="G656" s="11">
        <v>67.10215759</v>
      </c>
      <c r="H656" s="11">
        <v>0.894626856</v>
      </c>
      <c r="I656" s="11">
        <v>0.114726797</v>
      </c>
      <c r="J656" s="11">
        <v>0.839302301</v>
      </c>
      <c r="K656" s="11">
        <v>-1.73195876288659</v>
      </c>
      <c r="L656" s="11">
        <v>1.27137219905853</v>
      </c>
      <c r="M656" s="11">
        <v>-0.779088804832611</v>
      </c>
      <c r="N656" s="11">
        <v>-1.13870215393032</v>
      </c>
      <c r="O656" s="11">
        <v>0.949748396873474</v>
      </c>
      <c r="P656" s="11">
        <v>-2.66096019744873</v>
      </c>
      <c r="Q656" s="13" t="s">
        <v>24</v>
      </c>
      <c r="S656" s="14">
        <v>0.954</v>
      </c>
      <c r="T656" s="14">
        <v>0.567</v>
      </c>
      <c r="U656" s="14">
        <v>0.186</v>
      </c>
    </row>
    <row r="657">
      <c r="A657" s="15" t="s">
        <v>108</v>
      </c>
      <c r="B657" s="16">
        <v>2021.0</v>
      </c>
      <c r="C657" s="16">
        <v>81.0</v>
      </c>
      <c r="D657" s="16">
        <v>5.384</v>
      </c>
      <c r="E657" s="16">
        <v>10.238</v>
      </c>
      <c r="F657" s="16">
        <v>0.817</v>
      </c>
      <c r="G657" s="16">
        <v>67.102</v>
      </c>
      <c r="H657" s="16">
        <v>0.895</v>
      </c>
      <c r="I657" s="16">
        <v>0.125</v>
      </c>
      <c r="J657" s="16">
        <v>0.839</v>
      </c>
      <c r="K657" s="16">
        <v>1.57</v>
      </c>
      <c r="L657" s="16">
        <v>1.77</v>
      </c>
      <c r="M657" s="16">
        <v>5.71367497631772</v>
      </c>
      <c r="N657" s="16">
        <v>2.47710241465445</v>
      </c>
      <c r="O657" s="16">
        <v>0.442322544407796</v>
      </c>
      <c r="P657" s="16">
        <v>9.46220811976242</v>
      </c>
      <c r="Q657" s="17" t="s">
        <v>24</v>
      </c>
      <c r="S657" s="14">
        <v>0.954</v>
      </c>
      <c r="T657" s="14">
        <v>0.567</v>
      </c>
      <c r="U657" s="14">
        <v>0.18676</v>
      </c>
    </row>
    <row r="658">
      <c r="A658" s="10" t="s">
        <v>108</v>
      </c>
      <c r="B658" s="11">
        <v>2022.0</v>
      </c>
      <c r="C658" s="11">
        <v>70.0</v>
      </c>
      <c r="D658" s="11">
        <v>5.711</v>
      </c>
      <c r="E658" s="11">
        <v>1.689</v>
      </c>
      <c r="F658" s="11">
        <v>0.938</v>
      </c>
      <c r="G658" s="11">
        <v>0.62</v>
      </c>
      <c r="H658" s="11">
        <v>0.654</v>
      </c>
      <c r="I658" s="11">
        <v>0.213</v>
      </c>
      <c r="J658" s="11">
        <v>0.126</v>
      </c>
      <c r="K658" s="11">
        <v>1.82376119219913</v>
      </c>
      <c r="L658" s="11">
        <v>5.35633915844355</v>
      </c>
      <c r="M658" s="11">
        <v>6.52851694810632</v>
      </c>
      <c r="N658" s="11">
        <v>3.37869862549938</v>
      </c>
      <c r="O658" s="11">
        <v>1.71256815322242</v>
      </c>
      <c r="P658" s="11">
        <v>7.74490857737476</v>
      </c>
      <c r="Q658" s="13" t="s">
        <v>24</v>
      </c>
      <c r="S658" s="14">
        <v>0.954</v>
      </c>
      <c r="T658" s="14">
        <v>0.56776619</v>
      </c>
      <c r="U658" s="14">
        <v>0.187</v>
      </c>
    </row>
    <row r="659">
      <c r="A659" s="15" t="s">
        <v>108</v>
      </c>
      <c r="B659" s="16">
        <v>2023.0</v>
      </c>
      <c r="C659" s="16">
        <v>55.0</v>
      </c>
      <c r="D659" s="16">
        <v>6.012</v>
      </c>
      <c r="E659" s="16">
        <v>10.169</v>
      </c>
      <c r="F659" s="16">
        <v>0.799</v>
      </c>
      <c r="G659" s="16">
        <v>65.662</v>
      </c>
      <c r="H659" s="16">
        <v>0.877</v>
      </c>
      <c r="I659" s="16">
        <v>0.16</v>
      </c>
      <c r="J659" s="16">
        <v>0.758</v>
      </c>
      <c r="K659" s="16">
        <v>1.65691705006359</v>
      </c>
      <c r="L659" s="16">
        <v>4.82703137570393</v>
      </c>
      <c r="M659" s="16">
        <v>-2.20984135753821</v>
      </c>
      <c r="N659" s="16">
        <v>2.79564345553798</v>
      </c>
      <c r="O659" s="16">
        <v>1.76620163562642</v>
      </c>
      <c r="P659" s="12"/>
      <c r="Q659" s="17" t="s">
        <v>24</v>
      </c>
      <c r="S659" s="14">
        <v>0.954</v>
      </c>
      <c r="T659" s="14">
        <v>0.56778</v>
      </c>
      <c r="U659" s="14">
        <v>0.188816205</v>
      </c>
    </row>
    <row r="660">
      <c r="A660" s="10" t="s">
        <v>109</v>
      </c>
      <c r="B660" s="11">
        <v>2020.0</v>
      </c>
      <c r="C660" s="11">
        <v>87.0</v>
      </c>
      <c r="D660" s="11">
        <v>5.197599888</v>
      </c>
      <c r="E660" s="11">
        <v>0.937864304</v>
      </c>
      <c r="F660" s="11">
        <v>0.91316092</v>
      </c>
      <c r="G660" s="11">
        <v>70.59999847</v>
      </c>
      <c r="H660" s="11">
        <v>0.853962779</v>
      </c>
      <c r="I660" s="11">
        <v>0.038085498</v>
      </c>
      <c r="J660" s="11">
        <v>0.824211061</v>
      </c>
      <c r="K660" s="11">
        <v>-4.70398139953613</v>
      </c>
      <c r="L660" s="11">
        <v>2.72579956054687</v>
      </c>
      <c r="M660" s="11">
        <v>-1.59413202933984</v>
      </c>
      <c r="N660" s="11">
        <v>-1.36977425569824</v>
      </c>
      <c r="O660" s="12"/>
      <c r="P660" s="12"/>
      <c r="Q660" s="13" t="s">
        <v>24</v>
      </c>
      <c r="S660" s="14">
        <v>0.954329729</v>
      </c>
      <c r="T660" s="14">
        <v>0.568</v>
      </c>
      <c r="U660" s="14">
        <v>0.18985</v>
      </c>
    </row>
    <row r="661">
      <c r="A661" s="15" t="s">
        <v>109</v>
      </c>
      <c r="B661" s="16">
        <v>2021.0</v>
      </c>
      <c r="C661" s="16">
        <v>89.0</v>
      </c>
      <c r="D661" s="16">
        <v>5.198</v>
      </c>
      <c r="E661" s="16">
        <v>9.826</v>
      </c>
      <c r="F661" s="16">
        <v>0.913</v>
      </c>
      <c r="G661" s="16">
        <v>70.6</v>
      </c>
      <c r="H661" s="16">
        <v>0.854</v>
      </c>
      <c r="I661" s="16">
        <v>0.024</v>
      </c>
      <c r="J661" s="16">
        <v>0.825</v>
      </c>
      <c r="K661" s="16">
        <v>1.10837759854581</v>
      </c>
      <c r="L661" s="16">
        <v>1.80273808419382</v>
      </c>
      <c r="M661" s="16">
        <v>1.73864616365217</v>
      </c>
      <c r="N661" s="16">
        <v>0.543149688736981</v>
      </c>
      <c r="O661" s="12"/>
      <c r="P661" s="12"/>
      <c r="Q661" s="17" t="s">
        <v>24</v>
      </c>
      <c r="S661" s="14">
        <v>0.95544</v>
      </c>
      <c r="T661" s="14">
        <v>0.568</v>
      </c>
      <c r="U661" s="14">
        <v>0.19034</v>
      </c>
    </row>
    <row r="662">
      <c r="A662" s="10" t="s">
        <v>110</v>
      </c>
      <c r="B662" s="11">
        <v>2015.0</v>
      </c>
      <c r="C662" s="11">
        <v>138.0</v>
      </c>
      <c r="D662" s="11">
        <v>3.995</v>
      </c>
      <c r="E662" s="11">
        <v>0.26074</v>
      </c>
      <c r="F662" s="11">
        <v>1.03526</v>
      </c>
      <c r="G662" s="11">
        <v>0.20583</v>
      </c>
      <c r="H662" s="11">
        <v>0.38857</v>
      </c>
      <c r="I662" s="11">
        <v>0.18798</v>
      </c>
      <c r="J662" s="11">
        <v>0.12352</v>
      </c>
      <c r="K662" s="11">
        <v>1.64999997615814</v>
      </c>
      <c r="L662" s="11">
        <v>3.04508471488952</v>
      </c>
      <c r="M662" s="11">
        <v>2.88029756404746</v>
      </c>
      <c r="N662" s="11">
        <v>1.44200003147125</v>
      </c>
      <c r="O662" s="12"/>
      <c r="P662" s="12"/>
      <c r="Q662" s="13" t="s">
        <v>28</v>
      </c>
      <c r="S662" s="14">
        <v>0.95571</v>
      </c>
      <c r="T662" s="14">
        <v>0.56837</v>
      </c>
      <c r="U662" s="14">
        <v>0.1909</v>
      </c>
    </row>
    <row r="663">
      <c r="A663" s="15" t="s">
        <v>110</v>
      </c>
      <c r="B663" s="16">
        <v>2016.0</v>
      </c>
      <c r="C663" s="16">
        <v>135.0</v>
      </c>
      <c r="D663" s="16">
        <v>4.073</v>
      </c>
      <c r="E663" s="16">
        <v>0.31292</v>
      </c>
      <c r="F663" s="16">
        <v>0.86333</v>
      </c>
      <c r="G663" s="16">
        <v>0.16347</v>
      </c>
      <c r="H663" s="16">
        <v>0.27544</v>
      </c>
      <c r="I663" s="16">
        <v>0.21064</v>
      </c>
      <c r="J663" s="16">
        <v>0.13647</v>
      </c>
      <c r="K663" s="16">
        <v>1.77999997138977</v>
      </c>
      <c r="L663" s="16">
        <v>-3.2681725025177</v>
      </c>
      <c r="M663" s="16">
        <v>1.35120447121684</v>
      </c>
      <c r="N663" s="16">
        <v>-1.79999995231628</v>
      </c>
      <c r="O663" s="12"/>
      <c r="P663" s="12"/>
      <c r="Q663" s="17" t="s">
        <v>28</v>
      </c>
      <c r="S663" s="14">
        <v>0.955990791</v>
      </c>
      <c r="T663" s="14">
        <v>0.57</v>
      </c>
      <c r="U663" s="14">
        <v>0.191</v>
      </c>
    </row>
    <row r="664">
      <c r="A664" s="10" t="s">
        <v>110</v>
      </c>
      <c r="B664" s="11">
        <v>2017.0</v>
      </c>
      <c r="C664" s="11">
        <v>127.0</v>
      </c>
      <c r="D664" s="11">
        <v>4.190000057</v>
      </c>
      <c r="E664" s="11">
        <v>0.476180494</v>
      </c>
      <c r="F664" s="11">
        <v>1.281473398</v>
      </c>
      <c r="G664" s="11">
        <v>0.169365674</v>
      </c>
      <c r="H664" s="11">
        <v>0.306613743</v>
      </c>
      <c r="I664" s="11">
        <v>0.183354199</v>
      </c>
      <c r="J664" s="11">
        <v>0.104970247</v>
      </c>
      <c r="K664" s="11">
        <v>-0.610000014305114</v>
      </c>
      <c r="L664" s="11">
        <v>2.52604746818542</v>
      </c>
      <c r="M664" s="11">
        <v>1.93205357596419</v>
      </c>
      <c r="N664" s="11">
        <v>1.764</v>
      </c>
      <c r="O664" s="12"/>
      <c r="P664" s="12"/>
      <c r="Q664" s="13" t="s">
        <v>28</v>
      </c>
      <c r="S664" s="14">
        <v>0.958</v>
      </c>
      <c r="T664" s="14">
        <v>0.571</v>
      </c>
      <c r="U664" s="14">
        <v>0.19317</v>
      </c>
    </row>
    <row r="665">
      <c r="A665" s="15" t="s">
        <v>110</v>
      </c>
      <c r="B665" s="16">
        <v>2018.0</v>
      </c>
      <c r="C665" s="16">
        <v>118.0</v>
      </c>
      <c r="D665" s="16">
        <v>4.447</v>
      </c>
      <c r="E665" s="16">
        <v>0.37</v>
      </c>
      <c r="F665" s="16">
        <v>1.233</v>
      </c>
      <c r="G665" s="16">
        <v>0.152</v>
      </c>
      <c r="H665" s="16">
        <v>0.367</v>
      </c>
      <c r="I665" s="16">
        <v>0.139</v>
      </c>
      <c r="J665" s="16">
        <v>0.056</v>
      </c>
      <c r="K665" s="16">
        <v>2.6748616695404</v>
      </c>
      <c r="L665" s="16">
        <v>2.15583848953247</v>
      </c>
      <c r="M665" s="16">
        <v>1.45964383804376</v>
      </c>
      <c r="N665" s="16">
        <v>1.73</v>
      </c>
      <c r="O665" s="12"/>
      <c r="P665" s="12"/>
      <c r="Q665" s="17" t="s">
        <v>28</v>
      </c>
      <c r="S665" s="14">
        <v>0.958966196</v>
      </c>
      <c r="T665" s="14">
        <v>0.57104</v>
      </c>
      <c r="U665" s="14">
        <v>0.194</v>
      </c>
    </row>
    <row r="666">
      <c r="A666" s="10" t="s">
        <v>110</v>
      </c>
      <c r="B666" s="11">
        <v>2019.0</v>
      </c>
      <c r="C666" s="11">
        <v>128.0</v>
      </c>
      <c r="D666" s="11">
        <v>4.39</v>
      </c>
      <c r="E666" s="11">
        <v>0.385</v>
      </c>
      <c r="F666" s="11">
        <v>1.105</v>
      </c>
      <c r="G666" s="11">
        <v>0.308</v>
      </c>
      <c r="H666" s="11">
        <v>0.327</v>
      </c>
      <c r="I666" s="11">
        <v>0.153</v>
      </c>
      <c r="J666" s="11">
        <v>0.052</v>
      </c>
      <c r="K666" s="11">
        <v>4.22764205932617</v>
      </c>
      <c r="L666" s="11">
        <v>-5.36784076690673</v>
      </c>
      <c r="M666" s="11">
        <v>2.07937651450651</v>
      </c>
      <c r="N666" s="11">
        <v>-2.89400005340576</v>
      </c>
      <c r="O666" s="12"/>
      <c r="P666" s="12"/>
      <c r="Q666" s="13" t="s">
        <v>28</v>
      </c>
      <c r="S666" s="14">
        <v>0.96053</v>
      </c>
      <c r="T666" s="14">
        <v>0.571055591</v>
      </c>
      <c r="U666" s="14">
        <v>0.195444584</v>
      </c>
    </row>
    <row r="667">
      <c r="A667" s="15" t="s">
        <v>110</v>
      </c>
      <c r="B667" s="16">
        <v>2020.0</v>
      </c>
      <c r="C667" s="16">
        <v>114.0</v>
      </c>
      <c r="D667" s="16">
        <v>4.729300022</v>
      </c>
      <c r="E667" s="16">
        <v>0.352462649</v>
      </c>
      <c r="F667" s="16">
        <v>0.731468976</v>
      </c>
      <c r="G667" s="16">
        <v>51.72698212</v>
      </c>
      <c r="H667" s="16">
        <v>0.71156615</v>
      </c>
      <c r="I667" s="16">
        <v>-0.044366926</v>
      </c>
      <c r="J667" s="16">
        <v>0.839328408</v>
      </c>
      <c r="K667" s="16">
        <v>0.670826833073311</v>
      </c>
      <c r="L667" s="16">
        <v>2.49852275848388</v>
      </c>
      <c r="M667" s="16">
        <v>2.00012831617103</v>
      </c>
      <c r="N667" s="16">
        <v>0.438088940320763</v>
      </c>
      <c r="O667" s="12"/>
      <c r="P667" s="12"/>
      <c r="Q667" s="17" t="s">
        <v>28</v>
      </c>
      <c r="S667" s="14">
        <v>0.96372</v>
      </c>
      <c r="T667" s="14">
        <v>0.572</v>
      </c>
      <c r="U667" s="14">
        <v>0.196</v>
      </c>
    </row>
    <row r="668">
      <c r="A668" s="10" t="s">
        <v>110</v>
      </c>
      <c r="B668" s="11">
        <v>2021.0</v>
      </c>
      <c r="C668" s="11">
        <v>117.0</v>
      </c>
      <c r="D668" s="11">
        <v>4.723</v>
      </c>
      <c r="E668" s="11">
        <v>7.744</v>
      </c>
      <c r="F668" s="11">
        <v>0.724</v>
      </c>
      <c r="G668" s="11">
        <v>51.969</v>
      </c>
      <c r="H668" s="11">
        <v>0.697</v>
      </c>
      <c r="I668" s="11">
        <v>-0.036</v>
      </c>
      <c r="J668" s="11">
        <v>0.827</v>
      </c>
      <c r="K668" s="11">
        <v>-0.98</v>
      </c>
      <c r="L668" s="11">
        <v>5.18</v>
      </c>
      <c r="M668" s="11">
        <v>2.45435155784715</v>
      </c>
      <c r="N668" s="11">
        <v>3.92560283104272</v>
      </c>
      <c r="O668" s="12"/>
      <c r="P668" s="12"/>
      <c r="Q668" s="13" t="s">
        <v>28</v>
      </c>
      <c r="S668" s="14">
        <v>0.967983007</v>
      </c>
      <c r="T668" s="14">
        <v>0.572</v>
      </c>
      <c r="U668" s="14">
        <v>0.199</v>
      </c>
    </row>
    <row r="669">
      <c r="A669" s="15" t="s">
        <v>110</v>
      </c>
      <c r="B669" s="16">
        <v>2022.0</v>
      </c>
      <c r="C669" s="16">
        <v>123.0</v>
      </c>
      <c r="D669" s="16">
        <v>4.479</v>
      </c>
      <c r="E669" s="16">
        <v>0.792</v>
      </c>
      <c r="F669" s="16">
        <v>0.483</v>
      </c>
      <c r="G669" s="16">
        <v>0.311</v>
      </c>
      <c r="H669" s="16">
        <v>0.35</v>
      </c>
      <c r="I669" s="16">
        <v>0.128</v>
      </c>
      <c r="J669" s="16">
        <v>0.042</v>
      </c>
      <c r="K669" s="16">
        <v>5.32145842686234</v>
      </c>
      <c r="L669" s="16">
        <v>14.2455939754826</v>
      </c>
      <c r="M669" s="16">
        <v>4.24934264021035</v>
      </c>
      <c r="N669" s="16">
        <v>9.78539374616166</v>
      </c>
      <c r="O669" s="12"/>
      <c r="P669" s="12"/>
      <c r="Q669" s="17" t="s">
        <v>28</v>
      </c>
      <c r="S669" s="14">
        <v>0.969</v>
      </c>
      <c r="T669" s="14">
        <v>0.572575808</v>
      </c>
      <c r="U669" s="14">
        <v>0.2</v>
      </c>
    </row>
    <row r="670">
      <c r="A670" s="10" t="s">
        <v>110</v>
      </c>
      <c r="B670" s="11">
        <v>2023.0</v>
      </c>
      <c r="C670" s="11">
        <v>120.0</v>
      </c>
      <c r="D670" s="11">
        <v>4.198</v>
      </c>
      <c r="E670" s="11">
        <v>7.655</v>
      </c>
      <c r="F670" s="11">
        <v>0.593</v>
      </c>
      <c r="G670" s="11">
        <v>55.403</v>
      </c>
      <c r="H670" s="11">
        <v>0.713</v>
      </c>
      <c r="I670" s="11">
        <v>-0.028</v>
      </c>
      <c r="J670" s="11">
        <v>0.846</v>
      </c>
      <c r="K670" s="11">
        <v>0.533293664965543</v>
      </c>
      <c r="L670" s="11">
        <v>2.30058199246833</v>
      </c>
      <c r="M670" s="11">
        <v>2.99999020251404</v>
      </c>
      <c r="N670" s="11">
        <v>2.05880228274214</v>
      </c>
      <c r="O670" s="12"/>
      <c r="P670" s="12"/>
      <c r="Q670" s="13" t="s">
        <v>28</v>
      </c>
      <c r="S670" s="14">
        <v>0.97</v>
      </c>
      <c r="T670" s="14">
        <v>0.573110342</v>
      </c>
      <c r="U670" s="14">
        <v>0.2</v>
      </c>
    </row>
    <row r="671">
      <c r="A671" s="15" t="s">
        <v>111</v>
      </c>
      <c r="B671" s="16">
        <v>2015.0</v>
      </c>
      <c r="C671" s="16">
        <v>37.0</v>
      </c>
      <c r="D671" s="16">
        <v>6.302</v>
      </c>
      <c r="E671" s="16">
        <v>1.2074</v>
      </c>
      <c r="F671" s="16">
        <v>1.30203</v>
      </c>
      <c r="G671" s="16">
        <v>0.88721</v>
      </c>
      <c r="H671" s="16">
        <v>0.60365</v>
      </c>
      <c r="I671" s="16">
        <v>0.51752</v>
      </c>
      <c r="J671" s="16">
        <v>0.13586</v>
      </c>
      <c r="K671" s="16">
        <v>-6.5</v>
      </c>
      <c r="L671" s="16">
        <v>2.9678099155426</v>
      </c>
      <c r="M671" s="16">
        <v>4.22011821696327</v>
      </c>
      <c r="N671" s="16">
        <v>1.10010492801666</v>
      </c>
      <c r="O671" s="16">
        <v>1.5744032503809</v>
      </c>
      <c r="P671" s="16">
        <v>-2.1686725616455</v>
      </c>
      <c r="Q671" s="17" t="s">
        <v>26</v>
      </c>
      <c r="S671" s="14">
        <v>0.971</v>
      </c>
      <c r="T671" s="14">
        <v>0.5737</v>
      </c>
      <c r="U671" s="14">
        <v>0.202</v>
      </c>
    </row>
    <row r="672">
      <c r="A672" s="10" t="s">
        <v>111</v>
      </c>
      <c r="B672" s="11">
        <v>2016.0</v>
      </c>
      <c r="C672" s="11">
        <v>30.0</v>
      </c>
      <c r="D672" s="11">
        <v>6.488</v>
      </c>
      <c r="E672" s="11">
        <v>1.30782</v>
      </c>
      <c r="F672" s="11">
        <v>1.09879</v>
      </c>
      <c r="G672" s="11">
        <v>0.80315</v>
      </c>
      <c r="H672" s="11">
        <v>0.54994</v>
      </c>
      <c r="I672" s="11">
        <v>0.56237</v>
      </c>
      <c r="J672" s="11">
        <v>0.17554</v>
      </c>
      <c r="K672" s="11">
        <v>-4.2</v>
      </c>
      <c r="L672" s="11">
        <v>2.15795993804931</v>
      </c>
      <c r="M672" s="11">
        <v>1.46997601841691</v>
      </c>
      <c r="N672" s="11">
        <v>0.644530475139617</v>
      </c>
      <c r="O672" s="11">
        <v>1.17</v>
      </c>
      <c r="P672" s="11">
        <v>-0.175024777650833</v>
      </c>
      <c r="Q672" s="13" t="s">
        <v>26</v>
      </c>
      <c r="S672" s="14">
        <v>0.972</v>
      </c>
      <c r="T672" s="14">
        <v>0.574</v>
      </c>
      <c r="U672" s="14">
        <v>0.20243</v>
      </c>
    </row>
    <row r="673">
      <c r="A673" s="15" t="s">
        <v>111</v>
      </c>
      <c r="B673" s="16">
        <v>2017.0</v>
      </c>
      <c r="C673" s="16">
        <v>27.0</v>
      </c>
      <c r="D673" s="16">
        <v>6.52699995</v>
      </c>
      <c r="E673" s="16">
        <v>1.343279839</v>
      </c>
      <c r="F673" s="16">
        <v>1.488411665</v>
      </c>
      <c r="G673" s="16">
        <v>0.821944237</v>
      </c>
      <c r="H673" s="16">
        <v>0.588767052</v>
      </c>
      <c r="I673" s="16">
        <v>0.574730575</v>
      </c>
      <c r="J673" s="16">
        <v>0.153066069</v>
      </c>
      <c r="K673" s="16">
        <v>1.1</v>
      </c>
      <c r="L673" s="16">
        <v>3.46000003814697</v>
      </c>
      <c r="M673" s="16">
        <v>2.23723386581397</v>
      </c>
      <c r="N673" s="16">
        <v>1.261</v>
      </c>
      <c r="O673" s="16">
        <v>1.02797271918552</v>
      </c>
      <c r="P673" s="16">
        <v>1.51096177101135</v>
      </c>
      <c r="Q673" s="17" t="s">
        <v>26</v>
      </c>
      <c r="S673" s="14">
        <v>0.97459</v>
      </c>
      <c r="T673" s="14">
        <v>0.574</v>
      </c>
      <c r="U673" s="14">
        <v>0.204</v>
      </c>
    </row>
    <row r="674">
      <c r="A674" s="10" t="s">
        <v>111</v>
      </c>
      <c r="B674" s="11">
        <v>2018.0</v>
      </c>
      <c r="C674" s="11">
        <v>22.0</v>
      </c>
      <c r="D674" s="11">
        <v>6.627</v>
      </c>
      <c r="E674" s="11">
        <v>1.27</v>
      </c>
      <c r="F674" s="11">
        <v>1.525</v>
      </c>
      <c r="G674" s="11">
        <v>0.884</v>
      </c>
      <c r="H674" s="11">
        <v>0.645</v>
      </c>
      <c r="I674" s="11">
        <v>0.376</v>
      </c>
      <c r="J674" s="11">
        <v>0.142</v>
      </c>
      <c r="K674" s="11">
        <v>1.3</v>
      </c>
      <c r="L674" s="11">
        <v>2.91657638549804</v>
      </c>
      <c r="M674" s="11">
        <v>2.04739393168398</v>
      </c>
      <c r="N674" s="11">
        <v>1.16</v>
      </c>
      <c r="O674" s="11">
        <v>1.79043146463165</v>
      </c>
      <c r="P674" s="11">
        <v>4.35915088653564</v>
      </c>
      <c r="Q674" s="13" t="s">
        <v>26</v>
      </c>
      <c r="S674" s="14">
        <v>0.974669576</v>
      </c>
      <c r="T674" s="14">
        <v>0.57414</v>
      </c>
      <c r="U674" s="14">
        <v>0.20646</v>
      </c>
    </row>
    <row r="675">
      <c r="A675" s="15" t="s">
        <v>111</v>
      </c>
      <c r="B675" s="16">
        <v>2019.0</v>
      </c>
      <c r="C675" s="16">
        <v>22.0</v>
      </c>
      <c r="D675" s="16">
        <v>6.726</v>
      </c>
      <c r="E675" s="16">
        <v>1.3</v>
      </c>
      <c r="F675" s="16">
        <v>1.52</v>
      </c>
      <c r="G675" s="16">
        <v>0.999</v>
      </c>
      <c r="H675" s="16">
        <v>0.564</v>
      </c>
      <c r="I675" s="16">
        <v>0.375</v>
      </c>
      <c r="J675" s="16">
        <v>0.151</v>
      </c>
      <c r="K675" s="16">
        <v>2.5</v>
      </c>
      <c r="L675" s="16">
        <v>3.62203868220803</v>
      </c>
      <c r="M675" s="16">
        <v>2.17116442813593</v>
      </c>
      <c r="N675" s="16">
        <v>1.52300000190734</v>
      </c>
      <c r="O675" s="16">
        <v>1.36485966935792</v>
      </c>
      <c r="P675" s="16">
        <v>2.18277096748352</v>
      </c>
      <c r="Q675" s="17" t="s">
        <v>26</v>
      </c>
      <c r="S675" s="14">
        <v>0.97619</v>
      </c>
      <c r="T675" s="14">
        <v>0.575</v>
      </c>
      <c r="U675" s="14">
        <v>0.208</v>
      </c>
    </row>
    <row r="676">
      <c r="A676" s="10" t="s">
        <v>111</v>
      </c>
      <c r="B676" s="11">
        <v>2020.0</v>
      </c>
      <c r="C676" s="11">
        <v>22.0</v>
      </c>
      <c r="D676" s="11">
        <v>6.772799969</v>
      </c>
      <c r="E676" s="11">
        <v>1.252513289</v>
      </c>
      <c r="F676" s="11">
        <v>0.93037951</v>
      </c>
      <c r="G676" s="11">
        <v>72.19999695</v>
      </c>
      <c r="H676" s="11">
        <v>0.924911439</v>
      </c>
      <c r="I676" s="11">
        <v>0.214965805</v>
      </c>
      <c r="J676" s="11">
        <v>0.658547282</v>
      </c>
      <c r="K676" s="11">
        <v>-0.6</v>
      </c>
      <c r="L676" s="11">
        <v>2.13553671360406</v>
      </c>
      <c r="M676" s="11">
        <v>0.916976000588045</v>
      </c>
      <c r="N676" s="11">
        <v>0.638544956777155</v>
      </c>
      <c r="O676" s="11">
        <v>0.768063720842027</v>
      </c>
      <c r="P676" s="11">
        <v>0.317734522010056</v>
      </c>
      <c r="Q676" s="13" t="s">
        <v>26</v>
      </c>
      <c r="S676" s="14">
        <v>0.97841</v>
      </c>
      <c r="T676" s="14">
        <v>0.576</v>
      </c>
      <c r="U676" s="14">
        <v>0.21</v>
      </c>
    </row>
    <row r="677">
      <c r="A677" s="15" t="s">
        <v>111</v>
      </c>
      <c r="B677" s="16">
        <v>2021.0</v>
      </c>
      <c r="C677" s="16">
        <v>23.0</v>
      </c>
      <c r="D677" s="16">
        <v>6.602</v>
      </c>
      <c r="E677" s="16">
        <v>10.674</v>
      </c>
      <c r="F677" s="16">
        <v>0.931</v>
      </c>
      <c r="G677" s="16">
        <v>72.2</v>
      </c>
      <c r="H677" s="16">
        <v>0.927</v>
      </c>
      <c r="I677" s="16">
        <v>0.133</v>
      </c>
      <c r="J677" s="16">
        <v>0.653</v>
      </c>
      <c r="K677" s="16">
        <v>-1.6</v>
      </c>
      <c r="L677" s="16">
        <v>2.35014481954375</v>
      </c>
      <c r="M677" s="16">
        <v>1.8105181273883</v>
      </c>
      <c r="N677" s="16">
        <v>1.5</v>
      </c>
      <c r="O677" s="16">
        <v>0.649289545497316</v>
      </c>
      <c r="P677" s="16">
        <v>3.20596601829697</v>
      </c>
      <c r="Q677" s="17" t="s">
        <v>26</v>
      </c>
      <c r="S677" s="14">
        <v>0.978613198</v>
      </c>
      <c r="T677" s="14">
        <v>0.576</v>
      </c>
      <c r="U677" s="14">
        <v>0.21</v>
      </c>
    </row>
    <row r="678">
      <c r="A678" s="10" t="s">
        <v>111</v>
      </c>
      <c r="B678" s="11">
        <v>2022.0</v>
      </c>
      <c r="C678" s="11">
        <v>33.0</v>
      </c>
      <c r="D678" s="11">
        <v>6.447</v>
      </c>
      <c r="E678" s="11">
        <v>1.838</v>
      </c>
      <c r="F678" s="11">
        <v>1.169</v>
      </c>
      <c r="G678" s="11">
        <v>0.789</v>
      </c>
      <c r="H678" s="11">
        <v>0.679</v>
      </c>
      <c r="I678" s="11">
        <v>0.174</v>
      </c>
      <c r="J678" s="11">
        <v>0.166</v>
      </c>
      <c r="K678" s="12"/>
      <c r="L678" s="11">
        <v>9.58669434679522</v>
      </c>
      <c r="M678" s="11">
        <v>4.98282438826711</v>
      </c>
      <c r="N678" s="11">
        <v>6.15375621933034</v>
      </c>
      <c r="O678" s="11">
        <v>6.20442899188991</v>
      </c>
      <c r="P678" s="11">
        <v>5.47526817640092</v>
      </c>
      <c r="Q678" s="13" t="s">
        <v>26</v>
      </c>
      <c r="S678" s="14">
        <v>0.98</v>
      </c>
      <c r="T678" s="14">
        <v>0.57672</v>
      </c>
      <c r="U678" s="14">
        <v>0.212</v>
      </c>
    </row>
    <row r="679">
      <c r="A679" s="15" t="s">
        <v>111</v>
      </c>
      <c r="B679" s="16">
        <v>2023.0</v>
      </c>
      <c r="C679" s="16">
        <v>37.0</v>
      </c>
      <c r="D679" s="16">
        <v>6.3</v>
      </c>
      <c r="E679" s="16">
        <v>10.661</v>
      </c>
      <c r="F679" s="16">
        <v>0.923</v>
      </c>
      <c r="G679" s="16">
        <v>71.6</v>
      </c>
      <c r="H679" s="16">
        <v>0.886</v>
      </c>
      <c r="I679" s="16">
        <v>0.119</v>
      </c>
      <c r="J679" s="16">
        <v>0.729</v>
      </c>
      <c r="K679" s="16">
        <v>0.0</v>
      </c>
      <c r="L679" s="16">
        <v>9.52617132296989</v>
      </c>
      <c r="M679" s="16">
        <v>5.30192943921878</v>
      </c>
      <c r="N679" s="16">
        <v>5.11092718344357</v>
      </c>
      <c r="O679" s="12"/>
      <c r="P679" s="16">
        <v>3.58630427109099</v>
      </c>
      <c r="Q679" s="17" t="s">
        <v>26</v>
      </c>
      <c r="S679" s="14">
        <v>0.98</v>
      </c>
      <c r="T679" s="14">
        <v>0.57733</v>
      </c>
      <c r="U679" s="14">
        <v>0.212</v>
      </c>
    </row>
    <row r="680">
      <c r="A680" s="10" t="s">
        <v>112</v>
      </c>
      <c r="B680" s="11">
        <v>2015.0</v>
      </c>
      <c r="C680" s="11">
        <v>124.0</v>
      </c>
      <c r="D680" s="11">
        <v>4.436</v>
      </c>
      <c r="E680" s="11">
        <v>0.45407</v>
      </c>
      <c r="F680" s="11">
        <v>0.86908</v>
      </c>
      <c r="G680" s="11">
        <v>0.35874</v>
      </c>
      <c r="H680" s="11">
        <v>0.24232</v>
      </c>
      <c r="I680" s="11">
        <v>0.219</v>
      </c>
      <c r="J680" s="11">
        <v>0.17461</v>
      </c>
      <c r="K680" s="11">
        <v>3.96000003814697</v>
      </c>
      <c r="L680" s="11">
        <v>5.63999986648559</v>
      </c>
      <c r="M680" s="11">
        <v>-4.79390857827041</v>
      </c>
      <c r="N680" s="11">
        <v>0.486000001430511</v>
      </c>
      <c r="O680" s="12"/>
      <c r="P680" s="12"/>
      <c r="Q680" s="13" t="s">
        <v>28</v>
      </c>
      <c r="S680" s="14">
        <v>0.98</v>
      </c>
      <c r="T680" s="14">
        <v>0.578</v>
      </c>
      <c r="U680" s="14">
        <v>0.21312</v>
      </c>
    </row>
    <row r="681">
      <c r="A681" s="15" t="s">
        <v>112</v>
      </c>
      <c r="B681" s="16">
        <v>2016.0</v>
      </c>
      <c r="C681" s="16">
        <v>130.0</v>
      </c>
      <c r="D681" s="16">
        <v>4.201</v>
      </c>
      <c r="E681" s="16">
        <v>0.61391</v>
      </c>
      <c r="F681" s="16">
        <v>0.84142</v>
      </c>
      <c r="G681" s="16">
        <v>0.28639</v>
      </c>
      <c r="H681" s="16">
        <v>0.1268</v>
      </c>
      <c r="I681" s="16">
        <v>0.22686</v>
      </c>
      <c r="J681" s="16">
        <v>0.17955</v>
      </c>
      <c r="K681" s="16">
        <v>-0.129999995231628</v>
      </c>
      <c r="L681" s="16">
        <v>2.27999997138977</v>
      </c>
      <c r="M681" s="16">
        <v>11.2101297508572</v>
      </c>
      <c r="N681" s="16">
        <v>1.47200000286102</v>
      </c>
      <c r="O681" s="12"/>
      <c r="P681" s="12"/>
      <c r="Q681" s="17" t="s">
        <v>28</v>
      </c>
      <c r="S681" s="14">
        <v>0.983</v>
      </c>
      <c r="T681" s="14">
        <v>0.578</v>
      </c>
      <c r="U681" s="14">
        <v>0.21348</v>
      </c>
    </row>
    <row r="682">
      <c r="A682" s="10" t="s">
        <v>112</v>
      </c>
      <c r="B682" s="11">
        <v>2017.0</v>
      </c>
      <c r="C682" s="11">
        <v>123.0</v>
      </c>
      <c r="D682" s="11">
        <v>4.291999817</v>
      </c>
      <c r="E682" s="11">
        <v>0.648457289</v>
      </c>
      <c r="F682" s="11">
        <v>1.27203083</v>
      </c>
      <c r="G682" s="11">
        <v>0.28534928</v>
      </c>
      <c r="H682" s="11">
        <v>0.096098043</v>
      </c>
      <c r="I682" s="11">
        <v>0.201870024</v>
      </c>
      <c r="J682" s="11">
        <v>0.136957005</v>
      </c>
      <c r="K682" s="11">
        <v>-0.680000007152557</v>
      </c>
      <c r="L682" s="11">
        <v>3.07999992370605</v>
      </c>
      <c r="M682" s="11">
        <v>3.66567005229794</v>
      </c>
      <c r="N682" s="11">
        <v>2.269</v>
      </c>
      <c r="O682" s="12"/>
      <c r="P682" s="12"/>
      <c r="Q682" s="13" t="s">
        <v>28</v>
      </c>
      <c r="S682" s="14">
        <v>0.983</v>
      </c>
      <c r="T682" s="14">
        <v>0.579</v>
      </c>
      <c r="U682" s="14">
        <v>0.21394</v>
      </c>
    </row>
    <row r="683">
      <c r="A683" s="15" t="s">
        <v>112</v>
      </c>
      <c r="B683" s="16">
        <v>2018.0</v>
      </c>
      <c r="C683" s="16">
        <v>126.0</v>
      </c>
      <c r="D683" s="16">
        <v>4.356</v>
      </c>
      <c r="E683" s="16">
        <v>0.557</v>
      </c>
      <c r="F683" s="16">
        <v>1.245</v>
      </c>
      <c r="G683" s="16">
        <v>0.292</v>
      </c>
      <c r="H683" s="16">
        <v>0.129</v>
      </c>
      <c r="I683" s="16">
        <v>0.134</v>
      </c>
      <c r="J683" s="16">
        <v>0.093</v>
      </c>
      <c r="K683" s="16">
        <v>0.507004723819064</v>
      </c>
      <c r="L683" s="16">
        <v>4.20357959837051</v>
      </c>
      <c r="M683" s="16">
        <v>1.80833187829799</v>
      </c>
      <c r="N683" s="16">
        <v>3.07</v>
      </c>
      <c r="O683" s="12"/>
      <c r="P683" s="12"/>
      <c r="Q683" s="17" t="s">
        <v>28</v>
      </c>
      <c r="S683" s="14">
        <v>0.983</v>
      </c>
      <c r="T683" s="14">
        <v>0.579392254</v>
      </c>
      <c r="U683" s="14">
        <v>0.215</v>
      </c>
    </row>
    <row r="684">
      <c r="A684" s="10" t="s">
        <v>112</v>
      </c>
      <c r="B684" s="11">
        <v>2019.0</v>
      </c>
      <c r="C684" s="11">
        <v>122.0</v>
      </c>
      <c r="D684" s="11">
        <v>4.49</v>
      </c>
      <c r="E684" s="11">
        <v>0.57</v>
      </c>
      <c r="F684" s="11">
        <v>1.167</v>
      </c>
      <c r="G684" s="11">
        <v>0.489</v>
      </c>
      <c r="H684" s="11">
        <v>0.066</v>
      </c>
      <c r="I684" s="11">
        <v>0.106</v>
      </c>
      <c r="J684" s="11">
        <v>0.088</v>
      </c>
      <c r="K684" s="11">
        <v>-0.133627782913642</v>
      </c>
      <c r="L684" s="11">
        <v>2.72026075300357</v>
      </c>
      <c r="M684" s="11">
        <v>4.67694582803299</v>
      </c>
      <c r="N684" s="11">
        <v>2.30599999427795</v>
      </c>
      <c r="O684" s="12"/>
      <c r="P684" s="12"/>
      <c r="Q684" s="13" t="s">
        <v>28</v>
      </c>
      <c r="S684" s="14">
        <v>0.983</v>
      </c>
      <c r="T684" s="14">
        <v>0.57941</v>
      </c>
      <c r="U684" s="14">
        <v>0.21515955</v>
      </c>
    </row>
    <row r="685">
      <c r="A685" s="15" t="s">
        <v>112</v>
      </c>
      <c r="B685" s="16">
        <v>2020.0</v>
      </c>
      <c r="C685" s="16">
        <v>129.0</v>
      </c>
      <c r="D685" s="16">
        <v>4.374599934</v>
      </c>
      <c r="E685" s="16">
        <v>0.539684892</v>
      </c>
      <c r="F685" s="16">
        <v>0.790819228</v>
      </c>
      <c r="G685" s="16">
        <v>57.01017761</v>
      </c>
      <c r="H685" s="16">
        <v>0.551522553</v>
      </c>
      <c r="I685" s="16">
        <v>-0.106008142</v>
      </c>
      <c r="J685" s="16">
        <v>0.746223509</v>
      </c>
      <c r="K685" s="16">
        <v>0.697416719156285</v>
      </c>
      <c r="L685" s="16">
        <v>2.1929059036162</v>
      </c>
      <c r="M685" s="16">
        <v>7.84043117880038</v>
      </c>
      <c r="N685" s="16">
        <v>2.38569488456306</v>
      </c>
      <c r="O685" s="12"/>
      <c r="P685" s="12"/>
      <c r="Q685" s="17" t="s">
        <v>28</v>
      </c>
      <c r="S685" s="14">
        <v>0.984136045</v>
      </c>
      <c r="T685" s="14">
        <v>0.58</v>
      </c>
      <c r="U685" s="14">
        <v>0.218</v>
      </c>
    </row>
    <row r="686">
      <c r="A686" s="10" t="s">
        <v>112</v>
      </c>
      <c r="B686" s="11">
        <v>2021.0</v>
      </c>
      <c r="C686" s="11">
        <v>134.0</v>
      </c>
      <c r="D686" s="11">
        <v>4.227</v>
      </c>
      <c r="E686" s="11">
        <v>8.542</v>
      </c>
      <c r="F686" s="11">
        <v>0.795</v>
      </c>
      <c r="G686" s="11">
        <v>57.161</v>
      </c>
      <c r="H686" s="11">
        <v>0.561</v>
      </c>
      <c r="I686" s="11">
        <v>-0.106</v>
      </c>
      <c r="J686" s="11">
        <v>0.731</v>
      </c>
      <c r="K686" s="11">
        <v>2.32</v>
      </c>
      <c r="L686" s="11">
        <v>5.79</v>
      </c>
      <c r="M686" s="11">
        <v>12.5719779262064</v>
      </c>
      <c r="N686" s="11">
        <v>3.767</v>
      </c>
      <c r="O686" s="12"/>
      <c r="P686" s="12"/>
      <c r="Q686" s="13" t="s">
        <v>28</v>
      </c>
      <c r="S686" s="14">
        <v>0.98521</v>
      </c>
      <c r="T686" s="14">
        <v>0.58</v>
      </c>
      <c r="U686" s="14">
        <v>0.21843</v>
      </c>
    </row>
    <row r="687">
      <c r="A687" s="15" t="s">
        <v>112</v>
      </c>
      <c r="B687" s="16">
        <v>2023.0</v>
      </c>
      <c r="C687" s="16">
        <v>103.0</v>
      </c>
      <c r="D687" s="16">
        <v>4.724</v>
      </c>
      <c r="E687" s="16">
        <v>8.591</v>
      </c>
      <c r="F687" s="16">
        <v>0.644</v>
      </c>
      <c r="G687" s="16">
        <v>60.475</v>
      </c>
      <c r="H687" s="16">
        <v>0.622</v>
      </c>
      <c r="I687" s="16">
        <v>-0.013</v>
      </c>
      <c r="J687" s="16">
        <v>0.657</v>
      </c>
      <c r="K687" s="12"/>
      <c r="L687" s="12"/>
      <c r="M687" s="16">
        <v>1.50960994444009</v>
      </c>
      <c r="N687" s="16">
        <v>4.949</v>
      </c>
      <c r="O687" s="12"/>
      <c r="P687" s="12"/>
      <c r="Q687" s="17" t="s">
        <v>28</v>
      </c>
      <c r="S687" s="14">
        <v>0.98569</v>
      </c>
      <c r="T687" s="14">
        <v>0.58013165</v>
      </c>
      <c r="U687" s="14">
        <v>0.221060365</v>
      </c>
    </row>
    <row r="688">
      <c r="A688" s="10" t="s">
        <v>113</v>
      </c>
      <c r="B688" s="11">
        <v>2015.0</v>
      </c>
      <c r="C688" s="11">
        <v>71.0</v>
      </c>
      <c r="D688" s="11">
        <v>5.477</v>
      </c>
      <c r="E688" s="11">
        <v>1.00761</v>
      </c>
      <c r="F688" s="11">
        <v>0.98521</v>
      </c>
      <c r="G688" s="11">
        <v>0.7095</v>
      </c>
      <c r="H688" s="11">
        <v>0.56066</v>
      </c>
      <c r="I688" s="11">
        <v>0.37744</v>
      </c>
      <c r="J688" s="11">
        <v>0.07521</v>
      </c>
      <c r="K688" s="11">
        <v>-0.050000000745058</v>
      </c>
      <c r="L688" s="11">
        <v>3.23773670196533</v>
      </c>
      <c r="M688" s="11">
        <v>0.960924001798776</v>
      </c>
      <c r="N688" s="11">
        <v>1.31648921966552</v>
      </c>
      <c r="O688" s="11">
        <v>1.74963009357452</v>
      </c>
      <c r="P688" s="11">
        <v>2.19046068191528</v>
      </c>
      <c r="Q688" s="13" t="s">
        <v>28</v>
      </c>
      <c r="S688" s="14">
        <v>0.986</v>
      </c>
      <c r="T688" s="14">
        <v>0.580200732</v>
      </c>
      <c r="U688" s="14">
        <v>0.22113885</v>
      </c>
    </row>
    <row r="689">
      <c r="A689" s="15" t="s">
        <v>113</v>
      </c>
      <c r="B689" s="16">
        <v>2016.0</v>
      </c>
      <c r="C689" s="16">
        <v>66.0</v>
      </c>
      <c r="D689" s="16">
        <v>5.648</v>
      </c>
      <c r="E689" s="16">
        <v>1.14372</v>
      </c>
      <c r="F689" s="16">
        <v>0.75695</v>
      </c>
      <c r="G689" s="16">
        <v>0.66189</v>
      </c>
      <c r="H689" s="16">
        <v>0.46145</v>
      </c>
      <c r="I689" s="16">
        <v>0.36951</v>
      </c>
      <c r="J689" s="16">
        <v>0.05203</v>
      </c>
      <c r="K689" s="16">
        <v>-3.09999990463256</v>
      </c>
      <c r="L689" s="16">
        <v>1.0570433139801</v>
      </c>
      <c r="M689" s="16">
        <v>2.14736151159246</v>
      </c>
      <c r="N689" s="16">
        <v>0.950553238391876</v>
      </c>
      <c r="O689" s="16">
        <v>2.24542045593261</v>
      </c>
      <c r="P689" s="16">
        <v>0.102170430123806</v>
      </c>
      <c r="Q689" s="17" t="s">
        <v>28</v>
      </c>
      <c r="S689" s="14">
        <v>0.98912</v>
      </c>
      <c r="T689" s="14">
        <v>0.58147</v>
      </c>
      <c r="U689" s="14">
        <v>0.224</v>
      </c>
    </row>
    <row r="690">
      <c r="A690" s="10" t="s">
        <v>113</v>
      </c>
      <c r="B690" s="11">
        <v>2017.0</v>
      </c>
      <c r="C690" s="11">
        <v>64.0</v>
      </c>
      <c r="D690" s="11">
        <v>5.629000187</v>
      </c>
      <c r="E690" s="11">
        <v>1.189395547</v>
      </c>
      <c r="F690" s="11">
        <v>1.20956099</v>
      </c>
      <c r="G690" s="11">
        <v>0.638007462</v>
      </c>
      <c r="H690" s="11">
        <v>0.491247326</v>
      </c>
      <c r="I690" s="11">
        <v>0.360933751</v>
      </c>
      <c r="J690" s="11">
        <v>0.042181555</v>
      </c>
      <c r="K690" s="11">
        <v>-2.21000003814697</v>
      </c>
      <c r="L690" s="11">
        <v>3.72579574584961</v>
      </c>
      <c r="M690" s="11">
        <v>1.29743954589615</v>
      </c>
      <c r="N690" s="11">
        <v>3.675</v>
      </c>
      <c r="O690" s="11">
        <v>2.1841869354248</v>
      </c>
      <c r="P690" s="11">
        <v>2.3323495388031</v>
      </c>
      <c r="Q690" s="13" t="s">
        <v>28</v>
      </c>
      <c r="S690" s="14">
        <v>0.99</v>
      </c>
      <c r="T690" s="14">
        <v>0.581843853</v>
      </c>
      <c r="U690" s="14">
        <v>0.2254</v>
      </c>
    </row>
    <row r="691">
      <c r="A691" s="15" t="s">
        <v>113</v>
      </c>
      <c r="B691" s="16">
        <v>2018.0</v>
      </c>
      <c r="C691" s="16">
        <v>55.0</v>
      </c>
      <c r="D691" s="16">
        <v>5.891</v>
      </c>
      <c r="E691" s="16">
        <v>1.09</v>
      </c>
      <c r="F691" s="16">
        <v>1.387</v>
      </c>
      <c r="G691" s="16">
        <v>0.684</v>
      </c>
      <c r="H691" s="16">
        <v>0.584</v>
      </c>
      <c r="I691" s="16">
        <v>0.245</v>
      </c>
      <c r="J691" s="16">
        <v>0.05</v>
      </c>
      <c r="K691" s="16">
        <v>-1.78377878665924</v>
      </c>
      <c r="L691" s="16">
        <v>5.80881834030151</v>
      </c>
      <c r="M691" s="16">
        <v>1.44696597817467</v>
      </c>
      <c r="N691" s="16">
        <v>3.21</v>
      </c>
      <c r="O691" s="16">
        <v>1.7866666316986</v>
      </c>
      <c r="P691" s="16">
        <v>3.17510962486267</v>
      </c>
      <c r="Q691" s="17" t="s">
        <v>28</v>
      </c>
      <c r="S691" s="14">
        <v>0.991</v>
      </c>
      <c r="T691" s="14">
        <v>0.582</v>
      </c>
      <c r="U691" s="14">
        <v>0.226</v>
      </c>
    </row>
    <row r="692">
      <c r="A692" s="10" t="s">
        <v>113</v>
      </c>
      <c r="B692" s="11">
        <v>2019.0</v>
      </c>
      <c r="C692" s="11">
        <v>57.0</v>
      </c>
      <c r="D692" s="11">
        <v>5.888</v>
      </c>
      <c r="E692" s="11">
        <v>1.12</v>
      </c>
      <c r="F692" s="11">
        <v>1.402</v>
      </c>
      <c r="G692" s="11">
        <v>0.798</v>
      </c>
      <c r="H692" s="11">
        <v>0.498</v>
      </c>
      <c r="I692" s="11">
        <v>0.215</v>
      </c>
      <c r="J692" s="11">
        <v>0.06</v>
      </c>
      <c r="K692" s="11">
        <v>-0.390392929315567</v>
      </c>
      <c r="L692" s="11">
        <v>0.716761171817779</v>
      </c>
      <c r="M692" s="11">
        <v>0.521100862794155</v>
      </c>
      <c r="N692" s="11">
        <v>0.453999996185302</v>
      </c>
      <c r="O692" s="11">
        <v>1.77495419979095</v>
      </c>
      <c r="P692" s="11">
        <v>1.4540741443634</v>
      </c>
      <c r="Q692" s="13" t="s">
        <v>28</v>
      </c>
      <c r="S692" s="14">
        <v>0.993025005</v>
      </c>
      <c r="T692" s="14">
        <v>0.582</v>
      </c>
      <c r="U692" s="14">
        <v>0.23</v>
      </c>
    </row>
    <row r="693">
      <c r="A693" s="15" t="s">
        <v>113</v>
      </c>
      <c r="B693" s="16">
        <v>2020.0</v>
      </c>
      <c r="C693" s="16">
        <v>49.0</v>
      </c>
      <c r="D693" s="16">
        <v>6.101299763</v>
      </c>
      <c r="E693" s="16">
        <v>1.07366395</v>
      </c>
      <c r="F693" s="16">
        <v>0.910357833</v>
      </c>
      <c r="G693" s="16">
        <v>66.40434265</v>
      </c>
      <c r="H693" s="16">
        <v>0.889534533</v>
      </c>
      <c r="I693" s="16">
        <v>-0.018318573</v>
      </c>
      <c r="J693" s="16">
        <v>0.805343091</v>
      </c>
      <c r="K693" s="16">
        <v>-2.99054272812474</v>
      </c>
      <c r="L693" s="16">
        <v>6.21725177764892</v>
      </c>
      <c r="M693" s="16">
        <v>3.82134472824758</v>
      </c>
      <c r="N693" s="16">
        <v>2.58080077182843</v>
      </c>
      <c r="O693" s="16">
        <v>3.06406450271606</v>
      </c>
      <c r="P693" s="16">
        <v>3.75369668006896</v>
      </c>
      <c r="Q693" s="17" t="s">
        <v>28</v>
      </c>
      <c r="S693" s="14">
        <v>0.99496</v>
      </c>
      <c r="T693" s="14">
        <v>0.58218</v>
      </c>
      <c r="U693" s="14">
        <v>0.23669</v>
      </c>
    </row>
    <row r="694">
      <c r="A694" s="10" t="s">
        <v>113</v>
      </c>
      <c r="B694" s="11">
        <v>2021.0</v>
      </c>
      <c r="C694" s="11">
        <v>50.0</v>
      </c>
      <c r="D694" s="11">
        <v>6.049</v>
      </c>
      <c r="E694" s="11">
        <v>10.008</v>
      </c>
      <c r="F694" s="11">
        <v>0.905</v>
      </c>
      <c r="G694" s="11">
        <v>66.701</v>
      </c>
      <c r="H694" s="11">
        <v>0.867</v>
      </c>
      <c r="I694" s="11">
        <v>-0.054</v>
      </c>
      <c r="J694" s="11">
        <v>0.789</v>
      </c>
      <c r="K694" s="11">
        <v>-2.95</v>
      </c>
      <c r="L694" s="11">
        <v>4.33</v>
      </c>
      <c r="M694" s="11">
        <v>3.32317454252611</v>
      </c>
      <c r="N694" s="11">
        <v>4.02852888157379</v>
      </c>
      <c r="O694" s="11">
        <v>4.48255137801576</v>
      </c>
      <c r="P694" s="11">
        <v>11.3977994731132</v>
      </c>
      <c r="Q694" s="13" t="s">
        <v>28</v>
      </c>
      <c r="S694" s="14">
        <v>0.99537</v>
      </c>
      <c r="T694" s="14">
        <v>0.583</v>
      </c>
      <c r="U694" s="14">
        <v>0.237</v>
      </c>
    </row>
    <row r="695">
      <c r="A695" s="15" t="s">
        <v>113</v>
      </c>
      <c r="B695" s="16">
        <v>2022.0</v>
      </c>
      <c r="C695" s="16">
        <v>52.0</v>
      </c>
      <c r="D695" s="16">
        <v>6.071</v>
      </c>
      <c r="E695" s="16">
        <v>1.591</v>
      </c>
      <c r="F695" s="16">
        <v>1.116</v>
      </c>
      <c r="G695" s="16">
        <v>0.568</v>
      </c>
      <c r="H695" s="16">
        <v>0.589</v>
      </c>
      <c r="I695" s="16">
        <v>0.131</v>
      </c>
      <c r="J695" s="16">
        <v>0.107</v>
      </c>
      <c r="K695" s="16">
        <v>4.66964547441164</v>
      </c>
      <c r="L695" s="16">
        <v>13.9775669632933</v>
      </c>
      <c r="M695" s="16">
        <v>3.07072962886778</v>
      </c>
      <c r="N695" s="16">
        <v>10.7737512242899</v>
      </c>
      <c r="O695" s="16">
        <v>7.31741940304082</v>
      </c>
      <c r="P695" s="16">
        <v>18.07748487167</v>
      </c>
      <c r="Q695" s="17" t="s">
        <v>28</v>
      </c>
      <c r="S695" s="14">
        <v>0.99876</v>
      </c>
      <c r="T695" s="14">
        <v>0.584</v>
      </c>
      <c r="U695" s="14">
        <v>0.24</v>
      </c>
    </row>
    <row r="696">
      <c r="A696" s="10" t="s">
        <v>113</v>
      </c>
      <c r="B696" s="11">
        <v>2023.0</v>
      </c>
      <c r="C696" s="11">
        <v>59.0</v>
      </c>
      <c r="D696" s="11">
        <v>5.902</v>
      </c>
      <c r="E696" s="11">
        <v>9.957</v>
      </c>
      <c r="F696" s="11">
        <v>0.888</v>
      </c>
      <c r="G696" s="11">
        <v>63.85</v>
      </c>
      <c r="H696" s="11">
        <v>0.813</v>
      </c>
      <c r="I696" s="11">
        <v>-0.028</v>
      </c>
      <c r="J696" s="11">
        <v>0.775</v>
      </c>
      <c r="K696" s="11">
        <v>14.1305081241235</v>
      </c>
      <c r="L696" s="11">
        <v>7.81153893467882</v>
      </c>
      <c r="M696" s="11">
        <v>6.4000069217325</v>
      </c>
      <c r="N696" s="11">
        <v>7.05298238454736</v>
      </c>
      <c r="O696" s="11">
        <v>5.19904497393168</v>
      </c>
      <c r="P696" s="12"/>
      <c r="Q696" s="13" t="s">
        <v>28</v>
      </c>
      <c r="S696" s="14">
        <v>0.99903</v>
      </c>
      <c r="T696" s="14">
        <v>0.584</v>
      </c>
      <c r="U696" s="14">
        <v>0.24</v>
      </c>
    </row>
    <row r="697">
      <c r="A697" s="15" t="s">
        <v>114</v>
      </c>
      <c r="B697" s="16">
        <v>2015.0</v>
      </c>
      <c r="C697" s="16">
        <v>14.0</v>
      </c>
      <c r="D697" s="16">
        <v>7.187</v>
      </c>
      <c r="E697" s="16">
        <v>1.02054</v>
      </c>
      <c r="F697" s="16">
        <v>0.91451</v>
      </c>
      <c r="G697" s="16">
        <v>0.81444</v>
      </c>
      <c r="H697" s="16">
        <v>0.48181</v>
      </c>
      <c r="I697" s="16">
        <v>0.14074</v>
      </c>
      <c r="J697" s="16">
        <v>0.21312</v>
      </c>
      <c r="K697" s="16">
        <v>1.86575984954834</v>
      </c>
      <c r="L697" s="16">
        <v>3.98915696144104</v>
      </c>
      <c r="M697" s="16">
        <v>2.83512064343163</v>
      </c>
      <c r="N697" s="16">
        <v>2.72064089775085</v>
      </c>
      <c r="O697" s="16">
        <v>2.3627495765686</v>
      </c>
      <c r="P697" s="16">
        <v>2.93016362190246</v>
      </c>
      <c r="Q697" s="17" t="s">
        <v>43</v>
      </c>
      <c r="S697" s="14">
        <v>1.0</v>
      </c>
      <c r="T697" s="14">
        <v>0.584</v>
      </c>
      <c r="U697" s="14">
        <v>0.24</v>
      </c>
    </row>
    <row r="698">
      <c r="A698" s="10" t="s">
        <v>114</v>
      </c>
      <c r="B698" s="11">
        <v>2016.0</v>
      </c>
      <c r="C698" s="11">
        <v>21.0</v>
      </c>
      <c r="D698" s="11">
        <v>6.778</v>
      </c>
      <c r="E698" s="11">
        <v>1.11508</v>
      </c>
      <c r="F698" s="11">
        <v>0.7146</v>
      </c>
      <c r="G698" s="11">
        <v>0.71143</v>
      </c>
      <c r="H698" s="11">
        <v>0.37709</v>
      </c>
      <c r="I698" s="11">
        <v>0.11735</v>
      </c>
      <c r="J698" s="11">
        <v>0.18355</v>
      </c>
      <c r="K698" s="11">
        <v>1.71635091304779</v>
      </c>
      <c r="L698" s="11">
        <v>4.46962356567382</v>
      </c>
      <c r="M698" s="11">
        <v>5.60516196311022</v>
      </c>
      <c r="N698" s="11">
        <v>2.82170867919921</v>
      </c>
      <c r="O698" s="11">
        <v>2.97045421600341</v>
      </c>
      <c r="P698" s="11">
        <v>5.67365455627441</v>
      </c>
      <c r="Q698" s="13" t="s">
        <v>43</v>
      </c>
      <c r="S698" s="14">
        <v>1.00268</v>
      </c>
      <c r="T698" s="14">
        <v>0.5845</v>
      </c>
      <c r="U698" s="14">
        <v>0.242</v>
      </c>
    </row>
    <row r="699">
      <c r="A699" s="15" t="s">
        <v>114</v>
      </c>
      <c r="B699" s="16">
        <v>2017.0</v>
      </c>
      <c r="C699" s="16">
        <v>25.0</v>
      </c>
      <c r="D699" s="16">
        <v>6.578000069</v>
      </c>
      <c r="E699" s="16">
        <v>1.153183818</v>
      </c>
      <c r="F699" s="16">
        <v>1.21086216</v>
      </c>
      <c r="G699" s="16">
        <v>0.709978998</v>
      </c>
      <c r="H699" s="16">
        <v>0.412730008</v>
      </c>
      <c r="I699" s="16">
        <v>0.120990433</v>
      </c>
      <c r="J699" s="16">
        <v>0.132774115</v>
      </c>
      <c r="K699" s="16">
        <v>3.91336750984191</v>
      </c>
      <c r="L699" s="16">
        <v>6.96603393554687</v>
      </c>
      <c r="M699" s="16">
        <v>6.71216088731363</v>
      </c>
      <c r="N699" s="16">
        <v>6.041</v>
      </c>
      <c r="O699" s="16">
        <v>4.68382549285888</v>
      </c>
      <c r="P699" s="16">
        <v>6.91091012954711</v>
      </c>
      <c r="Q699" s="17" t="s">
        <v>43</v>
      </c>
      <c r="S699" s="14">
        <v>1.003</v>
      </c>
      <c r="T699" s="14">
        <v>0.585</v>
      </c>
      <c r="U699" s="14">
        <v>0.24558</v>
      </c>
    </row>
    <row r="700">
      <c r="A700" s="10" t="s">
        <v>114</v>
      </c>
      <c r="B700" s="11">
        <v>2018.0</v>
      </c>
      <c r="C700" s="11">
        <v>24.0</v>
      </c>
      <c r="D700" s="11">
        <v>6.488</v>
      </c>
      <c r="E700" s="11">
        <v>1.038</v>
      </c>
      <c r="F700" s="11">
        <v>1.252</v>
      </c>
      <c r="G700" s="11">
        <v>0.761</v>
      </c>
      <c r="H700" s="11">
        <v>0.479</v>
      </c>
      <c r="I700" s="11">
        <v>0.069</v>
      </c>
      <c r="J700" s="11">
        <v>0.095</v>
      </c>
      <c r="K700" s="11">
        <v>3.90566992759704</v>
      </c>
      <c r="L700" s="11">
        <v>4.79574584960937</v>
      </c>
      <c r="M700" s="11">
        <v>4.94158666159921</v>
      </c>
      <c r="N700" s="11">
        <v>4.9</v>
      </c>
      <c r="O700" s="11">
        <v>3.818124294281</v>
      </c>
      <c r="P700" s="11">
        <v>5.46699476242065</v>
      </c>
      <c r="Q700" s="13" t="s">
        <v>43</v>
      </c>
      <c r="S700" s="14">
        <v>1.003187299</v>
      </c>
      <c r="T700" s="14">
        <v>0.585</v>
      </c>
      <c r="U700" s="14">
        <v>0.246528223</v>
      </c>
    </row>
    <row r="701">
      <c r="A701" s="15" t="s">
        <v>114</v>
      </c>
      <c r="B701" s="16">
        <v>2019.0</v>
      </c>
      <c r="C701" s="16">
        <v>23.0</v>
      </c>
      <c r="D701" s="16">
        <v>6.595</v>
      </c>
      <c r="E701" s="16">
        <v>1.07</v>
      </c>
      <c r="F701" s="16">
        <v>1.323</v>
      </c>
      <c r="G701" s="16">
        <v>0.861</v>
      </c>
      <c r="H701" s="16">
        <v>0.433</v>
      </c>
      <c r="I701" s="16">
        <v>0.074</v>
      </c>
      <c r="J701" s="16">
        <v>0.073</v>
      </c>
      <c r="K701" s="16">
        <v>2.433758020401</v>
      </c>
      <c r="L701" s="16">
        <v>4.38821220397949</v>
      </c>
      <c r="M701" s="16">
        <v>3.96646065425343</v>
      </c>
      <c r="N701" s="16">
        <v>3.63499999046325</v>
      </c>
      <c r="O701" s="16">
        <v>3.70501017570495</v>
      </c>
      <c r="P701" s="16">
        <v>2.91892027854919</v>
      </c>
      <c r="Q701" s="17" t="s">
        <v>43</v>
      </c>
      <c r="S701" s="14">
        <v>1.005</v>
      </c>
      <c r="T701" s="14">
        <v>0.585</v>
      </c>
      <c r="U701" s="14">
        <v>0.25</v>
      </c>
    </row>
    <row r="702">
      <c r="A702" s="10" t="s">
        <v>114</v>
      </c>
      <c r="B702" s="11">
        <v>2020.0</v>
      </c>
      <c r="C702" s="11">
        <v>24.0</v>
      </c>
      <c r="D702" s="11">
        <v>6.465000153</v>
      </c>
      <c r="E702" s="11">
        <v>1.024387479</v>
      </c>
      <c r="F702" s="11">
        <v>0.838665426</v>
      </c>
      <c r="G702" s="11">
        <v>68.29902649</v>
      </c>
      <c r="H702" s="11">
        <v>0.858709276</v>
      </c>
      <c r="I702" s="11">
        <v>-0.175266623</v>
      </c>
      <c r="J702" s="11">
        <v>0.806821585</v>
      </c>
      <c r="K702" s="11">
        <v>2.60092304068915</v>
      </c>
      <c r="L702" s="11">
        <v>6.6214895248413</v>
      </c>
      <c r="M702" s="11">
        <v>3.08966854217625</v>
      </c>
      <c r="N702" s="11">
        <v>3.3968341557003</v>
      </c>
      <c r="O702" s="11">
        <v>3.200822</v>
      </c>
      <c r="P702" s="11">
        <v>4.78106117248535</v>
      </c>
      <c r="Q702" s="13" t="s">
        <v>43</v>
      </c>
      <c r="S702" s="14">
        <v>1.00508</v>
      </c>
      <c r="T702" s="14">
        <v>0.585214674</v>
      </c>
      <c r="U702" s="14">
        <v>0.250880182</v>
      </c>
    </row>
    <row r="703">
      <c r="A703" s="15" t="s">
        <v>114</v>
      </c>
      <c r="B703" s="16">
        <v>2021.0</v>
      </c>
      <c r="C703" s="16">
        <v>36.0</v>
      </c>
      <c r="D703" s="16">
        <v>6.317</v>
      </c>
      <c r="E703" s="16">
        <v>9.859</v>
      </c>
      <c r="F703" s="16">
        <v>0.831</v>
      </c>
      <c r="G703" s="16">
        <v>68.597</v>
      </c>
      <c r="H703" s="16">
        <v>0.862</v>
      </c>
      <c r="I703" s="16">
        <v>-0.147</v>
      </c>
      <c r="J703" s="16">
        <v>0.799</v>
      </c>
      <c r="K703" s="16">
        <v>13.70615</v>
      </c>
      <c r="L703" s="16">
        <v>7.231</v>
      </c>
      <c r="M703" s="16">
        <v>5.16409565543346</v>
      </c>
      <c r="N703" s="16">
        <v>5.689209</v>
      </c>
      <c r="O703" s="16">
        <v>3.855</v>
      </c>
      <c r="P703" s="16">
        <v>7.09081281956329</v>
      </c>
      <c r="Q703" s="17" t="s">
        <v>43</v>
      </c>
      <c r="S703" s="14">
        <v>1.006</v>
      </c>
      <c r="T703" s="14">
        <v>0.585384488</v>
      </c>
      <c r="U703" s="14">
        <v>0.251343131</v>
      </c>
    </row>
    <row r="704">
      <c r="A704" s="10" t="s">
        <v>114</v>
      </c>
      <c r="B704" s="11">
        <v>2022.0</v>
      </c>
      <c r="C704" s="11">
        <v>46.0</v>
      </c>
      <c r="D704" s="11">
        <v>6.128</v>
      </c>
      <c r="E704" s="11">
        <v>1.552</v>
      </c>
      <c r="F704" s="11">
        <v>0.886</v>
      </c>
      <c r="G704" s="11">
        <v>0.623</v>
      </c>
      <c r="H704" s="11">
        <v>0.621</v>
      </c>
      <c r="I704" s="11">
        <v>0.092</v>
      </c>
      <c r="J704" s="11">
        <v>0.115</v>
      </c>
      <c r="K704" s="11">
        <v>5.28398481349481</v>
      </c>
      <c r="L704" s="11">
        <v>13.26198</v>
      </c>
      <c r="M704" s="11">
        <v>6.57019904667</v>
      </c>
      <c r="N704" s="11">
        <v>7.896276</v>
      </c>
      <c r="O704" s="11">
        <v>6.00546448087435</v>
      </c>
      <c r="P704" s="11">
        <v>8.88440124305935</v>
      </c>
      <c r="Q704" s="13" t="s">
        <v>43</v>
      </c>
      <c r="S704" s="14">
        <v>1.006238341</v>
      </c>
      <c r="T704" s="14">
        <v>0.58557</v>
      </c>
      <c r="U704" s="14">
        <v>0.251666635</v>
      </c>
    </row>
    <row r="705">
      <c r="A705" s="15" t="s">
        <v>114</v>
      </c>
      <c r="B705" s="16">
        <v>2023.0</v>
      </c>
      <c r="C705" s="16">
        <v>36.0</v>
      </c>
      <c r="D705" s="16">
        <v>6.33</v>
      </c>
      <c r="E705" s="16">
        <v>9.85</v>
      </c>
      <c r="F705" s="16">
        <v>0.804</v>
      </c>
      <c r="G705" s="16">
        <v>65.8</v>
      </c>
      <c r="H705" s="16">
        <v>0.856</v>
      </c>
      <c r="I705" s="16">
        <v>-0.094</v>
      </c>
      <c r="J705" s="16">
        <v>0.768</v>
      </c>
      <c r="K705" s="16">
        <v>-3.00520700315009</v>
      </c>
      <c r="L705" s="16">
        <v>8.16570320006519</v>
      </c>
      <c r="M705" s="16">
        <v>4.29484559740847</v>
      </c>
      <c r="N705" s="16">
        <v>5.52796087314389</v>
      </c>
      <c r="O705" s="16">
        <v>5.67685989736759</v>
      </c>
      <c r="P705" s="16">
        <v>1.74847781104528</v>
      </c>
      <c r="Q705" s="17" t="s">
        <v>43</v>
      </c>
      <c r="S705" s="14">
        <v>1.007483721</v>
      </c>
      <c r="T705" s="14">
        <v>0.586</v>
      </c>
      <c r="U705" s="14">
        <v>0.25609</v>
      </c>
    </row>
    <row r="706">
      <c r="A706" s="10" t="s">
        <v>115</v>
      </c>
      <c r="B706" s="11">
        <v>2015.0</v>
      </c>
      <c r="C706" s="11">
        <v>52.0</v>
      </c>
      <c r="D706" s="11">
        <v>5.889</v>
      </c>
      <c r="E706" s="11">
        <v>0.59448</v>
      </c>
      <c r="F706" s="11">
        <v>1.01528</v>
      </c>
      <c r="G706" s="11">
        <v>0.61826</v>
      </c>
      <c r="H706" s="11">
        <v>0.32818</v>
      </c>
      <c r="I706" s="11">
        <v>0.20951</v>
      </c>
      <c r="J706" s="11">
        <v>0.01615</v>
      </c>
      <c r="K706" s="11">
        <v>0.899999976158142</v>
      </c>
      <c r="L706" s="11">
        <v>0.730000019073486</v>
      </c>
      <c r="M706" s="11">
        <v>9.5649365001105</v>
      </c>
      <c r="N706" s="11">
        <v>9.62800025939941</v>
      </c>
      <c r="O706" s="12"/>
      <c r="P706" s="12"/>
      <c r="Q706" s="13" t="s">
        <v>26</v>
      </c>
      <c r="S706" s="14">
        <v>1.00793</v>
      </c>
      <c r="T706" s="14">
        <v>0.587305248</v>
      </c>
      <c r="U706" s="14">
        <v>0.25704217</v>
      </c>
    </row>
    <row r="707">
      <c r="A707" s="15" t="s">
        <v>115</v>
      </c>
      <c r="B707" s="16">
        <v>2016.0</v>
      </c>
      <c r="C707" s="16">
        <v>55.0</v>
      </c>
      <c r="D707" s="16">
        <v>5.897</v>
      </c>
      <c r="E707" s="16">
        <v>0.69177</v>
      </c>
      <c r="F707" s="16">
        <v>0.83132</v>
      </c>
      <c r="G707" s="16">
        <v>0.52309</v>
      </c>
      <c r="H707" s="16">
        <v>0.25202</v>
      </c>
      <c r="I707" s="16">
        <v>0.19997</v>
      </c>
      <c r="J707" s="16">
        <v>0.01903</v>
      </c>
      <c r="K707" s="16">
        <v>-1.25999999046325</v>
      </c>
      <c r="L707" s="16">
        <v>-0.9200000166893</v>
      </c>
      <c r="M707" s="16">
        <v>5.6738303980138</v>
      </c>
      <c r="N707" s="16">
        <v>6.38199996948242</v>
      </c>
      <c r="O707" s="12"/>
      <c r="P707" s="12"/>
      <c r="Q707" s="17" t="s">
        <v>26</v>
      </c>
      <c r="S707" s="14">
        <v>1.008</v>
      </c>
      <c r="T707" s="14">
        <v>0.58852</v>
      </c>
      <c r="U707" s="14">
        <v>0.25772</v>
      </c>
    </row>
    <row r="708">
      <c r="A708" s="10" t="s">
        <v>115</v>
      </c>
      <c r="B708" s="11">
        <v>2017.0</v>
      </c>
      <c r="C708" s="11">
        <v>56.0</v>
      </c>
      <c r="D708" s="11">
        <v>5.837999821</v>
      </c>
      <c r="E708" s="11">
        <v>0.72887063</v>
      </c>
      <c r="F708" s="11">
        <v>1.251825571</v>
      </c>
      <c r="G708" s="11">
        <v>0.589465201</v>
      </c>
      <c r="H708" s="11">
        <v>0.240729049</v>
      </c>
      <c r="I708" s="11">
        <v>0.208779126</v>
      </c>
      <c r="J708" s="11">
        <v>0.010091286</v>
      </c>
      <c r="K708" s="11">
        <v>4.57269163691642</v>
      </c>
      <c r="L708" s="11">
        <v>0.465549349784851</v>
      </c>
      <c r="M708" s="11">
        <v>6.25022943694339</v>
      </c>
      <c r="N708" s="11">
        <v>6.576</v>
      </c>
      <c r="O708" s="12"/>
      <c r="P708" s="12"/>
      <c r="Q708" s="13" t="s">
        <v>26</v>
      </c>
      <c r="S708" s="14">
        <v>1.00964</v>
      </c>
      <c r="T708" s="14">
        <v>0.588767052</v>
      </c>
      <c r="U708" s="14">
        <v>0.259</v>
      </c>
    </row>
    <row r="709">
      <c r="A709" s="15" t="s">
        <v>115</v>
      </c>
      <c r="B709" s="16">
        <v>2018.0</v>
      </c>
      <c r="C709" s="16">
        <v>67.0</v>
      </c>
      <c r="D709" s="16">
        <v>5.64</v>
      </c>
      <c r="E709" s="16">
        <v>0.657</v>
      </c>
      <c r="F709" s="16">
        <v>1.301</v>
      </c>
      <c r="G709" s="16">
        <v>0.62</v>
      </c>
      <c r="H709" s="16">
        <v>0.232</v>
      </c>
      <c r="I709" s="16">
        <v>0.171</v>
      </c>
      <c r="J709" s="16">
        <v>0.0</v>
      </c>
      <c r="K709" s="16">
        <v>-2.30524422769068</v>
      </c>
      <c r="L709" s="16">
        <v>5.51477218192887</v>
      </c>
      <c r="M709" s="16">
        <v>2.13728958788246</v>
      </c>
      <c r="N709" s="16">
        <v>3.05</v>
      </c>
      <c r="O709" s="12"/>
      <c r="P709" s="12"/>
      <c r="Q709" s="17" t="s">
        <v>26</v>
      </c>
      <c r="S709" s="14">
        <v>1.01404</v>
      </c>
      <c r="T709" s="14">
        <v>0.589</v>
      </c>
      <c r="U709" s="14">
        <v>0.25927034</v>
      </c>
    </row>
    <row r="710">
      <c r="A710" s="10" t="s">
        <v>115</v>
      </c>
      <c r="B710" s="11">
        <v>2019.0</v>
      </c>
      <c r="C710" s="11">
        <v>71.0</v>
      </c>
      <c r="D710" s="11">
        <v>5.529</v>
      </c>
      <c r="E710" s="11">
        <v>0.685</v>
      </c>
      <c r="F710" s="11">
        <v>1.328</v>
      </c>
      <c r="G710" s="11">
        <v>0.739</v>
      </c>
      <c r="H710" s="11">
        <v>0.245</v>
      </c>
      <c r="I710" s="11">
        <v>0.181</v>
      </c>
      <c r="J710" s="11">
        <v>0.0</v>
      </c>
      <c r="K710" s="11">
        <v>0.550132765822166</v>
      </c>
      <c r="L710" s="11">
        <v>7.60593843460083</v>
      </c>
      <c r="M710" s="11">
        <v>6.74722107584788</v>
      </c>
      <c r="N710" s="11">
        <v>4.84899997711181</v>
      </c>
      <c r="O710" s="12"/>
      <c r="P710" s="12"/>
      <c r="Q710" s="13" t="s">
        <v>26</v>
      </c>
      <c r="S710" s="14">
        <v>1.01413</v>
      </c>
      <c r="T710" s="14">
        <v>0.591</v>
      </c>
      <c r="U710" s="14">
        <v>0.26248</v>
      </c>
    </row>
    <row r="711">
      <c r="A711" s="15" t="s">
        <v>115</v>
      </c>
      <c r="B711" s="16">
        <v>2020.0</v>
      </c>
      <c r="C711" s="16">
        <v>70.0</v>
      </c>
      <c r="D711" s="16">
        <v>5.607500076</v>
      </c>
      <c r="E711" s="16">
        <v>0.707916796</v>
      </c>
      <c r="F711" s="16">
        <v>0.843313575</v>
      </c>
      <c r="G711" s="16">
        <v>65.01301575</v>
      </c>
      <c r="H711" s="16">
        <v>0.721609175</v>
      </c>
      <c r="I711" s="16">
        <v>-0.037741039</v>
      </c>
      <c r="J711" s="16">
        <v>0.913314283</v>
      </c>
      <c r="K711" s="16">
        <v>0.757006321806902</v>
      </c>
      <c r="L711" s="16">
        <v>7.35360193252563</v>
      </c>
      <c r="M711" s="16">
        <v>2.49965141777896</v>
      </c>
      <c r="N711" s="16">
        <v>3.76597122245362</v>
      </c>
      <c r="O711" s="12"/>
      <c r="P711" s="12"/>
      <c r="Q711" s="17" t="s">
        <v>26</v>
      </c>
      <c r="S711" s="14">
        <v>1.01528</v>
      </c>
      <c r="T711" s="14">
        <v>0.592</v>
      </c>
      <c r="U711" s="14">
        <v>0.263218194</v>
      </c>
    </row>
    <row r="712">
      <c r="A712" s="10" t="s">
        <v>115</v>
      </c>
      <c r="B712" s="11">
        <v>2021.0</v>
      </c>
      <c r="C712" s="11">
        <v>65.0</v>
      </c>
      <c r="D712" s="11">
        <v>5.766</v>
      </c>
      <c r="E712" s="11">
        <v>9.454</v>
      </c>
      <c r="F712" s="11">
        <v>0.857</v>
      </c>
      <c r="G712" s="11">
        <v>65.699</v>
      </c>
      <c r="H712" s="11">
        <v>0.822</v>
      </c>
      <c r="I712" s="11">
        <v>-0.079</v>
      </c>
      <c r="J712" s="11">
        <v>0.918</v>
      </c>
      <c r="K712" s="11">
        <v>1.08</v>
      </c>
      <c r="L712" s="11">
        <v>7.11</v>
      </c>
      <c r="M712" s="11">
        <v>3.32859048176259</v>
      </c>
      <c r="N712" s="11">
        <v>5.10641129002837</v>
      </c>
      <c r="O712" s="12"/>
      <c r="P712" s="12"/>
      <c r="Q712" s="13" t="s">
        <v>26</v>
      </c>
      <c r="S712" s="14">
        <v>1.01905</v>
      </c>
      <c r="T712" s="14">
        <v>0.592</v>
      </c>
      <c r="U712" s="14">
        <v>0.265</v>
      </c>
    </row>
    <row r="713">
      <c r="A713" s="15" t="s">
        <v>115</v>
      </c>
      <c r="B713" s="16">
        <v>2022.0</v>
      </c>
      <c r="C713" s="16">
        <v>62.0</v>
      </c>
      <c r="D713" s="16">
        <v>5.857</v>
      </c>
      <c r="E713" s="16">
        <v>1.417</v>
      </c>
      <c r="F713" s="16">
        <v>1.008</v>
      </c>
      <c r="G713" s="16">
        <v>0.597</v>
      </c>
      <c r="H713" s="16">
        <v>0.561</v>
      </c>
      <c r="I713" s="16">
        <v>0.102</v>
      </c>
      <c r="J713" s="16">
        <v>0.028</v>
      </c>
      <c r="K713" s="16">
        <v>66.961290567063</v>
      </c>
      <c r="L713" s="16">
        <v>29.9323785101021</v>
      </c>
      <c r="M713" s="16">
        <v>19.3714032593077</v>
      </c>
      <c r="N713" s="16">
        <v>28.7372976766236</v>
      </c>
      <c r="O713" s="12"/>
      <c r="P713" s="12"/>
      <c r="Q713" s="17" t="s">
        <v>26</v>
      </c>
      <c r="S713" s="14">
        <v>1.02</v>
      </c>
      <c r="T713" s="14">
        <v>0.59201</v>
      </c>
      <c r="U713" s="14">
        <v>0.265</v>
      </c>
    </row>
    <row r="714">
      <c r="A714" s="10" t="s">
        <v>115</v>
      </c>
      <c r="B714" s="11">
        <v>2023.0</v>
      </c>
      <c r="C714" s="11">
        <v>63.0</v>
      </c>
      <c r="D714" s="11">
        <v>5.819</v>
      </c>
      <c r="E714" s="11">
        <v>9.499</v>
      </c>
      <c r="F714" s="11">
        <v>0.857</v>
      </c>
      <c r="G714" s="11">
        <v>65.299</v>
      </c>
      <c r="H714" s="11">
        <v>0.84</v>
      </c>
      <c r="I714" s="11">
        <v>-0.08</v>
      </c>
      <c r="J714" s="11">
        <v>0.901</v>
      </c>
      <c r="K714" s="11">
        <v>37.5976621483835</v>
      </c>
      <c r="L714" s="11">
        <v>13.1987369125107</v>
      </c>
      <c r="M714" s="11">
        <v>9.29456387256917</v>
      </c>
      <c r="N714" s="11">
        <v>16.8316795584526</v>
      </c>
      <c r="O714" s="12"/>
      <c r="P714" s="12"/>
      <c r="Q714" s="13" t="s">
        <v>26</v>
      </c>
      <c r="S714" s="14">
        <v>1.02152</v>
      </c>
      <c r="T714" s="14">
        <v>0.593</v>
      </c>
      <c r="U714" s="14">
        <v>0.265428066</v>
      </c>
    </row>
    <row r="715">
      <c r="A715" s="15" t="s">
        <v>116</v>
      </c>
      <c r="B715" s="16">
        <v>2015.0</v>
      </c>
      <c r="C715" s="16">
        <v>100.0</v>
      </c>
      <c r="D715" s="16">
        <v>4.874</v>
      </c>
      <c r="E715" s="16">
        <v>0.82819</v>
      </c>
      <c r="F715" s="16">
        <v>1.3006</v>
      </c>
      <c r="G715" s="16">
        <v>0.60268</v>
      </c>
      <c r="H715" s="16">
        <v>0.43626</v>
      </c>
      <c r="I715" s="16">
        <v>0.3323</v>
      </c>
      <c r="J715" s="16">
        <v>0.02666</v>
      </c>
      <c r="K715" s="16">
        <v>10.6675310134887</v>
      </c>
      <c r="L715" s="16">
        <v>1.88486850261688</v>
      </c>
      <c r="M715" s="16">
        <v>1.73301292097656</v>
      </c>
      <c r="N715" s="16">
        <v>6.56247186660766</v>
      </c>
      <c r="O715" s="12"/>
      <c r="P715" s="12"/>
      <c r="Q715" s="17" t="s">
        <v>24</v>
      </c>
      <c r="S715" s="14">
        <v>1.02169</v>
      </c>
      <c r="T715" s="14">
        <v>0.593</v>
      </c>
      <c r="U715" s="14">
        <v>0.266</v>
      </c>
    </row>
    <row r="716">
      <c r="A716" s="10" t="s">
        <v>116</v>
      </c>
      <c r="B716" s="11">
        <v>2016.0</v>
      </c>
      <c r="C716" s="11">
        <v>101.0</v>
      </c>
      <c r="D716" s="11">
        <v>4.907</v>
      </c>
      <c r="E716" s="11">
        <v>0.98853</v>
      </c>
      <c r="F716" s="11">
        <v>1.08983</v>
      </c>
      <c r="G716" s="11">
        <v>0.55469</v>
      </c>
      <c r="H716" s="11">
        <v>0.35972</v>
      </c>
      <c r="I716" s="11">
        <v>0.34539</v>
      </c>
      <c r="J716" s="11">
        <v>0.03285</v>
      </c>
      <c r="K716" s="11">
        <v>1.94950950145721</v>
      </c>
      <c r="L716" s="11">
        <v>-2.89167022705078</v>
      </c>
      <c r="M716" s="11">
        <v>2.22864302684641</v>
      </c>
      <c r="N716" s="11">
        <v>0.724998474121093</v>
      </c>
      <c r="O716" s="12"/>
      <c r="P716" s="12"/>
      <c r="Q716" s="13" t="s">
        <v>24</v>
      </c>
      <c r="S716" s="14">
        <v>1.023</v>
      </c>
      <c r="T716" s="14">
        <v>0.593</v>
      </c>
      <c r="U716" s="14">
        <v>0.266</v>
      </c>
    </row>
    <row r="717">
      <c r="A717" s="15" t="s">
        <v>116</v>
      </c>
      <c r="B717" s="16">
        <v>2017.0</v>
      </c>
      <c r="C717" s="16">
        <v>100.0</v>
      </c>
      <c r="D717" s="16">
        <v>4.954999924</v>
      </c>
      <c r="E717" s="16">
        <v>1.027235866</v>
      </c>
      <c r="F717" s="16">
        <v>1.493011236</v>
      </c>
      <c r="G717" s="16">
        <v>0.557783484</v>
      </c>
      <c r="H717" s="16">
        <v>0.394143969</v>
      </c>
      <c r="I717" s="16">
        <v>0.33846423</v>
      </c>
      <c r="J717" s="16">
        <v>0.032902289</v>
      </c>
      <c r="K717" s="16">
        <v>4.90316247940063</v>
      </c>
      <c r="L717" s="16">
        <v>4.24783325195312</v>
      </c>
      <c r="M717" s="16">
        <v>10.5292415677659</v>
      </c>
      <c r="N717" s="16">
        <v>4.623</v>
      </c>
      <c r="O717" s="12"/>
      <c r="P717" s="16">
        <v>29.4910831451416</v>
      </c>
      <c r="Q717" s="17" t="s">
        <v>24</v>
      </c>
      <c r="S717" s="14">
        <v>1.02507</v>
      </c>
      <c r="T717" s="14">
        <v>0.593361557</v>
      </c>
      <c r="U717" s="14">
        <v>0.27</v>
      </c>
    </row>
    <row r="718">
      <c r="A718" s="10" t="s">
        <v>116</v>
      </c>
      <c r="B718" s="11">
        <v>2018.0</v>
      </c>
      <c r="C718" s="11">
        <v>94.0</v>
      </c>
      <c r="D718" s="11">
        <v>5.125</v>
      </c>
      <c r="E718" s="11">
        <v>0.914</v>
      </c>
      <c r="F718" s="11">
        <v>1.517</v>
      </c>
      <c r="G718" s="11">
        <v>0.575</v>
      </c>
      <c r="H718" s="11">
        <v>0.395</v>
      </c>
      <c r="I718" s="11">
        <v>0.253</v>
      </c>
      <c r="J718" s="11">
        <v>0.032</v>
      </c>
      <c r="K718" s="11">
        <v>13.0278959274292</v>
      </c>
      <c r="L718" s="11">
        <v>6.92295598983764</v>
      </c>
      <c r="M718" s="11">
        <v>8.41185488611093</v>
      </c>
      <c r="N718" s="11">
        <v>6.83</v>
      </c>
      <c r="O718" s="12"/>
      <c r="P718" s="11">
        <v>6.91300344467163</v>
      </c>
      <c r="Q718" s="13" t="s">
        <v>24</v>
      </c>
      <c r="S718" s="14">
        <v>1.02626</v>
      </c>
      <c r="T718" s="14">
        <v>0.594</v>
      </c>
      <c r="U718" s="14">
        <v>0.27</v>
      </c>
    </row>
    <row r="719">
      <c r="A719" s="15" t="s">
        <v>116</v>
      </c>
      <c r="B719" s="16">
        <v>2019.0</v>
      </c>
      <c r="C719" s="16">
        <v>83.0</v>
      </c>
      <c r="D719" s="16">
        <v>5.285</v>
      </c>
      <c r="E719" s="16">
        <v>0.948</v>
      </c>
      <c r="F719" s="16">
        <v>1.531</v>
      </c>
      <c r="G719" s="16">
        <v>0.667</v>
      </c>
      <c r="H719" s="16">
        <v>0.317</v>
      </c>
      <c r="I719" s="16">
        <v>0.235</v>
      </c>
      <c r="J719" s="16">
        <v>0.038</v>
      </c>
      <c r="K719" s="16">
        <v>8.6983995437622</v>
      </c>
      <c r="L719" s="16">
        <v>10.6840190887451</v>
      </c>
      <c r="M719" s="16">
        <v>9.38120070873227</v>
      </c>
      <c r="N719" s="16">
        <v>7.26000022888183</v>
      </c>
      <c r="O719" s="12"/>
      <c r="P719" s="16">
        <v>4.54944705963134</v>
      </c>
      <c r="Q719" s="17" t="s">
        <v>24</v>
      </c>
      <c r="S719" s="14">
        <v>1.029</v>
      </c>
      <c r="T719" s="14">
        <v>0.59444</v>
      </c>
      <c r="U719" s="14">
        <v>0.27</v>
      </c>
    </row>
    <row r="720">
      <c r="A720" s="10" t="s">
        <v>116</v>
      </c>
      <c r="B720" s="11">
        <v>2020.0</v>
      </c>
      <c r="C720" s="11">
        <v>81.0</v>
      </c>
      <c r="D720" s="11">
        <v>5.456200123</v>
      </c>
      <c r="E720" s="11">
        <v>0.904872775</v>
      </c>
      <c r="F720" s="11">
        <v>0.937142491</v>
      </c>
      <c r="G720" s="11">
        <v>62.30448532</v>
      </c>
      <c r="H720" s="11">
        <v>0.693351328</v>
      </c>
      <c r="I720" s="11">
        <v>0.098093867</v>
      </c>
      <c r="J720" s="11">
        <v>0.863511205</v>
      </c>
      <c r="K720" s="11">
        <v>2.92027169626505</v>
      </c>
      <c r="L720" s="11">
        <v>6.64479064941406</v>
      </c>
      <c r="M720" s="11">
        <v>4.72316615140907</v>
      </c>
      <c r="N720" s="11">
        <v>3.69316922767447</v>
      </c>
      <c r="O720" s="12"/>
      <c r="P720" s="11">
        <v>-7.43478870391845</v>
      </c>
      <c r="Q720" s="13" t="s">
        <v>24</v>
      </c>
      <c r="S720" s="14">
        <v>1.029</v>
      </c>
      <c r="T720" s="14">
        <v>0.596</v>
      </c>
      <c r="U720" s="14">
        <v>0.271</v>
      </c>
    </row>
    <row r="721">
      <c r="A721" s="15" t="s">
        <v>116</v>
      </c>
      <c r="B721" s="16">
        <v>2021.0</v>
      </c>
      <c r="C721" s="16">
        <v>70.0</v>
      </c>
      <c r="D721" s="16">
        <v>5.677</v>
      </c>
      <c r="E721" s="16">
        <v>9.4</v>
      </c>
      <c r="F721" s="16">
        <v>0.935</v>
      </c>
      <c r="G721" s="16">
        <v>62.5</v>
      </c>
      <c r="H721" s="16">
        <v>0.708</v>
      </c>
      <c r="I721" s="16">
        <v>0.116</v>
      </c>
      <c r="J721" s="16">
        <v>0.856</v>
      </c>
      <c r="K721" s="16">
        <v>2.35</v>
      </c>
      <c r="L721" s="16">
        <v>13.79</v>
      </c>
      <c r="M721" s="16">
        <v>14.4200654836844</v>
      </c>
      <c r="N721" s="16">
        <v>7.09856418148988</v>
      </c>
      <c r="O721" s="12"/>
      <c r="P721" s="16">
        <v>5.80582524271844</v>
      </c>
      <c r="Q721" s="17" t="s">
        <v>24</v>
      </c>
      <c r="S721" s="14">
        <v>1.02912</v>
      </c>
      <c r="T721" s="14">
        <v>0.59609</v>
      </c>
      <c r="U721" s="14">
        <v>0.272</v>
      </c>
    </row>
    <row r="722">
      <c r="A722" s="10" t="s">
        <v>116</v>
      </c>
      <c r="B722" s="11">
        <v>2022.0</v>
      </c>
      <c r="C722" s="11">
        <v>68.0</v>
      </c>
      <c r="D722" s="11">
        <v>5.761</v>
      </c>
      <c r="E722" s="11">
        <v>1.393</v>
      </c>
      <c r="F722" s="11">
        <v>1.197</v>
      </c>
      <c r="G722" s="11">
        <v>0.467</v>
      </c>
      <c r="H722" s="11">
        <v>0.398</v>
      </c>
      <c r="I722" s="11">
        <v>0.247</v>
      </c>
      <c r="J722" s="11">
        <v>0.059</v>
      </c>
      <c r="K722" s="11">
        <v>14.7604218070167</v>
      </c>
      <c r="L722" s="11">
        <v>18.4489749989035</v>
      </c>
      <c r="M722" s="11">
        <v>13.8922512636784</v>
      </c>
      <c r="N722" s="11">
        <v>15.1479560897225</v>
      </c>
      <c r="O722" s="12"/>
      <c r="P722" s="11">
        <v>31.2694381881507</v>
      </c>
      <c r="Q722" s="13" t="s">
        <v>24</v>
      </c>
      <c r="S722" s="14">
        <v>1.03143</v>
      </c>
      <c r="T722" s="14">
        <v>0.59625</v>
      </c>
      <c r="U722" s="14">
        <v>0.273432255</v>
      </c>
    </row>
    <row r="723">
      <c r="A723" s="15" t="s">
        <v>116</v>
      </c>
      <c r="B723" s="16">
        <v>2023.0</v>
      </c>
      <c r="C723" s="16">
        <v>61.0</v>
      </c>
      <c r="D723" s="16">
        <v>5.84</v>
      </c>
      <c r="E723" s="16">
        <v>9.372</v>
      </c>
      <c r="F723" s="16">
        <v>0.933</v>
      </c>
      <c r="G723" s="16">
        <v>60.5</v>
      </c>
      <c r="H723" s="16">
        <v>0.701</v>
      </c>
      <c r="I723" s="16">
        <v>0.19</v>
      </c>
      <c r="J723" s="16">
        <v>0.849</v>
      </c>
      <c r="K723" s="16">
        <v>7.36211353699268</v>
      </c>
      <c r="L723" s="16">
        <v>15.7838797481832</v>
      </c>
      <c r="M723" s="16">
        <v>21.5331524546071</v>
      </c>
      <c r="N723" s="16">
        <v>10.3475831314339</v>
      </c>
      <c r="O723" s="12"/>
      <c r="P723" s="16">
        <v>2.91243750129832</v>
      </c>
      <c r="Q723" s="17" t="s">
        <v>24</v>
      </c>
      <c r="S723" s="14">
        <v>1.03276</v>
      </c>
      <c r="T723" s="14">
        <v>0.59657</v>
      </c>
      <c r="U723" s="14">
        <v>0.27399</v>
      </c>
    </row>
    <row r="724">
      <c r="A724" s="10" t="s">
        <v>117</v>
      </c>
      <c r="B724" s="11">
        <v>2015.0</v>
      </c>
      <c r="C724" s="11">
        <v>82.0</v>
      </c>
      <c r="D724" s="11">
        <v>5.192</v>
      </c>
      <c r="E724" s="11">
        <v>0.97438</v>
      </c>
      <c r="F724" s="11">
        <v>0.90557</v>
      </c>
      <c r="G724" s="11">
        <v>0.72521</v>
      </c>
      <c r="H724" s="11">
        <v>0.1826</v>
      </c>
      <c r="I724" s="11">
        <v>0.1614</v>
      </c>
      <c r="J724" s="11">
        <v>0.14296</v>
      </c>
      <c r="K724" s="12"/>
      <c r="L724" s="11">
        <v>2.93335461616516</v>
      </c>
      <c r="M724" s="11">
        <v>2.21915028162178</v>
      </c>
      <c r="N724" s="11">
        <v>1.55707824230194</v>
      </c>
      <c r="O724" s="11">
        <v>-1.26865768432617</v>
      </c>
      <c r="P724" s="11">
        <v>0.258264452219009</v>
      </c>
      <c r="Q724" s="13" t="s">
        <v>26</v>
      </c>
      <c r="S724" s="14">
        <v>1.033</v>
      </c>
      <c r="T724" s="14">
        <v>0.596627891</v>
      </c>
      <c r="U724" s="14">
        <v>0.276731938</v>
      </c>
    </row>
    <row r="725">
      <c r="A725" s="15" t="s">
        <v>117</v>
      </c>
      <c r="B725" s="16">
        <v>2016.0</v>
      </c>
      <c r="C725" s="16">
        <v>88.0</v>
      </c>
      <c r="D725" s="16">
        <v>5.161</v>
      </c>
      <c r="E725" s="16">
        <v>1.07838</v>
      </c>
      <c r="F725" s="16">
        <v>0.74173</v>
      </c>
      <c r="G725" s="16">
        <v>0.63533</v>
      </c>
      <c r="H725" s="16">
        <v>0.15111</v>
      </c>
      <c r="I725" s="16">
        <v>0.17191</v>
      </c>
      <c r="J725" s="16">
        <v>0.12721</v>
      </c>
      <c r="K725" s="12"/>
      <c r="L725" s="16">
        <v>-0.824928224086761</v>
      </c>
      <c r="M725" s="16">
        <v>5.1015710421822</v>
      </c>
      <c r="N725" s="16">
        <v>-0.266640394926071</v>
      </c>
      <c r="O725" s="16">
        <v>-0.899150729179382</v>
      </c>
      <c r="P725" s="16">
        <v>-0.406007051467895</v>
      </c>
      <c r="Q725" s="17" t="s">
        <v>26</v>
      </c>
      <c r="S725" s="14">
        <v>1.03516</v>
      </c>
      <c r="T725" s="14">
        <v>0.597</v>
      </c>
      <c r="U725" s="14">
        <v>0.278</v>
      </c>
    </row>
    <row r="726">
      <c r="A726" s="10" t="s">
        <v>117</v>
      </c>
      <c r="B726" s="11">
        <v>2017.0</v>
      </c>
      <c r="C726" s="11">
        <v>83.0</v>
      </c>
      <c r="D726" s="11">
        <v>5.236999989</v>
      </c>
      <c r="E726" s="11">
        <v>1.121129036</v>
      </c>
      <c r="F726" s="11">
        <v>1.238376498</v>
      </c>
      <c r="G726" s="11">
        <v>0.667464674</v>
      </c>
      <c r="H726" s="11">
        <v>0.194989055</v>
      </c>
      <c r="I726" s="11">
        <v>0.197911024</v>
      </c>
      <c r="J726" s="11">
        <v>0.088174194</v>
      </c>
      <c r="K726" s="12"/>
      <c r="L726" s="11">
        <v>1.73080205917358</v>
      </c>
      <c r="M726" s="11">
        <v>3.82456812768636</v>
      </c>
      <c r="N726" s="11">
        <v>2.373</v>
      </c>
      <c r="O726" s="12"/>
      <c r="P726" s="11">
        <v>1.75186657905578</v>
      </c>
      <c r="Q726" s="13" t="s">
        <v>26</v>
      </c>
      <c r="S726" s="14">
        <v>1.03526</v>
      </c>
      <c r="T726" s="14">
        <v>0.597</v>
      </c>
      <c r="U726" s="14">
        <v>0.28</v>
      </c>
    </row>
    <row r="727">
      <c r="A727" s="15" t="s">
        <v>117</v>
      </c>
      <c r="B727" s="16">
        <v>2018.0</v>
      </c>
      <c r="C727" s="16">
        <v>81.0</v>
      </c>
      <c r="D727" s="16">
        <v>5.347</v>
      </c>
      <c r="E727" s="16">
        <v>1.017</v>
      </c>
      <c r="F727" s="16">
        <v>1.279</v>
      </c>
      <c r="G727" s="16">
        <v>0.729</v>
      </c>
      <c r="H727" s="16">
        <v>0.259</v>
      </c>
      <c r="I727" s="16">
        <v>0.111</v>
      </c>
      <c r="J727" s="16">
        <v>0.081</v>
      </c>
      <c r="K727" s="12"/>
      <c r="L727" s="16">
        <v>0.412947595119476</v>
      </c>
      <c r="M727" s="16">
        <v>3.22618922054636</v>
      </c>
      <c r="N727" s="16">
        <v>2.6</v>
      </c>
      <c r="O727" s="12"/>
      <c r="P727" s="16">
        <v>1.75085985660552</v>
      </c>
      <c r="Q727" s="17" t="s">
        <v>26</v>
      </c>
      <c r="S727" s="14">
        <v>1.03817</v>
      </c>
      <c r="T727" s="14">
        <v>0.597</v>
      </c>
      <c r="U727" s="14">
        <v>0.28105</v>
      </c>
    </row>
    <row r="728">
      <c r="A728" s="10" t="s">
        <v>117</v>
      </c>
      <c r="B728" s="11">
        <v>2019.0</v>
      </c>
      <c r="C728" s="11">
        <v>73.0</v>
      </c>
      <c r="D728" s="11">
        <v>5.523</v>
      </c>
      <c r="E728" s="11">
        <v>1.051</v>
      </c>
      <c r="F728" s="11">
        <v>1.361</v>
      </c>
      <c r="G728" s="11">
        <v>0.871</v>
      </c>
      <c r="H728" s="11">
        <v>0.197</v>
      </c>
      <c r="I728" s="11">
        <v>0.142</v>
      </c>
      <c r="J728" s="11">
        <v>0.08</v>
      </c>
      <c r="K728" s="12"/>
      <c r="L728" s="11">
        <v>3.12551403045654</v>
      </c>
      <c r="M728" s="11">
        <v>2.03205824126699</v>
      </c>
      <c r="N728" s="11">
        <v>0.365999996662139</v>
      </c>
      <c r="O728" s="12"/>
      <c r="P728" s="11">
        <v>2.42041230201721</v>
      </c>
      <c r="Q728" s="13" t="s">
        <v>26</v>
      </c>
      <c r="S728" s="14">
        <v>1.03938</v>
      </c>
      <c r="T728" s="14">
        <v>0.598</v>
      </c>
      <c r="U728" s="14">
        <v>0.282</v>
      </c>
    </row>
    <row r="729">
      <c r="A729" s="15" t="s">
        <v>117</v>
      </c>
      <c r="B729" s="16">
        <v>2020.0</v>
      </c>
      <c r="C729" s="16">
        <v>72.0</v>
      </c>
      <c r="D729" s="16">
        <v>5.54610014</v>
      </c>
      <c r="E729" s="16">
        <v>1.010150075</v>
      </c>
      <c r="F729" s="16">
        <v>0.855314612</v>
      </c>
      <c r="G729" s="16">
        <v>68.50534821</v>
      </c>
      <c r="H729" s="16">
        <v>0.649565637</v>
      </c>
      <c r="I729" s="16">
        <v>-0.075600356</v>
      </c>
      <c r="J729" s="16">
        <v>0.783121586</v>
      </c>
      <c r="K729" s="12"/>
      <c r="L729" s="16">
        <v>1.61907804012298</v>
      </c>
      <c r="M729" s="16">
        <v>-0.0225321082542631</v>
      </c>
      <c r="N729" s="16">
        <v>-0.255655699848806</v>
      </c>
      <c r="O729" s="12"/>
      <c r="P729" s="16">
        <v>-0.0356164164841175</v>
      </c>
      <c r="Q729" s="17" t="s">
        <v>26</v>
      </c>
      <c r="S729" s="14">
        <v>1.03999</v>
      </c>
      <c r="T729" s="14">
        <v>0.599</v>
      </c>
      <c r="U729" s="14">
        <v>0.282410324</v>
      </c>
    </row>
    <row r="730">
      <c r="A730" s="10" t="s">
        <v>117</v>
      </c>
      <c r="B730" s="11">
        <v>2021.0</v>
      </c>
      <c r="C730" s="11">
        <v>72.0</v>
      </c>
      <c r="D730" s="11">
        <v>5.581</v>
      </c>
      <c r="E730" s="11">
        <v>9.94</v>
      </c>
      <c r="F730" s="11">
        <v>0.858</v>
      </c>
      <c r="G730" s="11">
        <v>68.699</v>
      </c>
      <c r="H730" s="11">
        <v>0.708</v>
      </c>
      <c r="I730" s="11">
        <v>-0.034</v>
      </c>
      <c r="J730" s="11">
        <v>0.812</v>
      </c>
      <c r="K730" s="12"/>
      <c r="L730" s="11">
        <v>3.54</v>
      </c>
      <c r="M730" s="11">
        <v>5.29359472766997</v>
      </c>
      <c r="N730" s="11">
        <v>2.41080198403167</v>
      </c>
      <c r="O730" s="12"/>
      <c r="P730" s="11">
        <v>1.28574116253097</v>
      </c>
      <c r="Q730" s="13" t="s">
        <v>26</v>
      </c>
      <c r="S730" s="14">
        <v>1.04103</v>
      </c>
      <c r="T730" s="14">
        <v>0.601607382</v>
      </c>
      <c r="U730" s="14">
        <v>0.282661825</v>
      </c>
    </row>
    <row r="731">
      <c r="A731" s="15" t="s">
        <v>117</v>
      </c>
      <c r="B731" s="16">
        <v>2022.0</v>
      </c>
      <c r="C731" s="16">
        <v>75.0</v>
      </c>
      <c r="D731" s="16">
        <v>5.547</v>
      </c>
      <c r="E731" s="16">
        <v>1.573</v>
      </c>
      <c r="F731" s="16">
        <v>1.023</v>
      </c>
      <c r="G731" s="16">
        <v>0.659</v>
      </c>
      <c r="H731" s="16">
        <v>0.46</v>
      </c>
      <c r="I731" s="16">
        <v>0.135</v>
      </c>
      <c r="J731" s="16">
        <v>0.077</v>
      </c>
      <c r="K731" s="12"/>
      <c r="L731" s="16">
        <v>20.9563477449756</v>
      </c>
      <c r="M731" s="16">
        <v>4.72610298728335</v>
      </c>
      <c r="N731" s="16">
        <v>13.0403036347004</v>
      </c>
      <c r="O731" s="12"/>
      <c r="P731" s="16">
        <v>11.1398834144119</v>
      </c>
      <c r="Q731" s="17" t="s">
        <v>26</v>
      </c>
      <c r="S731" s="14">
        <v>1.04167</v>
      </c>
      <c r="T731" s="14">
        <v>0.602126956</v>
      </c>
      <c r="U731" s="14">
        <v>0.283</v>
      </c>
    </row>
    <row r="732">
      <c r="A732" s="10" t="s">
        <v>117</v>
      </c>
      <c r="B732" s="11">
        <v>2023.0</v>
      </c>
      <c r="C732" s="11">
        <v>67.0</v>
      </c>
      <c r="D732" s="11">
        <v>5.722</v>
      </c>
      <c r="E732" s="11">
        <v>9.813</v>
      </c>
      <c r="F732" s="11">
        <v>0.89</v>
      </c>
      <c r="G732" s="11">
        <v>67.1</v>
      </c>
      <c r="H732" s="11">
        <v>0.805</v>
      </c>
      <c r="I732" s="11">
        <v>0.063</v>
      </c>
      <c r="J732" s="11">
        <v>0.844</v>
      </c>
      <c r="K732" s="12"/>
      <c r="L732" s="11">
        <v>10.6581606888323</v>
      </c>
      <c r="M732" s="11">
        <v>9.05854174466853</v>
      </c>
      <c r="N732" s="11">
        <v>8.58476910455403</v>
      </c>
      <c r="O732" s="12"/>
      <c r="P732" s="11">
        <v>6.01952578903467</v>
      </c>
      <c r="Q732" s="13" t="s">
        <v>26</v>
      </c>
      <c r="S732" s="14">
        <v>1.041989803</v>
      </c>
      <c r="T732" s="14">
        <v>0.603</v>
      </c>
      <c r="U732" s="14">
        <v>0.28333</v>
      </c>
    </row>
    <row r="733">
      <c r="A733" s="15" t="s">
        <v>118</v>
      </c>
      <c r="B733" s="16">
        <v>2015.0</v>
      </c>
      <c r="C733" s="16">
        <v>92.0</v>
      </c>
      <c r="D733" s="16">
        <v>5.013</v>
      </c>
      <c r="E733" s="16">
        <v>0.73479</v>
      </c>
      <c r="F733" s="16">
        <v>0.64095</v>
      </c>
      <c r="G733" s="16">
        <v>0.60954</v>
      </c>
      <c r="H733" s="16">
        <v>0.41691</v>
      </c>
      <c r="I733" s="16">
        <v>0.07172</v>
      </c>
      <c r="J733" s="16">
        <v>0.08546</v>
      </c>
      <c r="K733" s="16">
        <v>3.35928916931152</v>
      </c>
      <c r="L733" s="16">
        <v>2.5646378993988</v>
      </c>
      <c r="M733" s="16">
        <v>2.12893049475934</v>
      </c>
      <c r="N733" s="16">
        <v>1.56536531448364</v>
      </c>
      <c r="O733" s="16">
        <v>1.4</v>
      </c>
      <c r="P733" s="16">
        <v>-4.57687044143676</v>
      </c>
      <c r="Q733" s="17" t="s">
        <v>28</v>
      </c>
      <c r="S733" s="14">
        <v>1.043280005</v>
      </c>
      <c r="T733" s="14">
        <v>0.60362</v>
      </c>
      <c r="U733" s="14">
        <v>0.28467</v>
      </c>
    </row>
    <row r="734">
      <c r="A734" s="10" t="s">
        <v>118</v>
      </c>
      <c r="B734" s="11">
        <v>2016.0</v>
      </c>
      <c r="C734" s="11">
        <v>90.0</v>
      </c>
      <c r="D734" s="11">
        <v>5.151</v>
      </c>
      <c r="E734" s="11">
        <v>0.84058</v>
      </c>
      <c r="F734" s="11">
        <v>0.38595</v>
      </c>
      <c r="G734" s="11">
        <v>0.59471</v>
      </c>
      <c r="H734" s="11">
        <v>0.25646</v>
      </c>
      <c r="I734" s="11">
        <v>0.04053</v>
      </c>
      <c r="J734" s="11">
        <v>0.08404</v>
      </c>
      <c r="K734" s="11">
        <v>0.9898082613945</v>
      </c>
      <c r="L734" s="11">
        <v>2.80462455749511</v>
      </c>
      <c r="M734" s="11">
        <v>1.48322123117413</v>
      </c>
      <c r="N734" s="11">
        <v>1.64978432655334</v>
      </c>
      <c r="O734" s="11">
        <v>0.8</v>
      </c>
      <c r="P734" s="11">
        <v>1.60952997207641</v>
      </c>
      <c r="Q734" s="13" t="s">
        <v>28</v>
      </c>
      <c r="S734" s="14">
        <v>1.04356</v>
      </c>
      <c r="T734" s="14">
        <v>0.60365</v>
      </c>
      <c r="U734" s="14">
        <v>0.28551</v>
      </c>
    </row>
    <row r="735">
      <c r="A735" s="15" t="s">
        <v>118</v>
      </c>
      <c r="B735" s="16">
        <v>2017.0</v>
      </c>
      <c r="C735" s="16">
        <v>84.0</v>
      </c>
      <c r="D735" s="16">
        <v>5.235000134</v>
      </c>
      <c r="E735" s="16">
        <v>0.878114581</v>
      </c>
      <c r="F735" s="16">
        <v>0.774864435</v>
      </c>
      <c r="G735" s="16">
        <v>0.597710669</v>
      </c>
      <c r="H735" s="16">
        <v>0.408158332</v>
      </c>
      <c r="I735" s="16">
        <v>0.032209955</v>
      </c>
      <c r="J735" s="16">
        <v>0.087763183</v>
      </c>
      <c r="K735" s="16">
        <v>1.15564572811126</v>
      </c>
      <c r="L735" s="16">
        <v>0.0065721524879336</v>
      </c>
      <c r="M735" s="16">
        <v>0.641169955064075</v>
      </c>
      <c r="N735" s="16">
        <v>0.754</v>
      </c>
      <c r="O735" s="16">
        <v>1.3</v>
      </c>
      <c r="P735" s="16">
        <v>1.67907607555389</v>
      </c>
      <c r="Q735" s="17" t="s">
        <v>28</v>
      </c>
      <c r="S735" s="14">
        <v>1.044</v>
      </c>
      <c r="T735" s="14">
        <v>0.604</v>
      </c>
      <c r="U735" s="14">
        <v>0.28703</v>
      </c>
    </row>
    <row r="736">
      <c r="A736" s="10" t="s">
        <v>118</v>
      </c>
      <c r="B736" s="11">
        <v>2018.0</v>
      </c>
      <c r="C736" s="11">
        <v>85.0</v>
      </c>
      <c r="D736" s="11">
        <v>5.254</v>
      </c>
      <c r="E736" s="11">
        <v>0.779</v>
      </c>
      <c r="F736" s="11">
        <v>0.797</v>
      </c>
      <c r="G736" s="11">
        <v>0.669</v>
      </c>
      <c r="H736" s="11">
        <v>0.46</v>
      </c>
      <c r="I736" s="11">
        <v>0.026</v>
      </c>
      <c r="J736" s="11">
        <v>0.074</v>
      </c>
      <c r="K736" s="11">
        <v>0.867678940296173</v>
      </c>
      <c r="L736" s="11">
        <v>0.946556448936462</v>
      </c>
      <c r="M736" s="11">
        <v>1.08895033062214</v>
      </c>
      <c r="N736" s="11">
        <v>1.79</v>
      </c>
      <c r="O736" s="11">
        <v>1.8</v>
      </c>
      <c r="P736" s="11">
        <v>2.61722707748413</v>
      </c>
      <c r="Q736" s="13" t="s">
        <v>28</v>
      </c>
      <c r="S736" s="14">
        <v>1.04477</v>
      </c>
      <c r="T736" s="14">
        <v>0.604130983</v>
      </c>
      <c r="U736" s="14">
        <v>0.287371516</v>
      </c>
    </row>
    <row r="737">
      <c r="A737" s="15" t="s">
        <v>118</v>
      </c>
      <c r="B737" s="16">
        <v>2019.0</v>
      </c>
      <c r="C737" s="16">
        <v>89.0</v>
      </c>
      <c r="D737" s="16">
        <v>5.208</v>
      </c>
      <c r="E737" s="16">
        <v>0.801</v>
      </c>
      <c r="F737" s="16">
        <v>0.782</v>
      </c>
      <c r="G737" s="16">
        <v>0.782</v>
      </c>
      <c r="H737" s="16">
        <v>0.418</v>
      </c>
      <c r="I737" s="16">
        <v>0.036</v>
      </c>
      <c r="J737" s="16">
        <v>0.076</v>
      </c>
      <c r="K737" s="16">
        <v>0.655058026313781</v>
      </c>
      <c r="L737" s="16">
        <v>-1.36415612697601</v>
      </c>
      <c r="M737" s="16">
        <v>1.33833734598498</v>
      </c>
      <c r="N737" s="16">
        <v>0.239999994635581</v>
      </c>
      <c r="O737" s="16">
        <v>0.583545656283419</v>
      </c>
      <c r="P737" s="16">
        <v>0.508576512336731</v>
      </c>
      <c r="Q737" s="17" t="s">
        <v>28</v>
      </c>
      <c r="S737" s="14">
        <v>1.045</v>
      </c>
      <c r="T737" s="14">
        <v>0.605</v>
      </c>
      <c r="U737" s="14">
        <v>0.29</v>
      </c>
    </row>
    <row r="738">
      <c r="A738" s="10" t="s">
        <v>118</v>
      </c>
      <c r="B738" s="11">
        <v>2020.0</v>
      </c>
      <c r="C738" s="11">
        <v>97.0</v>
      </c>
      <c r="D738" s="11">
        <v>5.094799995</v>
      </c>
      <c r="E738" s="11">
        <v>0.75862211</v>
      </c>
      <c r="F738" s="11">
        <v>0.592628479</v>
      </c>
      <c r="G738" s="11">
        <v>65.89624023</v>
      </c>
      <c r="H738" s="11">
        <v>0.772072434</v>
      </c>
      <c r="I738" s="11">
        <v>-0.240377247</v>
      </c>
      <c r="J738" s="11">
        <v>0.815724611</v>
      </c>
      <c r="K738" s="11">
        <v>0.554700583499497</v>
      </c>
      <c r="L738" s="11">
        <v>0.935817778110504</v>
      </c>
      <c r="M738" s="11">
        <v>0.855111452728669</v>
      </c>
      <c r="N738" s="11">
        <v>0.705968661337714</v>
      </c>
      <c r="O738" s="11">
        <v>0.539303807811703</v>
      </c>
      <c r="P738" s="11">
        <v>-1.87296938896179</v>
      </c>
      <c r="Q738" s="13" t="s">
        <v>28</v>
      </c>
      <c r="S738" s="14">
        <v>1.04685</v>
      </c>
      <c r="T738" s="14">
        <v>0.606</v>
      </c>
      <c r="U738" s="14">
        <v>0.291</v>
      </c>
    </row>
    <row r="739">
      <c r="A739" s="15" t="s">
        <v>118</v>
      </c>
      <c r="B739" s="16">
        <v>2021.0</v>
      </c>
      <c r="C739" s="16">
        <v>106.0</v>
      </c>
      <c r="D739" s="16">
        <v>4.918</v>
      </c>
      <c r="E739" s="16">
        <v>8.903</v>
      </c>
      <c r="F739" s="16">
        <v>0.56</v>
      </c>
      <c r="G739" s="16">
        <v>66.208</v>
      </c>
      <c r="H739" s="16">
        <v>0.774</v>
      </c>
      <c r="I739" s="16">
        <v>-0.236</v>
      </c>
      <c r="J739" s="16">
        <v>0.801</v>
      </c>
      <c r="K739" s="16">
        <v>0.78</v>
      </c>
      <c r="L739" s="16">
        <v>0.59</v>
      </c>
      <c r="M739" s="16">
        <v>3.24424627070862</v>
      </c>
      <c r="N739" s="16">
        <v>1.39882888744304</v>
      </c>
      <c r="O739" s="16">
        <v>1.59297789336803</v>
      </c>
      <c r="P739" s="16">
        <v>5.01519756838906</v>
      </c>
      <c r="Q739" s="17" t="s">
        <v>28</v>
      </c>
      <c r="S739" s="14">
        <v>1.047</v>
      </c>
      <c r="T739" s="14">
        <v>0.606</v>
      </c>
      <c r="U739" s="14">
        <v>0.292</v>
      </c>
    </row>
    <row r="740">
      <c r="A740" s="10" t="s">
        <v>118</v>
      </c>
      <c r="B740" s="11">
        <v>2022.0</v>
      </c>
      <c r="C740" s="11">
        <v>100.0</v>
      </c>
      <c r="D740" s="11">
        <v>5.06</v>
      </c>
      <c r="E740" s="11">
        <v>1.208</v>
      </c>
      <c r="F740" s="11">
        <v>0.268</v>
      </c>
      <c r="G740" s="11">
        <v>0.565</v>
      </c>
      <c r="H740" s="11">
        <v>0.492</v>
      </c>
      <c r="I740" s="11">
        <v>0.02</v>
      </c>
      <c r="J740" s="11">
        <v>0.102</v>
      </c>
      <c r="K740" s="11">
        <v>1.05639096994998</v>
      </c>
      <c r="L740" s="11">
        <v>10.4175150534728</v>
      </c>
      <c r="M740" s="11">
        <v>5.02850046682783</v>
      </c>
      <c r="N740" s="11">
        <v>6.65704202759063</v>
      </c>
      <c r="O740" s="11">
        <v>5.832</v>
      </c>
      <c r="P740" s="11">
        <v>12.7432063032642</v>
      </c>
      <c r="Q740" s="13" t="s">
        <v>28</v>
      </c>
      <c r="S740" s="14">
        <v>1.04782</v>
      </c>
      <c r="T740" s="14">
        <v>0.60834527</v>
      </c>
      <c r="U740" s="14">
        <v>0.295</v>
      </c>
    </row>
    <row r="741">
      <c r="A741" s="15" t="s">
        <v>118</v>
      </c>
      <c r="B741" s="16">
        <v>2023.0</v>
      </c>
      <c r="C741" s="16">
        <v>100.0</v>
      </c>
      <c r="D741" s="16">
        <v>4.903</v>
      </c>
      <c r="E741" s="16">
        <v>8.973</v>
      </c>
      <c r="F741" s="16">
        <v>0.553</v>
      </c>
      <c r="G741" s="16">
        <v>63.901</v>
      </c>
      <c r="H741" s="16">
        <v>0.787</v>
      </c>
      <c r="I741" s="16">
        <v>-0.231</v>
      </c>
      <c r="J741" s="16">
        <v>0.811</v>
      </c>
      <c r="K741" s="16">
        <v>0.989331553169355</v>
      </c>
      <c r="L741" s="16">
        <v>12.9029894490035</v>
      </c>
      <c r="M741" s="16">
        <v>4.20314954109043</v>
      </c>
      <c r="N741" s="16">
        <v>6.09114152504141</v>
      </c>
      <c r="O741" s="12"/>
      <c r="P741" s="12"/>
      <c r="Q741" s="17" t="s">
        <v>28</v>
      </c>
      <c r="S741" s="14">
        <v>1.048</v>
      </c>
      <c r="T741" s="14">
        <v>0.60848</v>
      </c>
      <c r="U741" s="14">
        <v>0.29754</v>
      </c>
    </row>
    <row r="742">
      <c r="A742" s="10" t="s">
        <v>119</v>
      </c>
      <c r="B742" s="11">
        <v>2015.0</v>
      </c>
      <c r="C742" s="11">
        <v>94.0</v>
      </c>
      <c r="D742" s="11">
        <v>4.971</v>
      </c>
      <c r="E742" s="11">
        <v>0.08308</v>
      </c>
      <c r="F742" s="11">
        <v>1.02626</v>
      </c>
      <c r="G742" s="11">
        <v>0.09131</v>
      </c>
      <c r="H742" s="11">
        <v>0.34037</v>
      </c>
      <c r="I742" s="11">
        <v>0.22269</v>
      </c>
      <c r="J742" s="11">
        <v>0.15603</v>
      </c>
      <c r="K742" s="11">
        <v>0.868518710136413</v>
      </c>
      <c r="L742" s="11">
        <v>5.22341394424438</v>
      </c>
      <c r="M742" s="11">
        <v>7.58599999999999</v>
      </c>
      <c r="N742" s="11">
        <v>3.54508519172668</v>
      </c>
      <c r="O742" s="12"/>
      <c r="P742" s="11">
        <v>18.9283199310302</v>
      </c>
      <c r="Q742" s="13" t="s">
        <v>28</v>
      </c>
      <c r="S742" s="14">
        <v>1.04993</v>
      </c>
      <c r="T742" s="14">
        <v>0.60855</v>
      </c>
      <c r="U742" s="14">
        <v>0.298</v>
      </c>
    </row>
    <row r="743">
      <c r="A743" s="15" t="s">
        <v>119</v>
      </c>
      <c r="B743" s="16">
        <v>2017.0</v>
      </c>
      <c r="C743" s="16">
        <v>113.0</v>
      </c>
      <c r="D743" s="16">
        <v>4.550000191</v>
      </c>
      <c r="E743" s="16">
        <v>0.23430565</v>
      </c>
      <c r="F743" s="16">
        <v>0.870701015</v>
      </c>
      <c r="G743" s="16">
        <v>0.106654435</v>
      </c>
      <c r="H743" s="16">
        <v>0.480791092</v>
      </c>
      <c r="I743" s="16">
        <v>0.322228104</v>
      </c>
      <c r="J743" s="16">
        <v>0.179436386</v>
      </c>
      <c r="K743" s="16">
        <v>15.6252880096435</v>
      </c>
      <c r="L743" s="16">
        <v>16.393606185913</v>
      </c>
      <c r="M743" s="16">
        <v>7.64029141693717</v>
      </c>
      <c r="N743" s="16">
        <v>15.113</v>
      </c>
      <c r="O743" s="12"/>
      <c r="P743" s="16">
        <v>20.1080722808837</v>
      </c>
      <c r="Q743" s="17" t="s">
        <v>28</v>
      </c>
      <c r="S743" s="14">
        <v>1.05163</v>
      </c>
      <c r="T743" s="14">
        <v>0.608830452</v>
      </c>
      <c r="U743" s="14">
        <v>0.298388153</v>
      </c>
    </row>
    <row r="744">
      <c r="A744" s="10" t="s">
        <v>119</v>
      </c>
      <c r="B744" s="11">
        <v>2018.0</v>
      </c>
      <c r="C744" s="11">
        <v>123.0</v>
      </c>
      <c r="D744" s="11">
        <v>4.417</v>
      </c>
      <c r="E744" s="11">
        <v>0.198</v>
      </c>
      <c r="F744" s="11">
        <v>0.902</v>
      </c>
      <c r="G744" s="11">
        <v>0.173</v>
      </c>
      <c r="H744" s="11">
        <v>0.531</v>
      </c>
      <c r="I744" s="11">
        <v>0.206</v>
      </c>
      <c r="J744" s="11">
        <v>0.158</v>
      </c>
      <c r="K744" s="11">
        <v>5.48819732666015</v>
      </c>
      <c r="L744" s="11">
        <v>0.0050079701468348</v>
      </c>
      <c r="M744" s="11">
        <v>3.00129896766253</v>
      </c>
      <c r="N744" s="11">
        <v>3.92</v>
      </c>
      <c r="O744" s="12"/>
      <c r="P744" s="11">
        <v>5.86380338668823</v>
      </c>
      <c r="Q744" s="13" t="s">
        <v>28</v>
      </c>
      <c r="S744" s="14">
        <v>1.052</v>
      </c>
      <c r="T744" s="14">
        <v>0.609</v>
      </c>
      <c r="U744" s="14">
        <v>0.29927</v>
      </c>
    </row>
    <row r="745">
      <c r="A745" s="15" t="s">
        <v>119</v>
      </c>
      <c r="B745" s="16">
        <v>2019.0</v>
      </c>
      <c r="C745" s="16">
        <v>123.0</v>
      </c>
      <c r="D745" s="16">
        <v>4.466</v>
      </c>
      <c r="E745" s="16">
        <v>0.204</v>
      </c>
      <c r="F745" s="16">
        <v>0.986</v>
      </c>
      <c r="G745" s="16">
        <v>0.39</v>
      </c>
      <c r="H745" s="16">
        <v>0.494</v>
      </c>
      <c r="I745" s="16">
        <v>0.197</v>
      </c>
      <c r="J745" s="16">
        <v>0.138</v>
      </c>
      <c r="K745" s="16">
        <v>2.40848636627197</v>
      </c>
      <c r="L745" s="16">
        <v>3.28472113609314</v>
      </c>
      <c r="M745" s="16">
        <v>4.45078690797527</v>
      </c>
      <c r="N745" s="16">
        <v>2.78500008583068</v>
      </c>
      <c r="O745" s="12"/>
      <c r="P745" s="16">
        <v>4.31497621536254</v>
      </c>
      <c r="Q745" s="17" t="s">
        <v>28</v>
      </c>
      <c r="S745" s="14">
        <v>1.05249</v>
      </c>
      <c r="T745" s="14">
        <v>0.611100912</v>
      </c>
      <c r="U745" s="14">
        <v>0.30008</v>
      </c>
    </row>
    <row r="746">
      <c r="A746" s="10" t="s">
        <v>119</v>
      </c>
      <c r="B746" s="11">
        <v>2020.0</v>
      </c>
      <c r="C746" s="11">
        <v>120.0</v>
      </c>
      <c r="D746" s="11">
        <v>4.623600006</v>
      </c>
      <c r="E746" s="11">
        <v>0.178741366</v>
      </c>
      <c r="F746" s="11">
        <v>0.723874032</v>
      </c>
      <c r="G746" s="11">
        <v>54.20582199</v>
      </c>
      <c r="H746" s="11">
        <v>0.864451885</v>
      </c>
      <c r="I746" s="11">
        <v>0.032375868</v>
      </c>
      <c r="J746" s="11">
        <v>0.683019102</v>
      </c>
      <c r="K746" s="11">
        <v>-0.469568103551864</v>
      </c>
      <c r="L746" s="11">
        <v>7.59643697738647</v>
      </c>
      <c r="M746" s="11">
        <v>3.80006919486828</v>
      </c>
      <c r="N746" s="11">
        <v>3.63100004196167</v>
      </c>
      <c r="O746" s="12"/>
      <c r="P746" s="11">
        <v>-31.4300542401678</v>
      </c>
      <c r="Q746" s="13" t="s">
        <v>28</v>
      </c>
      <c r="S746" s="14">
        <v>1.05392</v>
      </c>
      <c r="T746" s="14">
        <v>0.612924099</v>
      </c>
      <c r="U746" s="14">
        <v>0.30118373</v>
      </c>
    </row>
    <row r="747">
      <c r="A747" s="15" t="s">
        <v>119</v>
      </c>
      <c r="B747" s="16">
        <v>2021.0</v>
      </c>
      <c r="C747" s="16">
        <v>115.0</v>
      </c>
      <c r="D747" s="16">
        <v>4.794</v>
      </c>
      <c r="E747" s="16">
        <v>7.158</v>
      </c>
      <c r="F747" s="16">
        <v>0.744</v>
      </c>
      <c r="G747" s="16">
        <v>54.706</v>
      </c>
      <c r="H747" s="16">
        <v>0.882</v>
      </c>
      <c r="I747" s="16">
        <v>0.061</v>
      </c>
      <c r="J747" s="16">
        <v>0.684</v>
      </c>
      <c r="K747" s="16">
        <v>5.46</v>
      </c>
      <c r="L747" s="16">
        <v>10.94</v>
      </c>
      <c r="M747" s="16">
        <v>3.53634937358276</v>
      </c>
      <c r="N747" s="16">
        <v>5.68848699126617</v>
      </c>
      <c r="O747" s="12"/>
      <c r="P747" s="16">
        <v>12.0070993132186</v>
      </c>
      <c r="Q747" s="17" t="s">
        <v>28</v>
      </c>
      <c r="S747" s="14">
        <v>1.054</v>
      </c>
      <c r="T747" s="14">
        <v>0.614</v>
      </c>
      <c r="U747" s="14">
        <v>0.302</v>
      </c>
    </row>
    <row r="748">
      <c r="A748" s="10" t="s">
        <v>119</v>
      </c>
      <c r="B748" s="11">
        <v>2022.0</v>
      </c>
      <c r="C748" s="11">
        <v>101.0</v>
      </c>
      <c r="D748" s="11">
        <v>5.048</v>
      </c>
      <c r="E748" s="11">
        <v>0.578</v>
      </c>
      <c r="F748" s="11">
        <v>0.66</v>
      </c>
      <c r="G748" s="11">
        <v>0.191</v>
      </c>
      <c r="H748" s="11">
        <v>0.593</v>
      </c>
      <c r="I748" s="11">
        <v>0.185</v>
      </c>
      <c r="J748" s="11">
        <v>0.2</v>
      </c>
      <c r="K748" s="11">
        <v>6.78192889223542</v>
      </c>
      <c r="L748" s="11">
        <v>12.0729781797306</v>
      </c>
      <c r="M748" s="11">
        <v>2.63627784453904</v>
      </c>
      <c r="N748" s="11">
        <v>10.2794018093421</v>
      </c>
      <c r="O748" s="12"/>
      <c r="P748" s="11">
        <v>21.7399484908078</v>
      </c>
      <c r="Q748" s="13" t="s">
        <v>28</v>
      </c>
      <c r="S748" s="14">
        <v>1.055</v>
      </c>
      <c r="T748" s="14">
        <v>0.61406213</v>
      </c>
      <c r="U748" s="14">
        <v>0.303728431</v>
      </c>
    </row>
    <row r="749">
      <c r="A749" s="15" t="s">
        <v>119</v>
      </c>
      <c r="B749" s="16">
        <v>2023.0</v>
      </c>
      <c r="C749" s="16">
        <v>97.0</v>
      </c>
      <c r="D749" s="16">
        <v>4.954</v>
      </c>
      <c r="E749" s="16">
        <v>7.116</v>
      </c>
      <c r="F749" s="16">
        <v>0.692</v>
      </c>
      <c r="G749" s="16">
        <v>51.53</v>
      </c>
      <c r="H749" s="16">
        <v>0.851</v>
      </c>
      <c r="I749" s="16">
        <v>0.047</v>
      </c>
      <c r="J749" s="16">
        <v>0.66</v>
      </c>
      <c r="K749" s="16">
        <v>6.79623765021462</v>
      </c>
      <c r="L749" s="16">
        <v>10.0274063363106</v>
      </c>
      <c r="M749" s="16">
        <v>9.50152913192357</v>
      </c>
      <c r="N749" s="16">
        <v>7.12697482131851</v>
      </c>
      <c r="O749" s="12"/>
      <c r="P749" s="16">
        <v>-2.36376842536175</v>
      </c>
      <c r="Q749" s="17" t="s">
        <v>28</v>
      </c>
      <c r="S749" s="14">
        <v>1.056</v>
      </c>
      <c r="T749" s="14">
        <v>0.61477</v>
      </c>
      <c r="U749" s="14">
        <v>0.304</v>
      </c>
    </row>
    <row r="750">
      <c r="A750" s="10" t="s">
        <v>120</v>
      </c>
      <c r="B750" s="11">
        <v>2015.0</v>
      </c>
      <c r="C750" s="11">
        <v>129.0</v>
      </c>
      <c r="D750" s="11">
        <v>4.307</v>
      </c>
      <c r="E750" s="11">
        <v>0.27108</v>
      </c>
      <c r="F750" s="11">
        <v>0.70905</v>
      </c>
      <c r="G750" s="11">
        <v>0.48246</v>
      </c>
      <c r="H750" s="11">
        <v>0.44017</v>
      </c>
      <c r="I750" s="11">
        <v>0.79588</v>
      </c>
      <c r="J750" s="11">
        <v>0.19034</v>
      </c>
      <c r="K750" s="11">
        <v>7.9099998474121</v>
      </c>
      <c r="L750" s="11">
        <v>13.0900001525878</v>
      </c>
      <c r="M750" s="11">
        <v>6.28737732954107</v>
      </c>
      <c r="N750" s="11">
        <v>10.043999671936</v>
      </c>
      <c r="O750" s="12"/>
      <c r="P750" s="12"/>
      <c r="Q750" s="12"/>
      <c r="S750" s="14">
        <v>1.05613</v>
      </c>
      <c r="T750" s="14">
        <v>0.61576</v>
      </c>
      <c r="U750" s="14">
        <v>0.306</v>
      </c>
    </row>
    <row r="751">
      <c r="A751" s="15" t="s">
        <v>120</v>
      </c>
      <c r="B751" s="16">
        <v>2016.0</v>
      </c>
      <c r="C751" s="16">
        <v>119.0</v>
      </c>
      <c r="D751" s="16">
        <v>4.395</v>
      </c>
      <c r="E751" s="16">
        <v>0.34112</v>
      </c>
      <c r="F751" s="16">
        <v>0.69981</v>
      </c>
      <c r="G751" s="16">
        <v>0.3988</v>
      </c>
      <c r="H751" s="16">
        <v>0.42692</v>
      </c>
      <c r="I751" s="16">
        <v>0.81971</v>
      </c>
      <c r="J751" s="16">
        <v>0.20243</v>
      </c>
      <c r="K751" s="16">
        <v>5.51000022888183</v>
      </c>
      <c r="L751" s="16">
        <v>9.22999954223632</v>
      </c>
      <c r="M751" s="16">
        <v>5.37290102051014</v>
      </c>
      <c r="N751" s="16">
        <v>6.76499986648559</v>
      </c>
      <c r="O751" s="12"/>
      <c r="P751" s="12"/>
      <c r="Q751" s="12"/>
      <c r="S751" s="14">
        <v>1.058</v>
      </c>
      <c r="T751" s="14">
        <v>0.61583</v>
      </c>
      <c r="U751" s="14">
        <v>0.306</v>
      </c>
    </row>
    <row r="752">
      <c r="A752" s="10" t="s">
        <v>120</v>
      </c>
      <c r="B752" s="11">
        <v>2017.0</v>
      </c>
      <c r="C752" s="11">
        <v>114.0</v>
      </c>
      <c r="D752" s="11">
        <v>4.545000076</v>
      </c>
      <c r="E752" s="11">
        <v>0.36711055</v>
      </c>
      <c r="F752" s="11">
        <v>1.123235941</v>
      </c>
      <c r="G752" s="11">
        <v>0.397522569</v>
      </c>
      <c r="H752" s="11">
        <v>0.514492035</v>
      </c>
      <c r="I752" s="11">
        <v>0.838075161</v>
      </c>
      <c r="J752" s="11">
        <v>0.188816205</v>
      </c>
      <c r="K752" s="11">
        <v>5.01999998092651</v>
      </c>
      <c r="L752" s="11">
        <v>4.37634325027465</v>
      </c>
      <c r="M752" s="11">
        <v>5.44565943599471</v>
      </c>
      <c r="N752" s="11">
        <v>4.622</v>
      </c>
      <c r="O752" s="12"/>
      <c r="P752" s="12"/>
      <c r="Q752" s="12"/>
      <c r="S752" s="14">
        <v>1.06054</v>
      </c>
      <c r="T752" s="14">
        <v>0.617</v>
      </c>
      <c r="U752" s="14">
        <v>0.308</v>
      </c>
    </row>
    <row r="753">
      <c r="A753" s="15" t="s">
        <v>120</v>
      </c>
      <c r="B753" s="16">
        <v>2018.0</v>
      </c>
      <c r="C753" s="16">
        <v>130.0</v>
      </c>
      <c r="D753" s="16">
        <v>4.308</v>
      </c>
      <c r="E753" s="16">
        <v>0.682</v>
      </c>
      <c r="F753" s="16">
        <v>1.174</v>
      </c>
      <c r="G753" s="16">
        <v>0.429</v>
      </c>
      <c r="H753" s="16">
        <v>0.58</v>
      </c>
      <c r="I753" s="16">
        <v>0.598</v>
      </c>
      <c r="J753" s="16">
        <v>0.178</v>
      </c>
      <c r="K753" s="16">
        <v>7.81916284561157</v>
      </c>
      <c r="L753" s="16">
        <v>6.58060503005981</v>
      </c>
      <c r="M753" s="16">
        <v>6.26521865850497</v>
      </c>
      <c r="N753" s="16">
        <v>6.0</v>
      </c>
      <c r="O753" s="12"/>
      <c r="P753" s="12"/>
      <c r="Q753" s="12"/>
      <c r="S753" s="14">
        <v>1.06411</v>
      </c>
      <c r="T753" s="14">
        <v>0.617</v>
      </c>
      <c r="U753" s="14">
        <v>0.30826</v>
      </c>
    </row>
    <row r="754">
      <c r="A754" s="10" t="s">
        <v>120</v>
      </c>
      <c r="B754" s="11">
        <v>2019.0</v>
      </c>
      <c r="C754" s="11">
        <v>131.0</v>
      </c>
      <c r="D754" s="11">
        <v>4.36</v>
      </c>
      <c r="E754" s="11">
        <v>0.71</v>
      </c>
      <c r="F754" s="11">
        <v>1.181</v>
      </c>
      <c r="G754" s="11">
        <v>0.555</v>
      </c>
      <c r="H754" s="11">
        <v>0.525</v>
      </c>
      <c r="I754" s="11">
        <v>0.566</v>
      </c>
      <c r="J754" s="11">
        <v>0.172</v>
      </c>
      <c r="K754" s="11">
        <v>18.8441791534423</v>
      </c>
      <c r="L754" s="11">
        <v>9.00954055786132</v>
      </c>
      <c r="M754" s="11">
        <v>7.64571987842683</v>
      </c>
      <c r="N754" s="11">
        <v>8.6269998550415</v>
      </c>
      <c r="O754" s="12"/>
      <c r="P754" s="12"/>
      <c r="Q754" s="12"/>
      <c r="S754" s="14">
        <v>1.06612</v>
      </c>
      <c r="T754" s="14">
        <v>0.617</v>
      </c>
      <c r="U754" s="14">
        <v>0.30844</v>
      </c>
    </row>
    <row r="755">
      <c r="A755" s="15" t="s">
        <v>120</v>
      </c>
      <c r="B755" s="16">
        <v>2020.0</v>
      </c>
      <c r="C755" s="16">
        <v>133.0</v>
      </c>
      <c r="D755" s="16">
        <v>4.308000088</v>
      </c>
      <c r="E755" s="16">
        <v>0.67809093</v>
      </c>
      <c r="F755" s="16">
        <v>0.78440702</v>
      </c>
      <c r="G755" s="16">
        <v>58.96171188</v>
      </c>
      <c r="H755" s="16">
        <v>0.895075202</v>
      </c>
      <c r="I755" s="16">
        <v>0.560663998</v>
      </c>
      <c r="J755" s="16">
        <v>0.645124316</v>
      </c>
      <c r="K755" s="16">
        <v>17.3663132786871</v>
      </c>
      <c r="L755" s="16">
        <v>3.04743520510524</v>
      </c>
      <c r="M755" s="16">
        <v>5.9751170885808</v>
      </c>
      <c r="N755" s="16">
        <v>6.11299991607666</v>
      </c>
      <c r="O755" s="12"/>
      <c r="P755" s="12"/>
      <c r="Q755" s="12"/>
      <c r="S755" s="14">
        <v>1.067950726</v>
      </c>
      <c r="T755" s="14">
        <v>0.61777</v>
      </c>
      <c r="U755" s="14">
        <v>0.31</v>
      </c>
    </row>
    <row r="756">
      <c r="A756" s="10" t="s">
        <v>120</v>
      </c>
      <c r="B756" s="11">
        <v>2021.0</v>
      </c>
      <c r="C756" s="11">
        <v>126.0</v>
      </c>
      <c r="D756" s="11">
        <v>4.426</v>
      </c>
      <c r="E756" s="11">
        <v>8.541</v>
      </c>
      <c r="F756" s="11">
        <v>0.779</v>
      </c>
      <c r="G756" s="11">
        <v>59.302</v>
      </c>
      <c r="H756" s="11">
        <v>0.876</v>
      </c>
      <c r="I756" s="11">
        <v>0.509</v>
      </c>
      <c r="J756" s="11">
        <v>0.66</v>
      </c>
      <c r="K756" s="11">
        <v>3.5052812353892</v>
      </c>
      <c r="L756" s="11">
        <v>5.61296286889752</v>
      </c>
      <c r="M756" s="11">
        <v>4.80255500360397</v>
      </c>
      <c r="N756" s="11">
        <v>5.026</v>
      </c>
      <c r="O756" s="12"/>
      <c r="P756" s="12"/>
      <c r="Q756" s="12"/>
      <c r="S756" s="14">
        <v>1.068</v>
      </c>
      <c r="T756" s="14">
        <v>0.617950857</v>
      </c>
      <c r="U756" s="14">
        <v>0.3118</v>
      </c>
    </row>
    <row r="757">
      <c r="A757" s="15" t="s">
        <v>120</v>
      </c>
      <c r="B757" s="16">
        <v>2022.0</v>
      </c>
      <c r="C757" s="16">
        <v>126.0</v>
      </c>
      <c r="D757" s="16">
        <v>4.394</v>
      </c>
      <c r="E757" s="16">
        <v>1.038</v>
      </c>
      <c r="F757" s="16">
        <v>0.829</v>
      </c>
      <c r="G757" s="16">
        <v>0.491</v>
      </c>
      <c r="H757" s="16">
        <v>0.513</v>
      </c>
      <c r="I757" s="16">
        <v>0.452</v>
      </c>
      <c r="J757" s="16">
        <v>0.194</v>
      </c>
      <c r="K757" s="16">
        <v>10.9683094402289</v>
      </c>
      <c r="L757" s="16">
        <v>14.9084545153992</v>
      </c>
      <c r="M757" s="16">
        <v>4.44185154401893</v>
      </c>
      <c r="N757" s="16">
        <v>16.225</v>
      </c>
      <c r="O757" s="12"/>
      <c r="P757" s="12"/>
      <c r="Q757" s="12"/>
      <c r="S757" s="14">
        <v>1.069</v>
      </c>
      <c r="T757" s="14">
        <v>0.618</v>
      </c>
      <c r="U757" s="14">
        <v>0.31329</v>
      </c>
    </row>
    <row r="758">
      <c r="A758" s="10" t="s">
        <v>120</v>
      </c>
      <c r="B758" s="11">
        <v>2023.0</v>
      </c>
      <c r="C758" s="11">
        <v>117.0</v>
      </c>
      <c r="D758" s="11">
        <v>4.372</v>
      </c>
      <c r="E758" s="11">
        <v>8.404</v>
      </c>
      <c r="F758" s="11">
        <v>0.787</v>
      </c>
      <c r="G758" s="11">
        <v>61.388</v>
      </c>
      <c r="H758" s="11">
        <v>0.727</v>
      </c>
      <c r="I758" s="11">
        <v>0.491</v>
      </c>
      <c r="J758" s="11">
        <v>0.658</v>
      </c>
      <c r="K758" s="12"/>
      <c r="L758" s="12"/>
      <c r="M758" s="11">
        <v>18.100053254788</v>
      </c>
      <c r="N758" s="11">
        <v>27.1</v>
      </c>
      <c r="O758" s="12"/>
      <c r="P758" s="12"/>
      <c r="Q758" s="12"/>
      <c r="S758" s="14">
        <v>1.069335938</v>
      </c>
      <c r="T758" s="14">
        <v>0.619</v>
      </c>
      <c r="U758" s="14">
        <v>0.315963835</v>
      </c>
    </row>
    <row r="759">
      <c r="A759" s="15" t="s">
        <v>121</v>
      </c>
      <c r="B759" s="16">
        <v>2016.0</v>
      </c>
      <c r="C759" s="16">
        <v>113.0</v>
      </c>
      <c r="D759" s="16">
        <v>4.574</v>
      </c>
      <c r="E759" s="16">
        <v>0.93287</v>
      </c>
      <c r="F759" s="16">
        <v>0.70362</v>
      </c>
      <c r="G759" s="16">
        <v>0.34745</v>
      </c>
      <c r="H759" s="16">
        <v>0.48614</v>
      </c>
      <c r="I759" s="16">
        <v>0.07795</v>
      </c>
      <c r="J759" s="16">
        <v>0.10398</v>
      </c>
      <c r="K759" s="16">
        <v>7.68935251235961</v>
      </c>
      <c r="L759" s="16">
        <v>10.765414237976</v>
      </c>
      <c r="M759" s="16">
        <v>7.96872388768192</v>
      </c>
      <c r="N759" s="16">
        <v>6.68496656417846</v>
      </c>
      <c r="O759" s="12"/>
      <c r="P759" s="12"/>
      <c r="Q759" s="17" t="s">
        <v>28</v>
      </c>
      <c r="S759" s="14">
        <v>1.07023</v>
      </c>
      <c r="T759" s="14">
        <v>0.62</v>
      </c>
      <c r="U759" s="14">
        <v>0.316</v>
      </c>
    </row>
    <row r="760">
      <c r="A760" s="10" t="s">
        <v>121</v>
      </c>
      <c r="B760" s="11">
        <v>2017.0</v>
      </c>
      <c r="C760" s="11">
        <v>111.0</v>
      </c>
      <c r="D760" s="11">
        <v>4.573999882</v>
      </c>
      <c r="E760" s="11">
        <v>0.964434326</v>
      </c>
      <c r="F760" s="11">
        <v>1.098470807</v>
      </c>
      <c r="G760" s="11">
        <v>0.338611811</v>
      </c>
      <c r="H760" s="11">
        <v>0.520303547</v>
      </c>
      <c r="I760" s="11">
        <v>0.077133745</v>
      </c>
      <c r="J760" s="11">
        <v>0.093146972</v>
      </c>
      <c r="K760" s="11">
        <v>9.17529010772705</v>
      </c>
      <c r="L760" s="11">
        <v>5.60496759414672</v>
      </c>
      <c r="M760" s="11">
        <v>9.91905100642848</v>
      </c>
      <c r="N760" s="11">
        <v>6.147</v>
      </c>
      <c r="O760" s="12"/>
      <c r="P760" s="12"/>
      <c r="Q760" s="13" t="s">
        <v>28</v>
      </c>
      <c r="S760" s="14">
        <v>1.07284</v>
      </c>
      <c r="T760" s="14">
        <v>0.620070577</v>
      </c>
      <c r="U760" s="14">
        <v>0.31814</v>
      </c>
    </row>
    <row r="761">
      <c r="A761" s="15" t="s">
        <v>121</v>
      </c>
      <c r="B761" s="16">
        <v>2018.0</v>
      </c>
      <c r="C761" s="16">
        <v>119.0</v>
      </c>
      <c r="D761" s="16">
        <v>4.441</v>
      </c>
      <c r="E761" s="16">
        <v>0.874</v>
      </c>
      <c r="F761" s="16">
        <v>1.281</v>
      </c>
      <c r="G761" s="16">
        <v>0.365</v>
      </c>
      <c r="H761" s="16">
        <v>0.519</v>
      </c>
      <c r="I761" s="16">
        <v>0.051</v>
      </c>
      <c r="J761" s="16">
        <v>0.064</v>
      </c>
      <c r="K761" s="16">
        <v>3.51863694190979</v>
      </c>
      <c r="L761" s="16">
        <v>3.18085408210754</v>
      </c>
      <c r="M761" s="16">
        <v>4.35872929318956</v>
      </c>
      <c r="N761" s="16">
        <v>4.28</v>
      </c>
      <c r="O761" s="12"/>
      <c r="P761" s="12"/>
      <c r="Q761" s="17" t="s">
        <v>28</v>
      </c>
      <c r="S761" s="14">
        <v>1.07772</v>
      </c>
      <c r="T761" s="14">
        <v>0.621</v>
      </c>
      <c r="U761" s="14">
        <v>0.3188</v>
      </c>
    </row>
    <row r="762">
      <c r="A762" s="10" t="s">
        <v>121</v>
      </c>
      <c r="B762" s="11">
        <v>2019.0</v>
      </c>
      <c r="C762" s="11">
        <v>113.0</v>
      </c>
      <c r="D762" s="11">
        <v>4.639</v>
      </c>
      <c r="E762" s="11">
        <v>0.879</v>
      </c>
      <c r="F762" s="11">
        <v>1.313</v>
      </c>
      <c r="G762" s="11">
        <v>0.477</v>
      </c>
      <c r="H762" s="11">
        <v>0.401</v>
      </c>
      <c r="I762" s="11">
        <v>0.07</v>
      </c>
      <c r="J762" s="11">
        <v>0.056</v>
      </c>
      <c r="K762" s="11">
        <v>2.0659589767456</v>
      </c>
      <c r="L762" s="11">
        <v>4.29829692840576</v>
      </c>
      <c r="M762" s="11">
        <v>1.80296570632904</v>
      </c>
      <c r="N762" s="11">
        <v>3.72099995613098</v>
      </c>
      <c r="O762" s="12"/>
      <c r="P762" s="12"/>
      <c r="Q762" s="13" t="s">
        <v>28</v>
      </c>
      <c r="S762" s="14">
        <v>1.078</v>
      </c>
      <c r="T762" s="14">
        <v>0.622</v>
      </c>
      <c r="U762" s="14">
        <v>0.318834424</v>
      </c>
    </row>
    <row r="763">
      <c r="A763" s="15" t="s">
        <v>121</v>
      </c>
      <c r="B763" s="16">
        <v>2020.0</v>
      </c>
      <c r="C763" s="16">
        <v>122.0</v>
      </c>
      <c r="D763" s="16">
        <v>4.571100235</v>
      </c>
      <c r="E763" s="16">
        <v>0.84008199</v>
      </c>
      <c r="F763" s="16">
        <v>0.846880972</v>
      </c>
      <c r="G763" s="16">
        <v>56.50148773</v>
      </c>
      <c r="H763" s="16">
        <v>0.767520964</v>
      </c>
      <c r="I763" s="16">
        <v>-0.18530646</v>
      </c>
      <c r="J763" s="16">
        <v>0.851449788</v>
      </c>
      <c r="K763" s="16">
        <v>-0.985014224675686</v>
      </c>
      <c r="L763" s="16">
        <v>5.21900701522827</v>
      </c>
      <c r="M763" s="16">
        <v>3.46310579675403</v>
      </c>
      <c r="N763" s="16">
        <v>2.20938236933468</v>
      </c>
      <c r="O763" s="12"/>
      <c r="P763" s="12"/>
      <c r="Q763" s="17" t="s">
        <v>28</v>
      </c>
      <c r="S763" s="14">
        <v>1.078</v>
      </c>
      <c r="T763" s="14">
        <v>0.622</v>
      </c>
      <c r="U763" s="14">
        <v>0.32067</v>
      </c>
    </row>
    <row r="764">
      <c r="A764" s="10" t="s">
        <v>121</v>
      </c>
      <c r="B764" s="11">
        <v>2021.0</v>
      </c>
      <c r="C764" s="11">
        <v>124.0</v>
      </c>
      <c r="D764" s="11">
        <v>4.574</v>
      </c>
      <c r="E764" s="11">
        <v>9.161</v>
      </c>
      <c r="F764" s="11">
        <v>0.818</v>
      </c>
      <c r="G764" s="11">
        <v>56.799</v>
      </c>
      <c r="H764" s="11">
        <v>0.719</v>
      </c>
      <c r="I764" s="11">
        <v>-0.149</v>
      </c>
      <c r="J764" s="11">
        <v>0.847</v>
      </c>
      <c r="K764" s="11">
        <v>1.26</v>
      </c>
      <c r="L764" s="11">
        <v>5.73</v>
      </c>
      <c r="M764" s="11">
        <v>1.73329505127085</v>
      </c>
      <c r="N764" s="11">
        <v>3.61690530108811</v>
      </c>
      <c r="O764" s="12"/>
      <c r="P764" s="12"/>
      <c r="Q764" s="13" t="s">
        <v>28</v>
      </c>
      <c r="S764" s="14">
        <v>1.0786</v>
      </c>
      <c r="T764" s="14">
        <v>0.623</v>
      </c>
      <c r="U764" s="14">
        <v>0.321</v>
      </c>
    </row>
    <row r="765">
      <c r="A765" s="15" t="s">
        <v>121</v>
      </c>
      <c r="B765" s="16">
        <v>2022.0</v>
      </c>
      <c r="C765" s="16">
        <v>124.0</v>
      </c>
      <c r="D765" s="16">
        <v>4.459</v>
      </c>
      <c r="E765" s="16">
        <v>1.292</v>
      </c>
      <c r="F765" s="16">
        <v>0.877</v>
      </c>
      <c r="G765" s="16">
        <v>0.354</v>
      </c>
      <c r="H765" s="16">
        <v>0.384</v>
      </c>
      <c r="I765" s="16">
        <v>0.067</v>
      </c>
      <c r="J765" s="16">
        <v>0.071</v>
      </c>
      <c r="K765" s="16">
        <v>1.75834488886474</v>
      </c>
      <c r="L765" s="16">
        <v>6.981515491897</v>
      </c>
      <c r="M765" s="16">
        <v>1.73299886812076</v>
      </c>
      <c r="N765" s="16">
        <v>6.08128114112414</v>
      </c>
      <c r="O765" s="12"/>
      <c r="P765" s="12"/>
      <c r="Q765" s="17" t="s">
        <v>28</v>
      </c>
      <c r="S765" s="14">
        <v>1.08</v>
      </c>
      <c r="T765" s="14">
        <v>0.62433</v>
      </c>
      <c r="U765" s="14">
        <v>0.32331</v>
      </c>
    </row>
    <row r="766">
      <c r="A766" s="10" t="s">
        <v>121</v>
      </c>
      <c r="B766" s="11">
        <v>2023.0</v>
      </c>
      <c r="C766" s="11">
        <v>105.0</v>
      </c>
      <c r="D766" s="11">
        <v>4.631</v>
      </c>
      <c r="E766" s="11">
        <v>9.121</v>
      </c>
      <c r="F766" s="11">
        <v>0.787</v>
      </c>
      <c r="G766" s="11">
        <v>56.851</v>
      </c>
      <c r="H766" s="11">
        <v>0.669</v>
      </c>
      <c r="I766" s="11">
        <v>-0.126</v>
      </c>
      <c r="J766" s="11">
        <v>0.83</v>
      </c>
      <c r="K766" s="11">
        <v>2.92483194045882</v>
      </c>
      <c r="L766" s="11">
        <v>11.3111799104627</v>
      </c>
      <c r="M766" s="11">
        <v>6.9560537865869</v>
      </c>
      <c r="N766" s="11">
        <v>5.87993463284275</v>
      </c>
      <c r="O766" s="12"/>
      <c r="P766" s="12"/>
      <c r="Q766" s="13" t="s">
        <v>28</v>
      </c>
      <c r="S766" s="14">
        <v>1.081</v>
      </c>
      <c r="T766" s="14">
        <v>0.625</v>
      </c>
      <c r="U766" s="14">
        <v>0.324489564</v>
      </c>
    </row>
    <row r="767">
      <c r="A767" s="15" t="s">
        <v>122</v>
      </c>
      <c r="B767" s="16">
        <v>2015.0</v>
      </c>
      <c r="C767" s="16">
        <v>121.0</v>
      </c>
      <c r="D767" s="16">
        <v>4.514</v>
      </c>
      <c r="E767" s="16">
        <v>0.35997</v>
      </c>
      <c r="F767" s="16">
        <v>0.86449</v>
      </c>
      <c r="G767" s="16">
        <v>0.56874</v>
      </c>
      <c r="H767" s="16">
        <v>0.38282</v>
      </c>
      <c r="I767" s="16">
        <v>0.32296</v>
      </c>
      <c r="J767" s="16">
        <v>0.05907</v>
      </c>
      <c r="K767" s="12"/>
      <c r="L767" s="12"/>
      <c r="M767" s="16">
        <v>4.40859093571239</v>
      </c>
      <c r="N767" s="16">
        <v>7.21199989318847</v>
      </c>
      <c r="O767" s="12"/>
      <c r="P767" s="12"/>
      <c r="Q767" s="17" t="s">
        <v>24</v>
      </c>
      <c r="S767" s="14">
        <v>1.08113</v>
      </c>
      <c r="T767" s="14">
        <v>0.62545</v>
      </c>
      <c r="U767" s="14">
        <v>0.32524</v>
      </c>
    </row>
    <row r="768">
      <c r="A768" s="10" t="s">
        <v>122</v>
      </c>
      <c r="B768" s="11">
        <v>2016.0</v>
      </c>
      <c r="C768" s="11">
        <v>107.0</v>
      </c>
      <c r="D768" s="11">
        <v>4.793</v>
      </c>
      <c r="E768" s="11">
        <v>0.44626</v>
      </c>
      <c r="F768" s="11">
        <v>0.69699</v>
      </c>
      <c r="G768" s="11">
        <v>0.50073</v>
      </c>
      <c r="H768" s="11">
        <v>0.37012</v>
      </c>
      <c r="I768" s="11">
        <v>0.3816</v>
      </c>
      <c r="J768" s="11">
        <v>0.07008</v>
      </c>
      <c r="K768" s="12"/>
      <c r="L768" s="12"/>
      <c r="M768" s="11">
        <v>7.15087061427099</v>
      </c>
      <c r="N768" s="11">
        <v>9.93200016021728</v>
      </c>
      <c r="O768" s="12"/>
      <c r="P768" s="12"/>
      <c r="Q768" s="13" t="s">
        <v>24</v>
      </c>
      <c r="S768" s="14">
        <v>1.081417799</v>
      </c>
      <c r="T768" s="14">
        <v>0.626</v>
      </c>
      <c r="U768" s="14">
        <v>0.32524</v>
      </c>
    </row>
    <row r="769">
      <c r="A769" s="15" t="s">
        <v>122</v>
      </c>
      <c r="B769" s="16">
        <v>2017.0</v>
      </c>
      <c r="C769" s="16">
        <v>99.0</v>
      </c>
      <c r="D769" s="16">
        <v>4.961999893</v>
      </c>
      <c r="E769" s="16">
        <v>0.479820192</v>
      </c>
      <c r="F769" s="16">
        <v>1.179283261</v>
      </c>
      <c r="G769" s="16">
        <v>0.504130781</v>
      </c>
      <c r="H769" s="16">
        <v>0.440305948</v>
      </c>
      <c r="I769" s="16">
        <v>0.394096166</v>
      </c>
      <c r="J769" s="16">
        <v>0.072975546</v>
      </c>
      <c r="K769" s="12"/>
      <c r="L769" s="16">
        <v>2.56993006993006</v>
      </c>
      <c r="M769" s="16">
        <v>8.26138091276785</v>
      </c>
      <c r="N769" s="16">
        <v>4.454</v>
      </c>
      <c r="O769" s="12"/>
      <c r="P769" s="12"/>
      <c r="Q769" s="17" t="s">
        <v>24</v>
      </c>
      <c r="S769" s="14">
        <v>1.08182</v>
      </c>
      <c r="T769" s="14">
        <v>0.626006722</v>
      </c>
      <c r="U769" s="14">
        <v>0.329</v>
      </c>
    </row>
    <row r="770">
      <c r="A770" s="10" t="s">
        <v>122</v>
      </c>
      <c r="B770" s="11">
        <v>2018.0</v>
      </c>
      <c r="C770" s="11">
        <v>101.0</v>
      </c>
      <c r="D770" s="11">
        <v>4.88</v>
      </c>
      <c r="E770" s="11">
        <v>0.425</v>
      </c>
      <c r="F770" s="11">
        <v>1.228</v>
      </c>
      <c r="G770" s="11">
        <v>0.539</v>
      </c>
      <c r="H770" s="11">
        <v>0.526</v>
      </c>
      <c r="I770" s="11">
        <v>0.302</v>
      </c>
      <c r="J770" s="11">
        <v>0.078</v>
      </c>
      <c r="K770" s="11">
        <v>7.58695536380103</v>
      </c>
      <c r="L770" s="11">
        <v>2.76476727552973</v>
      </c>
      <c r="M770" s="11">
        <v>4.35534299568108</v>
      </c>
      <c r="N770" s="11">
        <v>4.15</v>
      </c>
      <c r="O770" s="12"/>
      <c r="P770" s="12"/>
      <c r="Q770" s="13" t="s">
        <v>24</v>
      </c>
      <c r="S770" s="14">
        <v>1.08268</v>
      </c>
      <c r="T770" s="14">
        <v>0.626350224</v>
      </c>
      <c r="U770" s="14">
        <v>0.329</v>
      </c>
    </row>
    <row r="771">
      <c r="A771" s="15" t="s">
        <v>122</v>
      </c>
      <c r="B771" s="16">
        <v>2019.0</v>
      </c>
      <c r="C771" s="16">
        <v>100.0</v>
      </c>
      <c r="D771" s="16">
        <v>4.913</v>
      </c>
      <c r="E771" s="16">
        <v>0.446</v>
      </c>
      <c r="F771" s="16">
        <v>1.226</v>
      </c>
      <c r="G771" s="16">
        <v>0.677</v>
      </c>
      <c r="H771" s="16">
        <v>0.439</v>
      </c>
      <c r="I771" s="16">
        <v>0.285</v>
      </c>
      <c r="J771" s="16">
        <v>0.089</v>
      </c>
      <c r="K771" s="16">
        <v>6.54755640029907</v>
      </c>
      <c r="L771" s="16">
        <v>5.63322114944458</v>
      </c>
      <c r="M771" s="16">
        <v>4.69344098921537</v>
      </c>
      <c r="N771" s="16">
        <v>4.63899993896484</v>
      </c>
      <c r="O771" s="12"/>
      <c r="P771" s="12"/>
      <c r="Q771" s="17" t="s">
        <v>24</v>
      </c>
      <c r="S771" s="14">
        <v>1.083095908</v>
      </c>
      <c r="T771" s="14">
        <v>0.627</v>
      </c>
      <c r="U771" s="14">
        <v>0.32957</v>
      </c>
    </row>
    <row r="772">
      <c r="A772" s="10" t="s">
        <v>122</v>
      </c>
      <c r="B772" s="11">
        <v>2020.0</v>
      </c>
      <c r="C772" s="11">
        <v>92.0</v>
      </c>
      <c r="D772" s="11">
        <v>5.137199879</v>
      </c>
      <c r="E772" s="11">
        <v>0.444050372</v>
      </c>
      <c r="F772" s="11">
        <v>0.785512447</v>
      </c>
      <c r="G772" s="11">
        <v>63.77917862</v>
      </c>
      <c r="H772" s="11">
        <v>0.797565043</v>
      </c>
      <c r="I772" s="11">
        <v>0.154168829</v>
      </c>
      <c r="J772" s="11">
        <v>0.738099158</v>
      </c>
      <c r="K772" s="11">
        <v>2.81354731162187</v>
      </c>
      <c r="L772" s="11">
        <v>7.22025299072265</v>
      </c>
      <c r="M772" s="11">
        <v>4.14895745545161</v>
      </c>
      <c r="N772" s="11">
        <v>5.05236655289213</v>
      </c>
      <c r="O772" s="12"/>
      <c r="P772" s="12"/>
      <c r="Q772" s="13" t="s">
        <v>24</v>
      </c>
      <c r="S772" s="14">
        <v>1.08383</v>
      </c>
      <c r="T772" s="14">
        <v>0.627</v>
      </c>
      <c r="U772" s="14">
        <v>0.333</v>
      </c>
    </row>
    <row r="773">
      <c r="A773" s="15" t="s">
        <v>122</v>
      </c>
      <c r="B773" s="16">
        <v>2021.0</v>
      </c>
      <c r="C773" s="16">
        <v>87.0</v>
      </c>
      <c r="D773" s="16">
        <v>5.269</v>
      </c>
      <c r="E773" s="16">
        <v>8.12</v>
      </c>
      <c r="F773" s="16">
        <v>0.774</v>
      </c>
      <c r="G773" s="16">
        <v>64.233</v>
      </c>
      <c r="H773" s="16">
        <v>0.782</v>
      </c>
      <c r="I773" s="16">
        <v>0.152</v>
      </c>
      <c r="J773" s="16">
        <v>0.727</v>
      </c>
      <c r="K773" s="16">
        <v>2.4</v>
      </c>
      <c r="L773" s="16">
        <v>4.08</v>
      </c>
      <c r="M773" s="16">
        <v>5.51197147848826</v>
      </c>
      <c r="N773" s="16">
        <v>3.599</v>
      </c>
      <c r="O773" s="12"/>
      <c r="P773" s="12"/>
      <c r="Q773" s="17" t="s">
        <v>24</v>
      </c>
      <c r="S773" s="14">
        <v>1.08393</v>
      </c>
      <c r="T773" s="14">
        <v>0.627162635</v>
      </c>
      <c r="U773" s="14">
        <v>0.338</v>
      </c>
    </row>
    <row r="774">
      <c r="A774" s="10" t="s">
        <v>122</v>
      </c>
      <c r="B774" s="11">
        <v>2022.0</v>
      </c>
      <c r="C774" s="11">
        <v>84.0</v>
      </c>
      <c r="D774" s="11">
        <v>5.377</v>
      </c>
      <c r="E774" s="11">
        <v>0.984</v>
      </c>
      <c r="F774" s="11">
        <v>0.784</v>
      </c>
      <c r="G774" s="11">
        <v>0.499</v>
      </c>
      <c r="H774" s="11">
        <v>0.519</v>
      </c>
      <c r="I774" s="11">
        <v>0.237</v>
      </c>
      <c r="J774" s="11">
        <v>0.13</v>
      </c>
      <c r="K774" s="11">
        <v>6.53220124818972</v>
      </c>
      <c r="L774" s="11">
        <v>6.53156104282436</v>
      </c>
      <c r="M774" s="11">
        <v>5.51234756455744</v>
      </c>
      <c r="N774" s="11">
        <v>7.59310405070588</v>
      </c>
      <c r="O774" s="12"/>
      <c r="P774" s="12"/>
      <c r="Q774" s="13" t="s">
        <v>24</v>
      </c>
      <c r="S774" s="14">
        <v>1.086</v>
      </c>
      <c r="T774" s="14">
        <v>0.62877</v>
      </c>
      <c r="U774" s="14">
        <v>0.34</v>
      </c>
    </row>
    <row r="775">
      <c r="A775" s="15" t="s">
        <v>122</v>
      </c>
      <c r="B775" s="16">
        <v>2023.0</v>
      </c>
      <c r="C775" s="16">
        <v>78.0</v>
      </c>
      <c r="D775" s="16">
        <v>5.36</v>
      </c>
      <c r="E775" s="16">
        <v>8.256</v>
      </c>
      <c r="F775" s="16">
        <v>0.748</v>
      </c>
      <c r="G775" s="16">
        <v>61.847</v>
      </c>
      <c r="H775" s="16">
        <v>0.808</v>
      </c>
      <c r="I775" s="16">
        <v>0.146</v>
      </c>
      <c r="J775" s="16">
        <v>0.783</v>
      </c>
      <c r="K775" s="16">
        <v>8.35536509317765</v>
      </c>
      <c r="L775" s="16">
        <v>6.11270296084027</v>
      </c>
      <c r="M775" s="16">
        <v>7.08289518325251</v>
      </c>
      <c r="N775" s="16">
        <v>7.11475951738199</v>
      </c>
      <c r="O775" s="12"/>
      <c r="P775" s="12"/>
      <c r="Q775" s="17" t="s">
        <v>24</v>
      </c>
      <c r="S775" s="14">
        <v>1.08672</v>
      </c>
      <c r="T775" s="14">
        <v>0.629</v>
      </c>
      <c r="U775" s="14">
        <v>0.341</v>
      </c>
    </row>
    <row r="776">
      <c r="A776" s="10" t="s">
        <v>123</v>
      </c>
      <c r="B776" s="11">
        <v>2015.0</v>
      </c>
      <c r="C776" s="11">
        <v>7.0</v>
      </c>
      <c r="D776" s="11">
        <v>7.378</v>
      </c>
      <c r="E776" s="11">
        <v>1.32944</v>
      </c>
      <c r="F776" s="11">
        <v>1.28017</v>
      </c>
      <c r="G776" s="11">
        <v>0.89284</v>
      </c>
      <c r="H776" s="11">
        <v>0.61576</v>
      </c>
      <c r="I776" s="11">
        <v>0.4761</v>
      </c>
      <c r="J776" s="11">
        <v>0.31814</v>
      </c>
      <c r="K776" s="11">
        <v>1.83456623554229</v>
      </c>
      <c r="L776" s="11">
        <v>0.648335993289947</v>
      </c>
      <c r="M776" s="11">
        <v>0.773943889068043</v>
      </c>
      <c r="N776" s="11">
        <v>0.600245893001556</v>
      </c>
      <c r="O776" s="11">
        <v>1.26856</v>
      </c>
      <c r="P776" s="11">
        <v>-4.95801639556884</v>
      </c>
      <c r="Q776" s="13" t="s">
        <v>26</v>
      </c>
      <c r="S776" s="14">
        <v>1.08708</v>
      </c>
      <c r="T776" s="14">
        <v>0.63</v>
      </c>
      <c r="U776" s="14">
        <v>0.341</v>
      </c>
    </row>
    <row r="777">
      <c r="A777" s="15" t="s">
        <v>123</v>
      </c>
      <c r="B777" s="16">
        <v>2016.0</v>
      </c>
      <c r="C777" s="16">
        <v>7.0</v>
      </c>
      <c r="D777" s="16">
        <v>7.339</v>
      </c>
      <c r="E777" s="16">
        <v>1.46468</v>
      </c>
      <c r="F777" s="16">
        <v>1.02912</v>
      </c>
      <c r="G777" s="16">
        <v>0.81231</v>
      </c>
      <c r="H777" s="16">
        <v>0.55211</v>
      </c>
      <c r="I777" s="16">
        <v>0.47416</v>
      </c>
      <c r="J777" s="16">
        <v>0.29927</v>
      </c>
      <c r="K777" s="16">
        <v>0.598285436630249</v>
      </c>
      <c r="L777" s="16">
        <v>0.949996650218963</v>
      </c>
      <c r="M777" s="16">
        <v>0.454999999999998</v>
      </c>
      <c r="N777" s="16">
        <v>0.316665649414062</v>
      </c>
      <c r="O777" s="16">
        <v>0.8100381</v>
      </c>
      <c r="P777" s="16">
        <v>-2.48335313796997</v>
      </c>
      <c r="Q777" s="17" t="s">
        <v>26</v>
      </c>
      <c r="S777" s="14">
        <v>1.08764</v>
      </c>
      <c r="T777" s="14">
        <v>0.631</v>
      </c>
      <c r="U777" s="14">
        <v>0.343</v>
      </c>
    </row>
    <row r="778">
      <c r="A778" s="10" t="s">
        <v>123</v>
      </c>
      <c r="B778" s="11">
        <v>2017.0</v>
      </c>
      <c r="C778" s="11">
        <v>6.0</v>
      </c>
      <c r="D778" s="11">
        <v>7.376999855</v>
      </c>
      <c r="E778" s="11">
        <v>1.503944635</v>
      </c>
      <c r="F778" s="11">
        <v>1.428939223</v>
      </c>
      <c r="G778" s="11">
        <v>0.810696125</v>
      </c>
      <c r="H778" s="11">
        <v>0.585384488</v>
      </c>
      <c r="I778" s="11">
        <v>0.47048983</v>
      </c>
      <c r="J778" s="11">
        <v>0.282661825</v>
      </c>
      <c r="K778" s="11">
        <v>1.56301987171173</v>
      </c>
      <c r="L778" s="11">
        <v>2.66465830802917</v>
      </c>
      <c r="M778" s="11">
        <v>1.26026579065253</v>
      </c>
      <c r="N778" s="11">
        <v>1.299</v>
      </c>
      <c r="O778" s="11">
        <v>0.9867315</v>
      </c>
      <c r="P778" s="11">
        <v>4.81969833374023</v>
      </c>
      <c r="Q778" s="13" t="s">
        <v>26</v>
      </c>
      <c r="S778" s="14">
        <v>1.088</v>
      </c>
      <c r="T778" s="14">
        <v>0.631</v>
      </c>
      <c r="U778" s="14">
        <v>0.345</v>
      </c>
    </row>
    <row r="779">
      <c r="A779" s="15" t="s">
        <v>123</v>
      </c>
      <c r="B779" s="16">
        <v>2018.0</v>
      </c>
      <c r="C779" s="16">
        <v>6.0</v>
      </c>
      <c r="D779" s="16">
        <v>7.441</v>
      </c>
      <c r="E779" s="16">
        <v>1.361</v>
      </c>
      <c r="F779" s="16">
        <v>1.488</v>
      </c>
      <c r="G779" s="16">
        <v>0.878</v>
      </c>
      <c r="H779" s="16">
        <v>0.638</v>
      </c>
      <c r="I779" s="16">
        <v>0.333</v>
      </c>
      <c r="J779" s="16">
        <v>0.295</v>
      </c>
      <c r="K779" s="16">
        <v>2.94498658180236</v>
      </c>
      <c r="L779" s="16">
        <v>0.789588868618011</v>
      </c>
      <c r="M779" s="16">
        <v>2.43705822789787</v>
      </c>
      <c r="N779" s="16">
        <v>1.7</v>
      </c>
      <c r="O779" s="16">
        <v>1.292799</v>
      </c>
      <c r="P779" s="16">
        <v>2.98386287689209</v>
      </c>
      <c r="Q779" s="17" t="s">
        <v>26</v>
      </c>
      <c r="S779" s="14">
        <v>1.088</v>
      </c>
      <c r="T779" s="14">
        <v>0.632</v>
      </c>
      <c r="U779" s="14">
        <v>0.35329</v>
      </c>
    </row>
    <row r="780">
      <c r="A780" s="10" t="s">
        <v>123</v>
      </c>
      <c r="B780" s="11">
        <v>2019.0</v>
      </c>
      <c r="C780" s="11">
        <v>5.0</v>
      </c>
      <c r="D780" s="11">
        <v>7.488</v>
      </c>
      <c r="E780" s="11">
        <v>1.396</v>
      </c>
      <c r="F780" s="11">
        <v>1.522</v>
      </c>
      <c r="G780" s="11">
        <v>0.999</v>
      </c>
      <c r="H780" s="11">
        <v>0.557</v>
      </c>
      <c r="I780" s="11">
        <v>0.322</v>
      </c>
      <c r="J780" s="11">
        <v>0.298</v>
      </c>
      <c r="K780" s="11">
        <v>7.57205820083618</v>
      </c>
      <c r="L780" s="11">
        <v>4.04798675270096</v>
      </c>
      <c r="M780" s="11">
        <v>2.957773512476</v>
      </c>
      <c r="N780" s="11">
        <v>2.67300009727478</v>
      </c>
      <c r="O780" s="11">
        <v>2.005146</v>
      </c>
      <c r="P780" s="11">
        <v>0.934129178524017</v>
      </c>
      <c r="Q780" s="13" t="s">
        <v>26</v>
      </c>
      <c r="S780" s="14">
        <v>1.088</v>
      </c>
      <c r="T780" s="14">
        <v>0.632</v>
      </c>
      <c r="U780" s="14">
        <v>0.35561</v>
      </c>
    </row>
    <row r="781">
      <c r="A781" s="15" t="s">
        <v>123</v>
      </c>
      <c r="B781" s="16">
        <v>2020.0</v>
      </c>
      <c r="C781" s="16">
        <v>6.0</v>
      </c>
      <c r="D781" s="16">
        <v>7.448900223</v>
      </c>
      <c r="E781" s="16">
        <v>1.338946342</v>
      </c>
      <c r="F781" s="16">
        <v>0.93913883</v>
      </c>
      <c r="G781" s="16">
        <v>72.30091858</v>
      </c>
      <c r="H781" s="16">
        <v>0.908547819</v>
      </c>
      <c r="I781" s="16">
        <v>0.20761244</v>
      </c>
      <c r="J781" s="16">
        <v>0.364717126</v>
      </c>
      <c r="K781" s="16">
        <v>0.527492996022812</v>
      </c>
      <c r="L781" s="16">
        <v>1.89535884601527</v>
      </c>
      <c r="M781" s="16">
        <v>2.23523051397253</v>
      </c>
      <c r="N781" s="16">
        <v>1.27246037789151</v>
      </c>
      <c r="O781" s="16">
        <v>2.125606</v>
      </c>
      <c r="P781" s="16">
        <v>1.59207487106323</v>
      </c>
      <c r="Q781" s="17" t="s">
        <v>26</v>
      </c>
      <c r="S781" s="14">
        <v>1.089</v>
      </c>
      <c r="T781" s="14">
        <v>0.63274</v>
      </c>
      <c r="U781" s="14">
        <v>0.35637</v>
      </c>
    </row>
    <row r="782">
      <c r="A782" s="10" t="s">
        <v>123</v>
      </c>
      <c r="B782" s="11">
        <v>2021.0</v>
      </c>
      <c r="C782" s="11">
        <v>5.0</v>
      </c>
      <c r="D782" s="11">
        <v>7.464</v>
      </c>
      <c r="E782" s="11">
        <v>10.932</v>
      </c>
      <c r="F782" s="11">
        <v>0.942</v>
      </c>
      <c r="G782" s="11">
        <v>72.4</v>
      </c>
      <c r="H782" s="11">
        <v>0.913</v>
      </c>
      <c r="I782" s="11">
        <v>0.175</v>
      </c>
      <c r="J782" s="11">
        <v>0.338</v>
      </c>
      <c r="K782" s="11">
        <v>17.2592</v>
      </c>
      <c r="L782" s="11">
        <v>-0.207</v>
      </c>
      <c r="M782" s="11">
        <v>2.52482146698544</v>
      </c>
      <c r="N782" s="11">
        <v>2.67572</v>
      </c>
      <c r="O782" s="11">
        <v>1.917532</v>
      </c>
      <c r="P782" s="11">
        <v>12.5235327821888</v>
      </c>
      <c r="Q782" s="13" t="s">
        <v>26</v>
      </c>
      <c r="S782" s="14">
        <v>1.08983</v>
      </c>
      <c r="T782" s="14">
        <v>0.63297</v>
      </c>
      <c r="U782" s="14">
        <v>0.357</v>
      </c>
    </row>
    <row r="783">
      <c r="A783" s="15" t="s">
        <v>123</v>
      </c>
      <c r="B783" s="16">
        <v>2022.0</v>
      </c>
      <c r="C783" s="16">
        <v>5.0</v>
      </c>
      <c r="D783" s="16">
        <v>7.415</v>
      </c>
      <c r="E783" s="16">
        <v>1.945</v>
      </c>
      <c r="F783" s="16">
        <v>1.206</v>
      </c>
      <c r="G783" s="16">
        <v>0.787</v>
      </c>
      <c r="H783" s="16">
        <v>0.651</v>
      </c>
      <c r="I783" s="16">
        <v>0.271</v>
      </c>
      <c r="J783" s="16">
        <v>0.419</v>
      </c>
      <c r="K783" s="16">
        <v>71.4279573320694</v>
      </c>
      <c r="L783" s="16">
        <v>10.74305</v>
      </c>
      <c r="M783" s="16">
        <v>5.10923435730323</v>
      </c>
      <c r="N783" s="16">
        <v>10.00121</v>
      </c>
      <c r="O783" s="16">
        <v>4.249225</v>
      </c>
      <c r="P783" s="16">
        <v>23.7797337600927</v>
      </c>
      <c r="Q783" s="17" t="s">
        <v>26</v>
      </c>
      <c r="S783" s="14">
        <v>1.09</v>
      </c>
      <c r="T783" s="14">
        <v>0.633</v>
      </c>
      <c r="U783" s="14">
        <v>0.357184172</v>
      </c>
    </row>
    <row r="784">
      <c r="A784" s="10" t="s">
        <v>123</v>
      </c>
      <c r="B784" s="11">
        <v>2023.0</v>
      </c>
      <c r="C784" s="11">
        <v>5.0</v>
      </c>
      <c r="D784" s="11">
        <v>7.403</v>
      </c>
      <c r="E784" s="11">
        <v>10.942</v>
      </c>
      <c r="F784" s="11">
        <v>0.93</v>
      </c>
      <c r="G784" s="11">
        <v>71.55</v>
      </c>
      <c r="H784" s="11">
        <v>0.887</v>
      </c>
      <c r="I784" s="11">
        <v>0.213</v>
      </c>
      <c r="J784" s="11">
        <v>0.379</v>
      </c>
      <c r="K784" s="11">
        <v>-22.0595449824633</v>
      </c>
      <c r="L784" s="11">
        <v>11.8668995912924</v>
      </c>
      <c r="M784" s="11">
        <v>7.79053052581485</v>
      </c>
      <c r="N784" s="11">
        <v>3.83839354342808</v>
      </c>
      <c r="O784" s="11">
        <v>5.609972</v>
      </c>
      <c r="P784" s="11">
        <v>-0.0971480119358352</v>
      </c>
      <c r="Q784" s="13" t="s">
        <v>26</v>
      </c>
      <c r="S784" s="14">
        <v>1.092</v>
      </c>
      <c r="T784" s="14">
        <v>0.633182645</v>
      </c>
      <c r="U784" s="14">
        <v>0.35776</v>
      </c>
    </row>
    <row r="785">
      <c r="A785" s="15" t="s">
        <v>124</v>
      </c>
      <c r="B785" s="16">
        <v>2015.0</v>
      </c>
      <c r="C785" s="16">
        <v>9.0</v>
      </c>
      <c r="D785" s="16">
        <v>7.286</v>
      </c>
      <c r="E785" s="16">
        <v>1.25018</v>
      </c>
      <c r="F785" s="16">
        <v>1.31967</v>
      </c>
      <c r="G785" s="16">
        <v>0.90837</v>
      </c>
      <c r="H785" s="16">
        <v>0.63938</v>
      </c>
      <c r="I785" s="16">
        <v>0.47501</v>
      </c>
      <c r="J785" s="16">
        <v>0.42922</v>
      </c>
      <c r="K785" s="16">
        <v>2.7755103111267</v>
      </c>
      <c r="L785" s="16">
        <v>-0.0583689250051975</v>
      </c>
      <c r="M785" s="16">
        <v>0.774899407748993</v>
      </c>
      <c r="N785" s="16">
        <v>0.292701482772827</v>
      </c>
      <c r="O785" s="16">
        <v>1.267853</v>
      </c>
      <c r="P785" s="16">
        <v>-2.16430068016052</v>
      </c>
      <c r="Q785" s="17" t="s">
        <v>35</v>
      </c>
      <c r="S785" s="14">
        <v>1.092</v>
      </c>
      <c r="T785" s="14">
        <v>0.633375823</v>
      </c>
      <c r="U785" s="14">
        <v>0.358</v>
      </c>
    </row>
    <row r="786">
      <c r="A786" s="10" t="s">
        <v>124</v>
      </c>
      <c r="B786" s="11">
        <v>2016.0</v>
      </c>
      <c r="C786" s="11">
        <v>8.0</v>
      </c>
      <c r="D786" s="11">
        <v>7.334</v>
      </c>
      <c r="E786" s="11">
        <v>1.36066</v>
      </c>
      <c r="F786" s="11">
        <v>1.17278</v>
      </c>
      <c r="G786" s="11">
        <v>0.83096</v>
      </c>
      <c r="H786" s="11">
        <v>0.58147</v>
      </c>
      <c r="I786" s="11">
        <v>0.49401</v>
      </c>
      <c r="J786" s="11">
        <v>0.41904</v>
      </c>
      <c r="K786" s="11">
        <v>3.17712473869323</v>
      </c>
      <c r="L786" s="11">
        <v>-0.603462219238281</v>
      </c>
      <c r="M786" s="11">
        <v>2.01701180777375</v>
      </c>
      <c r="N786" s="11">
        <v>0.646240234375</v>
      </c>
      <c r="O786" s="11">
        <v>1.372489</v>
      </c>
      <c r="P786" s="11">
        <v>0.475737392902374</v>
      </c>
      <c r="Q786" s="13" t="s">
        <v>35</v>
      </c>
      <c r="S786" s="14">
        <v>1.094</v>
      </c>
      <c r="T786" s="14">
        <v>0.63376</v>
      </c>
      <c r="U786" s="14">
        <v>0.358</v>
      </c>
    </row>
    <row r="787">
      <c r="A787" s="15" t="s">
        <v>124</v>
      </c>
      <c r="B787" s="16">
        <v>2017.0</v>
      </c>
      <c r="C787" s="16">
        <v>8.0</v>
      </c>
      <c r="D787" s="16">
        <v>7.31400013</v>
      </c>
      <c r="E787" s="16">
        <v>1.405706048</v>
      </c>
      <c r="F787" s="16">
        <v>1.548195124</v>
      </c>
      <c r="G787" s="16">
        <v>0.816759706</v>
      </c>
      <c r="H787" s="16">
        <v>0.61406213</v>
      </c>
      <c r="I787" s="16">
        <v>0.500005126</v>
      </c>
      <c r="J787" s="16">
        <v>0.382816702</v>
      </c>
      <c r="K787" s="16">
        <v>3.13061332702636</v>
      </c>
      <c r="L787" s="16">
        <v>2.17408466339111</v>
      </c>
      <c r="M787" s="16">
        <v>3.81090589270008</v>
      </c>
      <c r="N787" s="16">
        <v>1.854</v>
      </c>
      <c r="O787" s="16">
        <v>1.400998</v>
      </c>
      <c r="P787" s="16">
        <v>4.49810600280761</v>
      </c>
      <c r="Q787" s="17" t="s">
        <v>35</v>
      </c>
      <c r="S787" s="14">
        <v>1.095</v>
      </c>
      <c r="T787" s="14">
        <v>0.635422587</v>
      </c>
      <c r="U787" s="14">
        <v>0.363</v>
      </c>
    </row>
    <row r="788">
      <c r="A788" s="10" t="s">
        <v>124</v>
      </c>
      <c r="B788" s="11">
        <v>2018.0</v>
      </c>
      <c r="C788" s="11">
        <v>8.0</v>
      </c>
      <c r="D788" s="11">
        <v>7.324</v>
      </c>
      <c r="E788" s="11">
        <v>1.268</v>
      </c>
      <c r="F788" s="11">
        <v>1.601</v>
      </c>
      <c r="G788" s="11">
        <v>0.876</v>
      </c>
      <c r="H788" s="11">
        <v>0.669</v>
      </c>
      <c r="I788" s="11">
        <v>0.365</v>
      </c>
      <c r="J788" s="11">
        <v>0.389</v>
      </c>
      <c r="K788" s="11">
        <v>3.06046271324157</v>
      </c>
      <c r="L788" s="11">
        <v>-0.240268737077713</v>
      </c>
      <c r="M788" s="11">
        <v>2.11635728991045</v>
      </c>
      <c r="N788" s="11">
        <v>1.6</v>
      </c>
      <c r="O788" s="11">
        <v>1.153811</v>
      </c>
      <c r="P788" s="11">
        <v>4.2138648033142</v>
      </c>
      <c r="Q788" s="13" t="s">
        <v>35</v>
      </c>
      <c r="S788" s="14">
        <v>1.09562</v>
      </c>
      <c r="T788" s="14">
        <v>0.636</v>
      </c>
      <c r="U788" s="14">
        <v>0.364717126</v>
      </c>
    </row>
    <row r="789">
      <c r="A789" s="15" t="s">
        <v>124</v>
      </c>
      <c r="B789" s="16">
        <v>2019.0</v>
      </c>
      <c r="C789" s="16">
        <v>8.0</v>
      </c>
      <c r="D789" s="16">
        <v>7.307</v>
      </c>
      <c r="E789" s="16">
        <v>1.303</v>
      </c>
      <c r="F789" s="16">
        <v>1.557</v>
      </c>
      <c r="G789" s="16">
        <v>1.026</v>
      </c>
      <c r="H789" s="16">
        <v>0.585</v>
      </c>
      <c r="I789" s="16">
        <v>0.33</v>
      </c>
      <c r="J789" s="16">
        <v>0.38</v>
      </c>
      <c r="K789" s="16">
        <v>0.856826424598693</v>
      </c>
      <c r="L789" s="16">
        <v>1.0798590183258</v>
      </c>
      <c r="M789" s="16">
        <v>2.80757647410209</v>
      </c>
      <c r="N789" s="16">
        <v>1.62000000476837</v>
      </c>
      <c r="O789" s="16">
        <v>1.835353</v>
      </c>
      <c r="P789" s="16">
        <v>2.23913049697876</v>
      </c>
      <c r="Q789" s="17" t="s">
        <v>35</v>
      </c>
      <c r="S789" s="14">
        <v>1.096</v>
      </c>
      <c r="T789" s="14">
        <v>0.637</v>
      </c>
      <c r="U789" s="14">
        <v>0.36503</v>
      </c>
    </row>
    <row r="790">
      <c r="A790" s="10" t="s">
        <v>124</v>
      </c>
      <c r="B790" s="11">
        <v>2020.0</v>
      </c>
      <c r="C790" s="11">
        <v>8.0</v>
      </c>
      <c r="D790" s="11">
        <v>7.299600124</v>
      </c>
      <c r="E790" s="11">
        <v>1.242317915</v>
      </c>
      <c r="F790" s="11">
        <v>0.949118972</v>
      </c>
      <c r="G790" s="11">
        <v>73.20262909</v>
      </c>
      <c r="H790" s="11">
        <v>0.936217487</v>
      </c>
      <c r="I790" s="11">
        <v>0.191598073</v>
      </c>
      <c r="J790" s="11">
        <v>0.22113885</v>
      </c>
      <c r="K790" s="11">
        <v>2.93151969981237</v>
      </c>
      <c r="L790" s="11">
        <v>3.17935007503633</v>
      </c>
      <c r="M790" s="11">
        <v>4.10604043094054</v>
      </c>
      <c r="N790" s="11">
        <v>1.71456170007227</v>
      </c>
      <c r="O790" s="11">
        <v>2.312568</v>
      </c>
      <c r="P790" s="11">
        <v>21.2965869903564</v>
      </c>
      <c r="Q790" s="13" t="s">
        <v>35</v>
      </c>
      <c r="S790" s="14">
        <v>1.0961</v>
      </c>
      <c r="T790" s="14">
        <v>0.638</v>
      </c>
      <c r="U790" s="14">
        <v>0.367007285</v>
      </c>
    </row>
    <row r="791">
      <c r="A791" s="15" t="s">
        <v>124</v>
      </c>
      <c r="B791" s="16">
        <v>2021.0</v>
      </c>
      <c r="C791" s="16">
        <v>9.0</v>
      </c>
      <c r="D791" s="16">
        <v>7.277</v>
      </c>
      <c r="E791" s="16">
        <v>10.643</v>
      </c>
      <c r="F791" s="16">
        <v>0.948</v>
      </c>
      <c r="G791" s="16">
        <v>73.4</v>
      </c>
      <c r="H791" s="16">
        <v>0.929</v>
      </c>
      <c r="I791" s="16">
        <v>0.134</v>
      </c>
      <c r="J791" s="16">
        <v>0.242</v>
      </c>
      <c r="K791" s="16">
        <v>8.547225</v>
      </c>
      <c r="L791" s="16">
        <v>1.758</v>
      </c>
      <c r="M791" s="16">
        <v>4.3276525120332</v>
      </c>
      <c r="N791" s="16">
        <v>3.941</v>
      </c>
      <c r="O791" s="16">
        <v>3.712</v>
      </c>
      <c r="P791" s="16">
        <v>5.70874623007278</v>
      </c>
      <c r="Q791" s="17" t="s">
        <v>35</v>
      </c>
      <c r="S791" s="14">
        <v>1.097</v>
      </c>
      <c r="T791" s="14">
        <v>0.639163077</v>
      </c>
      <c r="U791" s="14">
        <v>0.367084295</v>
      </c>
    </row>
    <row r="792">
      <c r="A792" s="10" t="s">
        <v>124</v>
      </c>
      <c r="B792" s="11">
        <v>2022.0</v>
      </c>
      <c r="C792" s="11">
        <v>10.0</v>
      </c>
      <c r="D792" s="11">
        <v>7.2</v>
      </c>
      <c r="E792" s="11">
        <v>1.852</v>
      </c>
      <c r="F792" s="11">
        <v>1.235</v>
      </c>
      <c r="G792" s="11">
        <v>0.752</v>
      </c>
      <c r="H792" s="11">
        <v>0.68</v>
      </c>
      <c r="I792" s="11">
        <v>0.245</v>
      </c>
      <c r="J792" s="11">
        <v>0.483</v>
      </c>
      <c r="K792" s="11">
        <v>13.6784224775859</v>
      </c>
      <c r="L792" s="11">
        <v>8.660672</v>
      </c>
      <c r="M792" s="11">
        <v>5.34495148920127</v>
      </c>
      <c r="N792" s="11">
        <v>7.172225</v>
      </c>
      <c r="O792" s="11">
        <v>6.00133689839572</v>
      </c>
      <c r="P792" s="11">
        <v>9.34820342336528</v>
      </c>
      <c r="Q792" s="13" t="s">
        <v>35</v>
      </c>
      <c r="S792" s="14">
        <v>1.09774</v>
      </c>
      <c r="T792" s="14">
        <v>0.63938</v>
      </c>
      <c r="U792" s="14">
        <v>0.368</v>
      </c>
    </row>
    <row r="793">
      <c r="A793" s="15" t="s">
        <v>124</v>
      </c>
      <c r="B793" s="16">
        <v>2023.0</v>
      </c>
      <c r="C793" s="16">
        <v>10.0</v>
      </c>
      <c r="D793" s="16">
        <v>7.123</v>
      </c>
      <c r="E793" s="16">
        <v>10.662</v>
      </c>
      <c r="F793" s="16">
        <v>0.952</v>
      </c>
      <c r="G793" s="16">
        <v>70.35</v>
      </c>
      <c r="H793" s="16">
        <v>0.887</v>
      </c>
      <c r="I793" s="16">
        <v>0.175</v>
      </c>
      <c r="J793" s="16">
        <v>0.271</v>
      </c>
      <c r="K793" s="16">
        <v>0.534344179781276</v>
      </c>
      <c r="L793" s="16">
        <v>9.88679626408841</v>
      </c>
      <c r="M793" s="16">
        <v>6.47799017792927</v>
      </c>
      <c r="N793" s="16">
        <v>5.73316283034957</v>
      </c>
      <c r="O793" s="16">
        <v>5.64718939575477</v>
      </c>
      <c r="P793" s="16">
        <v>2.22471489998162</v>
      </c>
      <c r="Q793" s="17" t="s">
        <v>35</v>
      </c>
      <c r="S793" s="14">
        <v>1.098</v>
      </c>
      <c r="T793" s="14">
        <v>0.6404</v>
      </c>
      <c r="U793" s="14">
        <v>0.373</v>
      </c>
    </row>
    <row r="794">
      <c r="A794" s="10" t="s">
        <v>125</v>
      </c>
      <c r="B794" s="11">
        <v>2015.0</v>
      </c>
      <c r="C794" s="11">
        <v>57.0</v>
      </c>
      <c r="D794" s="11">
        <v>5.828</v>
      </c>
      <c r="E794" s="11">
        <v>0.59325</v>
      </c>
      <c r="F794" s="11">
        <v>1.14184</v>
      </c>
      <c r="G794" s="11">
        <v>0.74314</v>
      </c>
      <c r="H794" s="11">
        <v>0.55475</v>
      </c>
      <c r="I794" s="11">
        <v>0.27815</v>
      </c>
      <c r="J794" s="11">
        <v>0.19317</v>
      </c>
      <c r="K794" s="11">
        <v>-0.618629276752471</v>
      </c>
      <c r="L794" s="11">
        <v>4.743408203125</v>
      </c>
      <c r="M794" s="11">
        <v>7.58896609812592</v>
      </c>
      <c r="N794" s="11">
        <v>3.99045872688293</v>
      </c>
      <c r="O794" s="11">
        <v>6.41338109970092</v>
      </c>
      <c r="P794" s="11">
        <v>2.68791270256042</v>
      </c>
      <c r="Q794" s="13" t="s">
        <v>43</v>
      </c>
      <c r="S794" s="14">
        <v>1.098470807</v>
      </c>
      <c r="T794" s="14">
        <v>0.640880644</v>
      </c>
      <c r="U794" s="14">
        <v>0.37798</v>
      </c>
    </row>
    <row r="795">
      <c r="A795" s="15" t="s">
        <v>125</v>
      </c>
      <c r="B795" s="16">
        <v>2016.0</v>
      </c>
      <c r="C795" s="16">
        <v>48.0</v>
      </c>
      <c r="D795" s="16">
        <v>5.992</v>
      </c>
      <c r="E795" s="16">
        <v>0.69384</v>
      </c>
      <c r="F795" s="16">
        <v>0.89521</v>
      </c>
      <c r="G795" s="16">
        <v>0.65213</v>
      </c>
      <c r="H795" s="16">
        <v>0.46582</v>
      </c>
      <c r="I795" s="16">
        <v>0.29773</v>
      </c>
      <c r="J795" s="16">
        <v>0.16292</v>
      </c>
      <c r="K795" s="16">
        <v>3.81502437591552</v>
      </c>
      <c r="L795" s="16">
        <v>1.51934266090393</v>
      </c>
      <c r="M795" s="16">
        <v>4.58957998982267</v>
      </c>
      <c r="N795" s="16">
        <v>3.52036356925964</v>
      </c>
      <c r="O795" s="16">
        <v>4.41347599029541</v>
      </c>
      <c r="P795" s="16">
        <v>0.176277607679367</v>
      </c>
      <c r="Q795" s="17" t="s">
        <v>43</v>
      </c>
      <c r="S795" s="14">
        <v>1.09879</v>
      </c>
      <c r="T795" s="14">
        <v>0.64157</v>
      </c>
      <c r="U795" s="14">
        <v>0.379</v>
      </c>
    </row>
    <row r="796">
      <c r="A796" s="10" t="s">
        <v>125</v>
      </c>
      <c r="B796" s="11">
        <v>2017.0</v>
      </c>
      <c r="C796" s="11">
        <v>43.0</v>
      </c>
      <c r="D796" s="11">
        <v>6.071000099</v>
      </c>
      <c r="E796" s="11">
        <v>0.737299204</v>
      </c>
      <c r="F796" s="11">
        <v>1.28721571</v>
      </c>
      <c r="G796" s="11">
        <v>0.653095961</v>
      </c>
      <c r="H796" s="11">
        <v>0.447551847</v>
      </c>
      <c r="I796" s="11">
        <v>0.301674217</v>
      </c>
      <c r="J796" s="11">
        <v>0.130687982</v>
      </c>
      <c r="K796" s="11">
        <v>9.14029312133789</v>
      </c>
      <c r="L796" s="11">
        <v>0.580161094665527</v>
      </c>
      <c r="M796" s="11">
        <v>4.12386085068957</v>
      </c>
      <c r="N796" s="11">
        <v>3.851</v>
      </c>
      <c r="O796" s="11">
        <v>4.16235494613647</v>
      </c>
      <c r="P796" s="11">
        <v>6.47029018402099</v>
      </c>
      <c r="Q796" s="13" t="s">
        <v>43</v>
      </c>
      <c r="S796" s="14">
        <v>1.101</v>
      </c>
      <c r="T796" s="14">
        <v>0.64169</v>
      </c>
      <c r="U796" s="14">
        <v>0.38</v>
      </c>
    </row>
    <row r="797">
      <c r="A797" s="15" t="s">
        <v>125</v>
      </c>
      <c r="B797" s="16">
        <v>2018.0</v>
      </c>
      <c r="C797" s="16">
        <v>41.0</v>
      </c>
      <c r="D797" s="16">
        <v>6.141</v>
      </c>
      <c r="E797" s="16">
        <v>0.668</v>
      </c>
      <c r="F797" s="16">
        <v>1.319</v>
      </c>
      <c r="G797" s="16">
        <v>0.7</v>
      </c>
      <c r="H797" s="16">
        <v>0.527</v>
      </c>
      <c r="I797" s="16">
        <v>0.208</v>
      </c>
      <c r="J797" s="16">
        <v>0.128</v>
      </c>
      <c r="K797" s="16">
        <v>7.11601638793945</v>
      </c>
      <c r="L797" s="16">
        <v>4.18469667434692</v>
      </c>
      <c r="M797" s="16">
        <v>3.59211217993359</v>
      </c>
      <c r="N797" s="16">
        <v>4.94</v>
      </c>
      <c r="O797" s="16">
        <v>4.12636804580688</v>
      </c>
      <c r="P797" s="16">
        <v>3.7233293056488</v>
      </c>
      <c r="Q797" s="17" t="s">
        <v>43</v>
      </c>
      <c r="S797" s="14">
        <v>1.102</v>
      </c>
      <c r="T797" s="14">
        <v>0.642</v>
      </c>
      <c r="U797" s="14">
        <v>0.382611543</v>
      </c>
    </row>
    <row r="798">
      <c r="A798" s="10" t="s">
        <v>125</v>
      </c>
      <c r="B798" s="11">
        <v>2019.0</v>
      </c>
      <c r="C798" s="11">
        <v>45.0</v>
      </c>
      <c r="D798" s="11">
        <v>6.105</v>
      </c>
      <c r="E798" s="11">
        <v>0.694</v>
      </c>
      <c r="F798" s="11">
        <v>1.325</v>
      </c>
      <c r="G798" s="11">
        <v>0.835</v>
      </c>
      <c r="H798" s="11">
        <v>0.435</v>
      </c>
      <c r="I798" s="11">
        <v>0.2</v>
      </c>
      <c r="J798" s="11">
        <v>0.127</v>
      </c>
      <c r="K798" s="11">
        <v>5.18202495574951</v>
      </c>
      <c r="L798" s="11">
        <v>4.57717514038085</v>
      </c>
      <c r="M798" s="11">
        <v>4.66807768708309</v>
      </c>
      <c r="N798" s="11">
        <v>5.37599992752075</v>
      </c>
      <c r="O798" s="11">
        <v>5.78830862045288</v>
      </c>
      <c r="P798" s="11">
        <v>2.458</v>
      </c>
      <c r="Q798" s="13" t="s">
        <v>43</v>
      </c>
      <c r="S798" s="14">
        <v>1.10395</v>
      </c>
      <c r="T798" s="14">
        <v>0.643</v>
      </c>
      <c r="U798" s="14">
        <v>0.382816702</v>
      </c>
    </row>
    <row r="799">
      <c r="A799" s="15" t="s">
        <v>125</v>
      </c>
      <c r="B799" s="16">
        <v>2020.0</v>
      </c>
      <c r="C799" s="16">
        <v>46.0</v>
      </c>
      <c r="D799" s="16">
        <v>6.13710022</v>
      </c>
      <c r="E799" s="16">
        <v>0.620033145</v>
      </c>
      <c r="F799" s="16">
        <v>0.857497036</v>
      </c>
      <c r="G799" s="16">
        <v>67.50717926</v>
      </c>
      <c r="H799" s="16">
        <v>0.863902867</v>
      </c>
      <c r="I799" s="16">
        <v>0.020959141</v>
      </c>
      <c r="J799" s="16">
        <v>0.665950119</v>
      </c>
      <c r="K799" s="16">
        <v>4.64862978839467</v>
      </c>
      <c r="L799" s="16">
        <v>5.13203581820762</v>
      </c>
      <c r="M799" s="16">
        <v>3.70490077860514</v>
      </c>
      <c r="N799" s="16">
        <v>3.68181341625515</v>
      </c>
      <c r="O799" s="16">
        <v>3.59531160266563</v>
      </c>
      <c r="P799" s="16">
        <v>3.98601172165916</v>
      </c>
      <c r="Q799" s="17" t="s">
        <v>43</v>
      </c>
      <c r="S799" s="14">
        <v>1.10441196</v>
      </c>
      <c r="T799" s="14">
        <v>0.645</v>
      </c>
      <c r="U799" s="14">
        <v>0.383</v>
      </c>
    </row>
    <row r="800">
      <c r="A800" s="10" t="s">
        <v>125</v>
      </c>
      <c r="B800" s="11">
        <v>2021.0</v>
      </c>
      <c r="C800" s="11">
        <v>55.0</v>
      </c>
      <c r="D800" s="11">
        <v>5.972</v>
      </c>
      <c r="E800" s="11">
        <v>8.62</v>
      </c>
      <c r="F800" s="11">
        <v>0.864</v>
      </c>
      <c r="G800" s="11">
        <v>67.657</v>
      </c>
      <c r="H800" s="11">
        <v>0.836</v>
      </c>
      <c r="I800" s="11">
        <v>0.02</v>
      </c>
      <c r="J800" s="11">
        <v>0.664</v>
      </c>
      <c r="K800" s="11">
        <v>2.21</v>
      </c>
      <c r="L800" s="11">
        <v>6.38</v>
      </c>
      <c r="M800" s="11">
        <v>3.32808863524088</v>
      </c>
      <c r="N800" s="11">
        <v>4.92841396948961</v>
      </c>
      <c r="O800" s="11">
        <v>4.35639954311567</v>
      </c>
      <c r="P800" s="11">
        <v>9.05524070498848</v>
      </c>
      <c r="Q800" s="13" t="s">
        <v>43</v>
      </c>
      <c r="S800" s="14">
        <v>1.10464</v>
      </c>
      <c r="T800" s="14">
        <v>0.646</v>
      </c>
      <c r="U800" s="14">
        <v>0.38331</v>
      </c>
    </row>
    <row r="801">
      <c r="A801" s="15" t="s">
        <v>125</v>
      </c>
      <c r="B801" s="16">
        <v>2022.0</v>
      </c>
      <c r="C801" s="16">
        <v>45.0</v>
      </c>
      <c r="D801" s="16">
        <v>6.165</v>
      </c>
      <c r="E801" s="16">
        <v>1.105</v>
      </c>
      <c r="F801" s="16">
        <v>1.029</v>
      </c>
      <c r="G801" s="16">
        <v>0.617</v>
      </c>
      <c r="H801" s="16">
        <v>0.617</v>
      </c>
      <c r="I801" s="16">
        <v>0.168</v>
      </c>
      <c r="J801" s="16">
        <v>0.212</v>
      </c>
      <c r="K801" s="16">
        <v>6.4901042132564</v>
      </c>
      <c r="L801" s="16">
        <v>14.6662552216582</v>
      </c>
      <c r="M801" s="16">
        <v>8.92349845389876</v>
      </c>
      <c r="N801" s="16">
        <v>10.4674244465991</v>
      </c>
      <c r="O801" s="16">
        <v>8.23932915959557</v>
      </c>
      <c r="P801" s="16">
        <v>19.3449831534464</v>
      </c>
      <c r="Q801" s="17" t="s">
        <v>43</v>
      </c>
      <c r="S801" s="14">
        <v>1.10476</v>
      </c>
      <c r="T801" s="14">
        <v>0.646822274</v>
      </c>
      <c r="U801" s="14">
        <v>0.384398729</v>
      </c>
    </row>
    <row r="802">
      <c r="A802" s="10" t="s">
        <v>125</v>
      </c>
      <c r="B802" s="11">
        <v>2023.0</v>
      </c>
      <c r="C802" s="11">
        <v>40.0</v>
      </c>
      <c r="D802" s="11">
        <v>6.259</v>
      </c>
      <c r="E802" s="11">
        <v>8.618</v>
      </c>
      <c r="F802" s="11">
        <v>0.853</v>
      </c>
      <c r="G802" s="11">
        <v>65.65</v>
      </c>
      <c r="H802" s="11">
        <v>0.877</v>
      </c>
      <c r="I802" s="11">
        <v>0.021</v>
      </c>
      <c r="J802" s="11">
        <v>0.625</v>
      </c>
      <c r="K802" s="11">
        <v>2.675311173134</v>
      </c>
      <c r="L802" s="11">
        <v>10.8523935313446</v>
      </c>
      <c r="M802" s="11">
        <v>10.721475718265</v>
      </c>
      <c r="N802" s="11">
        <v>9.34228328084787</v>
      </c>
      <c r="O802" s="11">
        <v>7.60494347677146</v>
      </c>
      <c r="P802" s="12"/>
      <c r="Q802" s="13" t="s">
        <v>43</v>
      </c>
      <c r="S802" s="14">
        <v>1.105</v>
      </c>
      <c r="T802" s="14">
        <v>0.647</v>
      </c>
      <c r="U802" s="14">
        <v>0.38583</v>
      </c>
    </row>
    <row r="803">
      <c r="A803" s="15" t="s">
        <v>126</v>
      </c>
      <c r="B803" s="16">
        <v>2015.0</v>
      </c>
      <c r="C803" s="16">
        <v>144.0</v>
      </c>
      <c r="D803" s="16">
        <v>3.845</v>
      </c>
      <c r="E803" s="16">
        <v>0.0694</v>
      </c>
      <c r="F803" s="16">
        <v>0.77265</v>
      </c>
      <c r="G803" s="16">
        <v>0.29707</v>
      </c>
      <c r="H803" s="16">
        <v>0.47692</v>
      </c>
      <c r="I803" s="16">
        <v>0.19387</v>
      </c>
      <c r="J803" s="16">
        <v>0.15639</v>
      </c>
      <c r="K803" s="16">
        <v>2.4300000667572</v>
      </c>
      <c r="L803" s="16">
        <v>0.458371222019195</v>
      </c>
      <c r="M803" s="16">
        <v>2.57899056216659</v>
      </c>
      <c r="N803" s="16">
        <v>1.00600004196167</v>
      </c>
      <c r="O803" s="12"/>
      <c r="P803" s="12"/>
      <c r="Q803" s="17" t="s">
        <v>28</v>
      </c>
      <c r="S803" s="14">
        <v>1.106</v>
      </c>
      <c r="T803" s="14">
        <v>0.647</v>
      </c>
      <c r="U803" s="14">
        <v>0.386</v>
      </c>
    </row>
    <row r="804">
      <c r="A804" s="10" t="s">
        <v>126</v>
      </c>
      <c r="B804" s="11">
        <v>2016.0</v>
      </c>
      <c r="C804" s="11">
        <v>142.0</v>
      </c>
      <c r="D804" s="11">
        <v>3.856</v>
      </c>
      <c r="E804" s="11">
        <v>0.1327</v>
      </c>
      <c r="F804" s="11">
        <v>0.6053</v>
      </c>
      <c r="G804" s="11">
        <v>0.26162</v>
      </c>
      <c r="H804" s="11">
        <v>0.38041</v>
      </c>
      <c r="I804" s="11">
        <v>0.2097</v>
      </c>
      <c r="J804" s="11">
        <v>0.17176</v>
      </c>
      <c r="K804" s="11">
        <v>2.36999988555908</v>
      </c>
      <c r="L804" s="11">
        <v>-1.20539236068725</v>
      </c>
      <c r="M804" s="11">
        <v>1.35308118487108</v>
      </c>
      <c r="N804" s="11">
        <v>0.177000001072883</v>
      </c>
      <c r="O804" s="12"/>
      <c r="P804" s="12"/>
      <c r="Q804" s="13" t="s">
        <v>28</v>
      </c>
      <c r="S804" s="14">
        <v>1.10614</v>
      </c>
      <c r="T804" s="14">
        <v>0.647</v>
      </c>
      <c r="U804" s="14">
        <v>0.389</v>
      </c>
    </row>
    <row r="805">
      <c r="A805" s="15" t="s">
        <v>126</v>
      </c>
      <c r="B805" s="16">
        <v>2017.0</v>
      </c>
      <c r="C805" s="16">
        <v>135.0</v>
      </c>
      <c r="D805" s="16">
        <v>4.027999878</v>
      </c>
      <c r="E805" s="16">
        <v>0.161925331</v>
      </c>
      <c r="F805" s="16">
        <v>0.993025005</v>
      </c>
      <c r="G805" s="16">
        <v>0.268505007</v>
      </c>
      <c r="H805" s="16">
        <v>0.363658696</v>
      </c>
      <c r="I805" s="16">
        <v>0.228673846</v>
      </c>
      <c r="J805" s="16">
        <v>0.138572946</v>
      </c>
      <c r="K805" s="16">
        <v>6.23999977111816</v>
      </c>
      <c r="L805" s="16">
        <v>0.751360952854156</v>
      </c>
      <c r="M805" s="16">
        <v>0.8495564742913</v>
      </c>
      <c r="N805" s="16">
        <v>0.195</v>
      </c>
      <c r="O805" s="12"/>
      <c r="P805" s="12"/>
      <c r="Q805" s="17" t="s">
        <v>28</v>
      </c>
      <c r="S805" s="14">
        <v>1.107</v>
      </c>
      <c r="T805" s="14">
        <v>0.64938</v>
      </c>
      <c r="U805" s="14">
        <v>0.390843362</v>
      </c>
    </row>
    <row r="806">
      <c r="A806" s="10" t="s">
        <v>126</v>
      </c>
      <c r="B806" s="11">
        <v>2018.0</v>
      </c>
      <c r="C806" s="11">
        <v>134.0</v>
      </c>
      <c r="D806" s="11">
        <v>4.166</v>
      </c>
      <c r="E806" s="11">
        <v>0.131</v>
      </c>
      <c r="F806" s="11">
        <v>0.867</v>
      </c>
      <c r="G806" s="11">
        <v>0.221</v>
      </c>
      <c r="H806" s="11">
        <v>0.39</v>
      </c>
      <c r="I806" s="11">
        <v>0.175</v>
      </c>
      <c r="J806" s="11">
        <v>0.099</v>
      </c>
      <c r="K806" s="11">
        <v>15.6992532247115</v>
      </c>
      <c r="L806" s="11">
        <v>-0.573583279562955</v>
      </c>
      <c r="M806" s="11">
        <v>2.42838134001252</v>
      </c>
      <c r="N806" s="11">
        <v>3.01</v>
      </c>
      <c r="O806" s="12"/>
      <c r="P806" s="12"/>
      <c r="Q806" s="13" t="s">
        <v>28</v>
      </c>
      <c r="S806" s="14">
        <v>1.111</v>
      </c>
      <c r="T806" s="14">
        <v>0.649565637</v>
      </c>
      <c r="U806" s="14">
        <v>0.393</v>
      </c>
    </row>
    <row r="807">
      <c r="A807" s="15" t="s">
        <v>126</v>
      </c>
      <c r="B807" s="16">
        <v>2019.0</v>
      </c>
      <c r="C807" s="16">
        <v>114.0</v>
      </c>
      <c r="D807" s="16">
        <v>4.628</v>
      </c>
      <c r="E807" s="16">
        <v>0.138</v>
      </c>
      <c r="F807" s="16">
        <v>0.774</v>
      </c>
      <c r="G807" s="16">
        <v>0.366</v>
      </c>
      <c r="H807" s="16">
        <v>0.318</v>
      </c>
      <c r="I807" s="16">
        <v>0.188</v>
      </c>
      <c r="J807" s="16">
        <v>0.102</v>
      </c>
      <c r="K807" s="16">
        <v>2.91917265659382</v>
      </c>
      <c r="L807" s="16">
        <v>-4.58958493942429</v>
      </c>
      <c r="M807" s="16">
        <v>0.123220938007455</v>
      </c>
      <c r="N807" s="16">
        <v>-2.51999998092651</v>
      </c>
      <c r="O807" s="12"/>
      <c r="P807" s="12"/>
      <c r="Q807" s="17" t="s">
        <v>28</v>
      </c>
      <c r="S807" s="14">
        <v>1.11111</v>
      </c>
      <c r="T807" s="14">
        <v>0.649828613</v>
      </c>
      <c r="U807" s="14">
        <v>0.393</v>
      </c>
    </row>
    <row r="808">
      <c r="A808" s="10" t="s">
        <v>126</v>
      </c>
      <c r="B808" s="11">
        <v>2020.0</v>
      </c>
      <c r="C808" s="11">
        <v>103.0</v>
      </c>
      <c r="D808" s="11">
        <v>4.909599781</v>
      </c>
      <c r="E808" s="11">
        <v>0.108330332</v>
      </c>
      <c r="F808" s="11">
        <v>0.617435038</v>
      </c>
      <c r="G808" s="11">
        <v>53.50009537</v>
      </c>
      <c r="H808" s="11">
        <v>0.759772122</v>
      </c>
      <c r="I808" s="11">
        <v>0.013860817</v>
      </c>
      <c r="J808" s="11">
        <v>0.722530186</v>
      </c>
      <c r="K808" s="11">
        <v>-0.163911060433304</v>
      </c>
      <c r="L808" s="11">
        <v>-0.205180856104883</v>
      </c>
      <c r="M808" s="11">
        <v>2.83631784313912</v>
      </c>
      <c r="N808" s="11">
        <v>2.762</v>
      </c>
      <c r="O808" s="12"/>
      <c r="P808" s="12"/>
      <c r="Q808" s="13" t="s">
        <v>28</v>
      </c>
      <c r="S808" s="14">
        <v>1.114</v>
      </c>
      <c r="T808" s="14">
        <v>0.65</v>
      </c>
      <c r="U808" s="14">
        <v>0.400770068</v>
      </c>
    </row>
    <row r="809">
      <c r="A809" s="15" t="s">
        <v>126</v>
      </c>
      <c r="B809" s="16">
        <v>2021.0</v>
      </c>
      <c r="C809" s="16">
        <v>96.0</v>
      </c>
      <c r="D809" s="16">
        <v>5.074</v>
      </c>
      <c r="E809" s="16">
        <v>7.098</v>
      </c>
      <c r="F809" s="16">
        <v>0.641</v>
      </c>
      <c r="G809" s="16">
        <v>53.78</v>
      </c>
      <c r="H809" s="16">
        <v>0.806</v>
      </c>
      <c r="I809" s="16">
        <v>0.018</v>
      </c>
      <c r="J809" s="16">
        <v>0.693</v>
      </c>
      <c r="K809" s="16">
        <v>0.63</v>
      </c>
      <c r="L809" s="16">
        <v>7.47</v>
      </c>
      <c r="M809" s="16">
        <v>3.11864066290165</v>
      </c>
      <c r="N809" s="16">
        <v>3.83786802840503</v>
      </c>
      <c r="O809" s="12"/>
      <c r="P809" s="12"/>
      <c r="Q809" s="17" t="s">
        <v>28</v>
      </c>
      <c r="S809" s="14">
        <v>1.116</v>
      </c>
      <c r="T809" s="14">
        <v>0.651</v>
      </c>
      <c r="U809" s="14">
        <v>0.408</v>
      </c>
    </row>
    <row r="810">
      <c r="A810" s="10" t="s">
        <v>126</v>
      </c>
      <c r="B810" s="11">
        <v>2023.0</v>
      </c>
      <c r="C810" s="11">
        <v>109.0</v>
      </c>
      <c r="D810" s="11">
        <v>4.501</v>
      </c>
      <c r="E810" s="11">
        <v>7.091</v>
      </c>
      <c r="F810" s="11">
        <v>0.59</v>
      </c>
      <c r="G810" s="11">
        <v>56.55</v>
      </c>
      <c r="H810" s="11">
        <v>0.788</v>
      </c>
      <c r="I810" s="11">
        <v>0.032</v>
      </c>
      <c r="J810" s="11">
        <v>0.734</v>
      </c>
      <c r="K810" s="11">
        <v>5.40926728475715</v>
      </c>
      <c r="L810" s="11">
        <v>4.29054530083133</v>
      </c>
      <c r="M810" s="11">
        <v>2.80037408904025</v>
      </c>
      <c r="N810" s="11">
        <v>3.70097316425842</v>
      </c>
      <c r="O810" s="12"/>
      <c r="P810" s="12"/>
      <c r="Q810" s="13" t="s">
        <v>28</v>
      </c>
      <c r="S810" s="14">
        <v>1.117</v>
      </c>
      <c r="T810" s="14">
        <v>0.651</v>
      </c>
      <c r="U810" s="14">
        <v>0.408</v>
      </c>
    </row>
    <row r="811">
      <c r="A811" s="15" t="s">
        <v>127</v>
      </c>
      <c r="B811" s="16">
        <v>2015.0</v>
      </c>
      <c r="C811" s="16">
        <v>78.0</v>
      </c>
      <c r="D811" s="16">
        <v>5.268</v>
      </c>
      <c r="E811" s="16">
        <v>0.65435</v>
      </c>
      <c r="F811" s="16">
        <v>0.90432</v>
      </c>
      <c r="G811" s="16">
        <v>0.16007</v>
      </c>
      <c r="H811" s="16">
        <v>0.34334</v>
      </c>
      <c r="I811" s="16">
        <v>0.27233</v>
      </c>
      <c r="J811" s="16">
        <v>0.0403</v>
      </c>
      <c r="K811" s="16">
        <v>7.19639730453491</v>
      </c>
      <c r="L811" s="16">
        <v>9.86277961730957</v>
      </c>
      <c r="M811" s="16">
        <v>2.8642965957254</v>
      </c>
      <c r="N811" s="16">
        <v>9.01194667816162</v>
      </c>
      <c r="O811" s="16">
        <v>8.1610517501831</v>
      </c>
      <c r="P811" s="12"/>
      <c r="Q811" s="17" t="s">
        <v>28</v>
      </c>
      <c r="S811" s="14">
        <v>1.11862</v>
      </c>
      <c r="T811" s="14">
        <v>0.65124</v>
      </c>
      <c r="U811" s="14">
        <v>0.40867</v>
      </c>
    </row>
    <row r="812">
      <c r="A812" s="10" t="s">
        <v>127</v>
      </c>
      <c r="B812" s="11">
        <v>2016.0</v>
      </c>
      <c r="C812" s="11">
        <v>103.0</v>
      </c>
      <c r="D812" s="11">
        <v>4.875</v>
      </c>
      <c r="E812" s="11">
        <v>0.75216</v>
      </c>
      <c r="F812" s="11">
        <v>0.64498</v>
      </c>
      <c r="G812" s="11">
        <v>0.05108</v>
      </c>
      <c r="H812" s="11">
        <v>0.27854</v>
      </c>
      <c r="I812" s="11">
        <v>0.23219</v>
      </c>
      <c r="J812" s="11">
        <v>0.0305</v>
      </c>
      <c r="K812" s="11">
        <v>21.9095821380615</v>
      </c>
      <c r="L812" s="11">
        <v>14.8309116363525</v>
      </c>
      <c r="M812" s="11">
        <v>9.54353500102644</v>
      </c>
      <c r="N812" s="11">
        <v>15.6871175765991</v>
      </c>
      <c r="O812" s="11">
        <v>12.590518951416</v>
      </c>
      <c r="P812" s="12"/>
      <c r="Q812" s="13" t="s">
        <v>28</v>
      </c>
      <c r="S812" s="14">
        <v>1.122</v>
      </c>
      <c r="T812" s="14">
        <v>0.651352704</v>
      </c>
      <c r="U812" s="14">
        <v>0.409</v>
      </c>
    </row>
    <row r="813">
      <c r="A813" s="15" t="s">
        <v>127</v>
      </c>
      <c r="B813" s="16">
        <v>2017.0</v>
      </c>
      <c r="C813" s="16">
        <v>95.0</v>
      </c>
      <c r="D813" s="16">
        <v>5.073999882</v>
      </c>
      <c r="E813" s="16">
        <v>0.783756256</v>
      </c>
      <c r="F813" s="16">
        <v>1.215770483</v>
      </c>
      <c r="G813" s="16">
        <v>0.05691573</v>
      </c>
      <c r="H813" s="16">
        <v>0.394952565</v>
      </c>
      <c r="I813" s="16">
        <v>0.230947196</v>
      </c>
      <c r="J813" s="16">
        <v>0.026121566</v>
      </c>
      <c r="K813" s="16">
        <v>12.857774734497</v>
      </c>
      <c r="L813" s="16">
        <v>19.447509765625</v>
      </c>
      <c r="M813" s="16">
        <v>11.1188450804146</v>
      </c>
      <c r="N813" s="16">
        <v>16.502</v>
      </c>
      <c r="O813" s="16">
        <v>12.9648571014404</v>
      </c>
      <c r="P813" s="12"/>
      <c r="Q813" s="17" t="s">
        <v>28</v>
      </c>
      <c r="S813" s="14">
        <v>1.12241</v>
      </c>
      <c r="T813" s="14">
        <v>0.653</v>
      </c>
      <c r="U813" s="14">
        <v>0.41</v>
      </c>
    </row>
    <row r="814">
      <c r="A814" s="10" t="s">
        <v>127</v>
      </c>
      <c r="B814" s="11">
        <v>2018.0</v>
      </c>
      <c r="C814" s="11">
        <v>91.0</v>
      </c>
      <c r="D814" s="11">
        <v>5.155</v>
      </c>
      <c r="E814" s="11">
        <v>0.689</v>
      </c>
      <c r="F814" s="11">
        <v>1.172</v>
      </c>
      <c r="G814" s="11">
        <v>0.048</v>
      </c>
      <c r="H814" s="11">
        <v>0.462</v>
      </c>
      <c r="I814" s="11">
        <v>0.201</v>
      </c>
      <c r="J814" s="11">
        <v>0.032</v>
      </c>
      <c r="K814" s="11">
        <v>7.39625549316406</v>
      </c>
      <c r="L814" s="11">
        <v>14.3170795440673</v>
      </c>
      <c r="M814" s="11">
        <v>10.228518424825</v>
      </c>
      <c r="N814" s="11">
        <v>12.1</v>
      </c>
      <c r="O814" s="11">
        <v>11.1877279281616</v>
      </c>
      <c r="P814" s="12"/>
      <c r="Q814" s="13" t="s">
        <v>28</v>
      </c>
      <c r="S814" s="14">
        <v>1.123235941</v>
      </c>
      <c r="T814" s="14">
        <v>0.654</v>
      </c>
      <c r="U814" s="14">
        <v>0.41004</v>
      </c>
    </row>
    <row r="815">
      <c r="A815" s="15" t="s">
        <v>127</v>
      </c>
      <c r="B815" s="16">
        <v>2019.0</v>
      </c>
      <c r="C815" s="16">
        <v>85.0</v>
      </c>
      <c r="D815" s="16">
        <v>5.265</v>
      </c>
      <c r="E815" s="16">
        <v>0.696</v>
      </c>
      <c r="F815" s="16">
        <v>1.111</v>
      </c>
      <c r="G815" s="16">
        <v>0.245</v>
      </c>
      <c r="H815" s="16">
        <v>0.426</v>
      </c>
      <c r="I815" s="16">
        <v>0.215</v>
      </c>
      <c r="J815" s="16">
        <v>0.041</v>
      </c>
      <c r="K815" s="16">
        <v>7.35242795944213</v>
      </c>
      <c r="L815" s="16">
        <v>13.6811113357543</v>
      </c>
      <c r="M815" s="16">
        <v>10.3847919216646</v>
      </c>
      <c r="N815" s="16">
        <v>11.3970003128051</v>
      </c>
      <c r="O815" s="16">
        <v>9.76333999633789</v>
      </c>
      <c r="P815" s="12"/>
      <c r="Q815" s="17" t="s">
        <v>28</v>
      </c>
      <c r="S815" s="14">
        <v>1.12447</v>
      </c>
      <c r="T815" s="14">
        <v>0.654</v>
      </c>
      <c r="U815" s="14">
        <v>0.411</v>
      </c>
    </row>
    <row r="816">
      <c r="A816" s="10" t="s">
        <v>127</v>
      </c>
      <c r="B816" s="11">
        <v>2020.0</v>
      </c>
      <c r="C816" s="11">
        <v>115.0</v>
      </c>
      <c r="D816" s="11">
        <v>4.724100113</v>
      </c>
      <c r="E816" s="11">
        <v>0.645901859</v>
      </c>
      <c r="F816" s="11">
        <v>0.73721689</v>
      </c>
      <c r="G816" s="11">
        <v>49.86190796</v>
      </c>
      <c r="H816" s="11">
        <v>0.759578407</v>
      </c>
      <c r="I816" s="11">
        <v>0.033745807</v>
      </c>
      <c r="J816" s="11">
        <v>0.861874342</v>
      </c>
      <c r="K816" s="11">
        <v>8.12532615661621</v>
      </c>
      <c r="L816" s="11">
        <v>16.0825958251953</v>
      </c>
      <c r="M816" s="11">
        <v>7.84899981684346</v>
      </c>
      <c r="N816" s="11">
        <v>13.247</v>
      </c>
      <c r="O816" s="11">
        <v>10.8505125045776</v>
      </c>
      <c r="P816" s="12"/>
      <c r="Q816" s="13" t="s">
        <v>28</v>
      </c>
      <c r="S816" s="14">
        <v>1.125</v>
      </c>
      <c r="T816" s="14">
        <v>0.654</v>
      </c>
      <c r="U816" s="14">
        <v>0.41203</v>
      </c>
    </row>
    <row r="817">
      <c r="A817" s="15" t="s">
        <v>127</v>
      </c>
      <c r="B817" s="16">
        <v>2021.0</v>
      </c>
      <c r="C817" s="16">
        <v>116.0</v>
      </c>
      <c r="D817" s="16">
        <v>4.759</v>
      </c>
      <c r="E817" s="16">
        <v>8.533</v>
      </c>
      <c r="F817" s="16">
        <v>0.74</v>
      </c>
      <c r="G817" s="16">
        <v>50.102</v>
      </c>
      <c r="H817" s="16">
        <v>0.737</v>
      </c>
      <c r="I817" s="16">
        <v>0.037</v>
      </c>
      <c r="J817" s="16">
        <v>0.878</v>
      </c>
      <c r="K817" s="16">
        <v>10.22</v>
      </c>
      <c r="L817" s="16">
        <v>20.3</v>
      </c>
      <c r="M817" s="16">
        <v>10.1310336860574</v>
      </c>
      <c r="N817" s="16">
        <v>16.9527907834194</v>
      </c>
      <c r="O817" s="16">
        <v>13.7480349030071</v>
      </c>
      <c r="P817" s="12"/>
      <c r="Q817" s="17" t="s">
        <v>28</v>
      </c>
      <c r="S817" s="14">
        <v>1.125</v>
      </c>
      <c r="T817" s="14">
        <v>0.655</v>
      </c>
      <c r="U817" s="14">
        <v>0.41372</v>
      </c>
    </row>
    <row r="818">
      <c r="A818" s="10" t="s">
        <v>127</v>
      </c>
      <c r="B818" s="11">
        <v>2022.0</v>
      </c>
      <c r="C818" s="11">
        <v>118.0</v>
      </c>
      <c r="D818" s="11">
        <v>4.552</v>
      </c>
      <c r="E818" s="11">
        <v>1.079</v>
      </c>
      <c r="F818" s="11">
        <v>0.732</v>
      </c>
      <c r="G818" s="11">
        <v>0.3</v>
      </c>
      <c r="H818" s="11">
        <v>0.444</v>
      </c>
      <c r="I818" s="11">
        <v>0.175</v>
      </c>
      <c r="J818" s="11">
        <v>0.038</v>
      </c>
      <c r="K818" s="11">
        <v>13.8642327189545</v>
      </c>
      <c r="L818" s="11">
        <v>19.4500201845925</v>
      </c>
      <c r="M818" s="11">
        <v>11.3851100926051</v>
      </c>
      <c r="N818" s="11">
        <v>18.5307886743446</v>
      </c>
      <c r="O818" s="11">
        <v>16.0141816272859</v>
      </c>
      <c r="P818" s="12"/>
      <c r="Q818" s="13" t="s">
        <v>28</v>
      </c>
      <c r="S818" s="14">
        <v>1.12575</v>
      </c>
      <c r="T818" s="14">
        <v>0.656</v>
      </c>
      <c r="U818" s="14">
        <v>0.415</v>
      </c>
    </row>
    <row r="819">
      <c r="A819" s="15" t="s">
        <v>127</v>
      </c>
      <c r="B819" s="16">
        <v>2023.0</v>
      </c>
      <c r="C819" s="16">
        <v>95.0</v>
      </c>
      <c r="D819" s="16">
        <v>4.981</v>
      </c>
      <c r="E819" s="16">
        <v>8.496</v>
      </c>
      <c r="F819" s="16">
        <v>0.74</v>
      </c>
      <c r="G819" s="16">
        <v>54.891</v>
      </c>
      <c r="H819" s="16">
        <v>0.718</v>
      </c>
      <c r="I819" s="16">
        <v>0.073</v>
      </c>
      <c r="J819" s="16">
        <v>0.911</v>
      </c>
      <c r="K819" s="16">
        <v>19.2840458036187</v>
      </c>
      <c r="L819" s="16">
        <v>27.7903741914558</v>
      </c>
      <c r="M819" s="16">
        <v>11.7315876437828</v>
      </c>
      <c r="N819" s="16">
        <v>23.3158919213192</v>
      </c>
      <c r="O819" s="16">
        <v>20.7561645751956</v>
      </c>
      <c r="P819" s="12"/>
      <c r="Q819" s="17" t="s">
        <v>28</v>
      </c>
      <c r="S819" s="14">
        <v>1.1269</v>
      </c>
      <c r="T819" s="14">
        <v>0.656</v>
      </c>
      <c r="U819" s="14">
        <v>0.41516912</v>
      </c>
    </row>
    <row r="820">
      <c r="A820" s="10" t="s">
        <v>128</v>
      </c>
      <c r="B820" s="11">
        <v>2019.0</v>
      </c>
      <c r="C820" s="11">
        <v>84.0</v>
      </c>
      <c r="D820" s="11">
        <v>5.274</v>
      </c>
      <c r="E820" s="11">
        <v>0.983</v>
      </c>
      <c r="F820" s="11">
        <v>1.294</v>
      </c>
      <c r="G820" s="11">
        <v>0.838</v>
      </c>
      <c r="H820" s="11">
        <v>0.345</v>
      </c>
      <c r="I820" s="11">
        <v>0.185</v>
      </c>
      <c r="J820" s="11">
        <v>0.034</v>
      </c>
      <c r="K820" s="12"/>
      <c r="L820" s="12"/>
      <c r="M820" s="12"/>
      <c r="N820" s="12"/>
      <c r="O820" s="11">
        <v>0.500474035739898</v>
      </c>
      <c r="P820" s="11">
        <v>2.09043526649475</v>
      </c>
      <c r="Q820" s="12"/>
      <c r="S820" s="14">
        <v>1.127</v>
      </c>
      <c r="T820" s="14">
        <v>0.657</v>
      </c>
      <c r="U820" s="14">
        <v>0.419</v>
      </c>
    </row>
    <row r="821">
      <c r="A821" s="15" t="s">
        <v>128</v>
      </c>
      <c r="B821" s="16">
        <v>2021.0</v>
      </c>
      <c r="C821" s="16">
        <v>94.0</v>
      </c>
      <c r="D821" s="16">
        <v>5.101</v>
      </c>
      <c r="E821" s="16">
        <v>9.693</v>
      </c>
      <c r="F821" s="16">
        <v>0.805</v>
      </c>
      <c r="G821" s="16">
        <v>65.474</v>
      </c>
      <c r="H821" s="16">
        <v>0.751</v>
      </c>
      <c r="I821" s="16">
        <v>0.038</v>
      </c>
      <c r="J821" s="16">
        <v>0.905</v>
      </c>
      <c r="K821" s="12"/>
      <c r="L821" s="12"/>
      <c r="M821" s="12"/>
      <c r="N821" s="12"/>
      <c r="O821" s="16">
        <v>2.3539302227827</v>
      </c>
      <c r="P821" s="16">
        <v>11.1339879632565</v>
      </c>
      <c r="Q821" s="12"/>
      <c r="S821" s="14">
        <v>1.12945</v>
      </c>
      <c r="T821" s="14">
        <v>0.65821</v>
      </c>
      <c r="U821" s="14">
        <v>0.41904</v>
      </c>
    </row>
    <row r="822">
      <c r="A822" s="10" t="s">
        <v>128</v>
      </c>
      <c r="B822" s="11">
        <v>2022.0</v>
      </c>
      <c r="C822" s="11">
        <v>89.0</v>
      </c>
      <c r="D822" s="11">
        <v>5.199</v>
      </c>
      <c r="E822" s="11">
        <v>1.505</v>
      </c>
      <c r="F822" s="11">
        <v>0.863</v>
      </c>
      <c r="G822" s="11">
        <v>0.637</v>
      </c>
      <c r="H822" s="11">
        <v>0.488</v>
      </c>
      <c r="I822" s="11">
        <v>0.215</v>
      </c>
      <c r="J822" s="11">
        <v>0.031</v>
      </c>
      <c r="K822" s="12"/>
      <c r="L822" s="12"/>
      <c r="M822" s="12"/>
      <c r="N822" s="12"/>
      <c r="O822" s="11">
        <v>12.3379142605607</v>
      </c>
      <c r="P822" s="11">
        <v>18.5099920216874</v>
      </c>
      <c r="Q822" s="12"/>
      <c r="S822" s="14">
        <v>1.129624248</v>
      </c>
      <c r="T822" s="14">
        <v>0.658248663</v>
      </c>
      <c r="U822" s="14">
        <v>0.41978</v>
      </c>
    </row>
    <row r="823">
      <c r="A823" s="15" t="s">
        <v>128</v>
      </c>
      <c r="B823" s="16">
        <v>2023.0</v>
      </c>
      <c r="C823" s="16">
        <v>87.0</v>
      </c>
      <c r="D823" s="16">
        <v>5.254</v>
      </c>
      <c r="E823" s="16">
        <v>9.703</v>
      </c>
      <c r="F823" s="16">
        <v>0.805</v>
      </c>
      <c r="G823" s="16">
        <v>66.5</v>
      </c>
      <c r="H823" s="16">
        <v>0.769</v>
      </c>
      <c r="I823" s="16">
        <v>0.131</v>
      </c>
      <c r="J823" s="16">
        <v>0.902</v>
      </c>
      <c r="K823" s="12"/>
      <c r="L823" s="12"/>
      <c r="M823" s="12"/>
      <c r="N823" s="12"/>
      <c r="O823" s="16">
        <v>8.13154612231967</v>
      </c>
      <c r="P823" s="16">
        <v>1.15417324747903</v>
      </c>
      <c r="Q823" s="12"/>
      <c r="S823" s="14">
        <v>1.129827738</v>
      </c>
      <c r="T823" s="14">
        <v>0.659</v>
      </c>
      <c r="U823" s="14">
        <v>0.42</v>
      </c>
    </row>
    <row r="824">
      <c r="A824" s="10" t="s">
        <v>129</v>
      </c>
      <c r="B824" s="11">
        <v>2015.0</v>
      </c>
      <c r="C824" s="11">
        <v>4.0</v>
      </c>
      <c r="D824" s="11">
        <v>7.522</v>
      </c>
      <c r="E824" s="11">
        <v>1.459</v>
      </c>
      <c r="F824" s="11">
        <v>1.33095</v>
      </c>
      <c r="G824" s="11">
        <v>0.88521</v>
      </c>
      <c r="H824" s="11">
        <v>0.66973</v>
      </c>
      <c r="I824" s="11">
        <v>0.34699</v>
      </c>
      <c r="J824" s="11">
        <v>0.36503</v>
      </c>
      <c r="K824" s="11">
        <v>1.30012607574462</v>
      </c>
      <c r="L824" s="11">
        <v>2.88996815681457</v>
      </c>
      <c r="M824" s="11">
        <v>-2.85444455055762</v>
      </c>
      <c r="N824" s="11">
        <v>2.17113661766052</v>
      </c>
      <c r="O824" s="11">
        <v>2.608965</v>
      </c>
      <c r="P824" s="11">
        <v>-8.09527456536718</v>
      </c>
      <c r="Q824" s="13" t="s">
        <v>26</v>
      </c>
      <c r="S824" s="14">
        <v>1.13</v>
      </c>
      <c r="T824" s="14">
        <v>0.659</v>
      </c>
      <c r="U824" s="14">
        <v>0.42</v>
      </c>
    </row>
    <row r="825">
      <c r="A825" s="15" t="s">
        <v>129</v>
      </c>
      <c r="B825" s="16">
        <v>2016.0</v>
      </c>
      <c r="C825" s="16">
        <v>4.0</v>
      </c>
      <c r="D825" s="16">
        <v>7.498</v>
      </c>
      <c r="E825" s="16">
        <v>1.57744</v>
      </c>
      <c r="F825" s="16">
        <v>1.1269</v>
      </c>
      <c r="G825" s="16">
        <v>0.79579</v>
      </c>
      <c r="H825" s="16">
        <v>0.59609</v>
      </c>
      <c r="I825" s="16">
        <v>0.37895</v>
      </c>
      <c r="J825" s="16">
        <v>0.35776</v>
      </c>
      <c r="K825" s="16">
        <v>4.48370313644409</v>
      </c>
      <c r="L825" s="16">
        <v>2.57543396949768</v>
      </c>
      <c r="M825" s="16">
        <v>-1.47462014877279</v>
      </c>
      <c r="N825" s="16">
        <v>3.55000305175781</v>
      </c>
      <c r="O825" s="16">
        <v>3.255026</v>
      </c>
      <c r="P825" s="16">
        <v>-8.02499999999983</v>
      </c>
      <c r="Q825" s="17" t="s">
        <v>26</v>
      </c>
      <c r="S825" s="14">
        <v>1.131363273</v>
      </c>
      <c r="T825" s="14">
        <v>0.659</v>
      </c>
      <c r="U825" s="14">
        <v>0.42922</v>
      </c>
    </row>
    <row r="826">
      <c r="A826" s="10" t="s">
        <v>129</v>
      </c>
      <c r="B826" s="11">
        <v>2017.0</v>
      </c>
      <c r="C826" s="11">
        <v>1.0</v>
      </c>
      <c r="D826" s="11">
        <v>7.537000179</v>
      </c>
      <c r="E826" s="11">
        <v>1.616463184</v>
      </c>
      <c r="F826" s="11">
        <v>1.53352356</v>
      </c>
      <c r="G826" s="11">
        <v>0.796666503</v>
      </c>
      <c r="H826" s="11">
        <v>0.635422587</v>
      </c>
      <c r="I826" s="11">
        <v>0.362012237</v>
      </c>
      <c r="J826" s="11">
        <v>0.315963835</v>
      </c>
      <c r="K826" s="11">
        <v>3.00710248947143</v>
      </c>
      <c r="L826" s="11">
        <v>0.0081234732642769</v>
      </c>
      <c r="M826" s="11">
        <v>3.95126331777515</v>
      </c>
      <c r="N826" s="11">
        <v>1.875</v>
      </c>
      <c r="O826" s="11">
        <v>1.725942</v>
      </c>
      <c r="P826" s="11">
        <v>9.2778834828305</v>
      </c>
      <c r="Q826" s="13" t="s">
        <v>26</v>
      </c>
      <c r="S826" s="14">
        <v>1.13299</v>
      </c>
      <c r="T826" s="14">
        <v>0.6598</v>
      </c>
      <c r="U826" s="14">
        <v>0.435915917</v>
      </c>
    </row>
    <row r="827">
      <c r="A827" s="15" t="s">
        <v>129</v>
      </c>
      <c r="B827" s="16">
        <v>2018.0</v>
      </c>
      <c r="C827" s="16">
        <v>2.0</v>
      </c>
      <c r="D827" s="16">
        <v>7.594</v>
      </c>
      <c r="E827" s="16">
        <v>1.456</v>
      </c>
      <c r="F827" s="16">
        <v>1.582</v>
      </c>
      <c r="G827" s="16">
        <v>0.861</v>
      </c>
      <c r="H827" s="16">
        <v>0.686</v>
      </c>
      <c r="I827" s="16">
        <v>0.286</v>
      </c>
      <c r="J827" s="16">
        <v>0.34</v>
      </c>
      <c r="K827" s="16">
        <v>5.01006269454956</v>
      </c>
      <c r="L827" s="16">
        <v>2.52681231498718</v>
      </c>
      <c r="M827" s="16">
        <v>6.65187760630525</v>
      </c>
      <c r="N827" s="16">
        <v>2.76</v>
      </c>
      <c r="O827" s="16">
        <v>1.202938</v>
      </c>
      <c r="P827" s="16">
        <v>14.8246414061852</v>
      </c>
      <c r="Q827" s="17" t="s">
        <v>26</v>
      </c>
      <c r="S827" s="14">
        <v>1.134</v>
      </c>
      <c r="T827" s="14">
        <v>0.66</v>
      </c>
      <c r="U827" s="14">
        <v>0.43844</v>
      </c>
    </row>
    <row r="828">
      <c r="A828" s="10" t="s">
        <v>129</v>
      </c>
      <c r="B828" s="11">
        <v>2019.0</v>
      </c>
      <c r="C828" s="11">
        <v>3.0</v>
      </c>
      <c r="D828" s="11">
        <v>7.554</v>
      </c>
      <c r="E828" s="11">
        <v>1.488</v>
      </c>
      <c r="F828" s="11">
        <v>1.582</v>
      </c>
      <c r="G828" s="11">
        <v>1.028</v>
      </c>
      <c r="H828" s="11">
        <v>0.603</v>
      </c>
      <c r="I828" s="11">
        <v>0.271</v>
      </c>
      <c r="J828" s="11">
        <v>0.341</v>
      </c>
      <c r="K828" s="11">
        <v>0.128422707319259</v>
      </c>
      <c r="L828" s="11">
        <v>1.06523274297374</v>
      </c>
      <c r="M828" s="11">
        <v>-0.438000000000002</v>
      </c>
      <c r="N828" s="11">
        <v>2.16799998283386</v>
      </c>
      <c r="O828" s="11">
        <v>2.588146</v>
      </c>
      <c r="P828" s="11">
        <v>-3.57426528991287</v>
      </c>
      <c r="Q828" s="13" t="s">
        <v>26</v>
      </c>
      <c r="S828" s="14">
        <v>1.13464</v>
      </c>
      <c r="T828" s="14">
        <v>0.66</v>
      </c>
      <c r="U828" s="14">
        <v>0.439299256</v>
      </c>
    </row>
    <row r="829">
      <c r="A829" s="15" t="s">
        <v>129</v>
      </c>
      <c r="B829" s="16">
        <v>2020.0</v>
      </c>
      <c r="C829" s="16">
        <v>5.0</v>
      </c>
      <c r="D829" s="16">
        <v>7.487999916</v>
      </c>
      <c r="E829" s="16">
        <v>1.42420733</v>
      </c>
      <c r="F829" s="16">
        <v>0.952486575</v>
      </c>
      <c r="G829" s="16">
        <v>73.20078278</v>
      </c>
      <c r="H829" s="16">
        <v>0.955750287</v>
      </c>
      <c r="I829" s="16">
        <v>0.13453263</v>
      </c>
      <c r="J829" s="16">
        <v>0.263218194</v>
      </c>
      <c r="K829" s="16">
        <v>-3.48769898697541</v>
      </c>
      <c r="L829" s="16">
        <v>3.26592134801145</v>
      </c>
      <c r="M829" s="16">
        <v>-3.74540487334525</v>
      </c>
      <c r="N829" s="16">
        <v>1.28658490708054</v>
      </c>
      <c r="O829" s="16">
        <v>3.137981</v>
      </c>
      <c r="P829" s="16">
        <v>-10.161749288603</v>
      </c>
      <c r="Q829" s="17" t="s">
        <v>26</v>
      </c>
      <c r="S829" s="14">
        <v>1.137853503</v>
      </c>
      <c r="T829" s="14">
        <v>0.661</v>
      </c>
      <c r="U829" s="14">
        <v>0.442</v>
      </c>
    </row>
    <row r="830">
      <c r="A830" s="10" t="s">
        <v>129</v>
      </c>
      <c r="B830" s="11">
        <v>2021.0</v>
      </c>
      <c r="C830" s="11">
        <v>6.0</v>
      </c>
      <c r="D830" s="11">
        <v>7.392</v>
      </c>
      <c r="E830" s="11">
        <v>11.053</v>
      </c>
      <c r="F830" s="11">
        <v>0.954</v>
      </c>
      <c r="G830" s="11">
        <v>73.3</v>
      </c>
      <c r="H830" s="11">
        <v>0.96</v>
      </c>
      <c r="I830" s="11">
        <v>0.093</v>
      </c>
      <c r="J830" s="11">
        <v>0.27</v>
      </c>
      <c r="K830" s="11">
        <v>44.51904</v>
      </c>
      <c r="L830" s="11">
        <v>-2.027</v>
      </c>
      <c r="M830" s="11">
        <v>16.9113499819994</v>
      </c>
      <c r="N830" s="11">
        <v>3.483881</v>
      </c>
      <c r="O830" s="11">
        <v>1.66</v>
      </c>
      <c r="P830" s="11">
        <v>37.7511044427781</v>
      </c>
      <c r="Q830" s="13" t="s">
        <v>26</v>
      </c>
      <c r="S830" s="14">
        <v>1.13935</v>
      </c>
      <c r="T830" s="14">
        <v>0.66246</v>
      </c>
      <c r="U830" s="14">
        <v>0.444</v>
      </c>
    </row>
    <row r="831">
      <c r="A831" s="15" t="s">
        <v>129</v>
      </c>
      <c r="B831" s="16">
        <v>2022.0</v>
      </c>
      <c r="C831" s="16">
        <v>8.0</v>
      </c>
      <c r="D831" s="16">
        <v>7.365</v>
      </c>
      <c r="E831" s="16">
        <v>1.997</v>
      </c>
      <c r="F831" s="16">
        <v>1.239</v>
      </c>
      <c r="G831" s="16">
        <v>0.786</v>
      </c>
      <c r="H831" s="16">
        <v>0.728</v>
      </c>
      <c r="I831" s="16">
        <v>0.217</v>
      </c>
      <c r="J831" s="16">
        <v>0.474</v>
      </c>
      <c r="K831" s="16">
        <v>27.0354150536913</v>
      </c>
      <c r="L831" s="16">
        <v>6.495117</v>
      </c>
      <c r="M831" s="16">
        <v>21.8953222985635</v>
      </c>
      <c r="N831" s="16">
        <v>5.764123</v>
      </c>
      <c r="O831" s="16">
        <v>3.61599123767797</v>
      </c>
      <c r="P831" s="16">
        <v>51.8818830933072</v>
      </c>
      <c r="Q831" s="17" t="s">
        <v>26</v>
      </c>
      <c r="S831" s="14">
        <v>1.14184</v>
      </c>
      <c r="T831" s="14">
        <v>0.663081884</v>
      </c>
      <c r="U831" s="14">
        <v>0.44453</v>
      </c>
    </row>
    <row r="832">
      <c r="A832" s="10" t="s">
        <v>129</v>
      </c>
      <c r="B832" s="11">
        <v>2023.0</v>
      </c>
      <c r="C832" s="11">
        <v>7.0</v>
      </c>
      <c r="D832" s="11">
        <v>7.315</v>
      </c>
      <c r="E832" s="11">
        <v>11.088</v>
      </c>
      <c r="F832" s="11">
        <v>0.943</v>
      </c>
      <c r="G832" s="11">
        <v>71.5</v>
      </c>
      <c r="H832" s="11">
        <v>0.947</v>
      </c>
      <c r="I832" s="11">
        <v>0.141</v>
      </c>
      <c r="J832" s="11">
        <v>0.283</v>
      </c>
      <c r="K832" s="11">
        <v>-3.92518301635317</v>
      </c>
      <c r="L832" s="11">
        <v>9.77441048034934</v>
      </c>
      <c r="M832" s="11">
        <v>-10.1200260699094</v>
      </c>
      <c r="N832" s="11">
        <v>5.51784987104659</v>
      </c>
      <c r="O832" s="11">
        <v>5.82725077286288</v>
      </c>
      <c r="P832" s="11">
        <v>-21.8070273284996</v>
      </c>
      <c r="Q832" s="13" t="s">
        <v>26</v>
      </c>
      <c r="S832" s="14">
        <v>1.142</v>
      </c>
      <c r="T832" s="14">
        <v>0.66465199</v>
      </c>
      <c r="U832" s="14">
        <v>0.453</v>
      </c>
    </row>
    <row r="833">
      <c r="A833" s="15" t="s">
        <v>130</v>
      </c>
      <c r="B833" s="16">
        <v>2015.0</v>
      </c>
      <c r="C833" s="16">
        <v>22.0</v>
      </c>
      <c r="D833" s="16">
        <v>6.853</v>
      </c>
      <c r="E833" s="16">
        <v>1.36011</v>
      </c>
      <c r="F833" s="16">
        <v>1.08182</v>
      </c>
      <c r="G833" s="16">
        <v>0.76276</v>
      </c>
      <c r="H833" s="16">
        <v>0.63274</v>
      </c>
      <c r="I833" s="16">
        <v>0.21542</v>
      </c>
      <c r="J833" s="16">
        <v>0.32524</v>
      </c>
      <c r="K833" s="16">
        <v>0.419999986886978</v>
      </c>
      <c r="L833" s="16">
        <v>-0.813071489334106</v>
      </c>
      <c r="M833" s="16">
        <v>-18.7787476917911</v>
      </c>
      <c r="N833" s="16">
        <v>0.0652838051319122</v>
      </c>
      <c r="O833" s="16">
        <v>0.45799725</v>
      </c>
      <c r="P833" s="16">
        <v>-22.6730079650878</v>
      </c>
      <c r="Q833" s="17" t="s">
        <v>24</v>
      </c>
      <c r="S833" s="14">
        <v>1.143</v>
      </c>
      <c r="T833" s="14">
        <v>0.665</v>
      </c>
      <c r="U833" s="14">
        <v>0.454</v>
      </c>
    </row>
    <row r="834">
      <c r="A834" s="10" t="s">
        <v>131</v>
      </c>
      <c r="B834" s="11">
        <v>2015.0</v>
      </c>
      <c r="C834" s="11">
        <v>81.0</v>
      </c>
      <c r="D834" s="11">
        <v>5.194</v>
      </c>
      <c r="E834" s="11">
        <v>0.59543</v>
      </c>
      <c r="F834" s="11">
        <v>0.41411</v>
      </c>
      <c r="G834" s="11">
        <v>0.51466</v>
      </c>
      <c r="H834" s="11">
        <v>0.12102</v>
      </c>
      <c r="I834" s="11">
        <v>0.33671</v>
      </c>
      <c r="J834" s="11">
        <v>0.10464</v>
      </c>
      <c r="K834" s="11">
        <v>5.2115740776062</v>
      </c>
      <c r="L834" s="11">
        <v>0.551987886428833</v>
      </c>
      <c r="M834" s="11">
        <v>4.7840189006296</v>
      </c>
      <c r="N834" s="11">
        <v>2.54875063896179</v>
      </c>
      <c r="O834" s="12"/>
      <c r="P834" s="11">
        <v>-2.51912522315979</v>
      </c>
      <c r="Q834" s="13" t="s">
        <v>24</v>
      </c>
      <c r="S834" s="14">
        <v>1.143944979</v>
      </c>
      <c r="T834" s="14">
        <v>0.665563583</v>
      </c>
      <c r="U834" s="14">
        <v>0.455220014</v>
      </c>
    </row>
    <row r="835">
      <c r="A835" s="15" t="s">
        <v>131</v>
      </c>
      <c r="B835" s="16">
        <v>2016.0</v>
      </c>
      <c r="C835" s="16">
        <v>92.0</v>
      </c>
      <c r="D835" s="16">
        <v>5.132</v>
      </c>
      <c r="E835" s="16">
        <v>0.68816</v>
      </c>
      <c r="F835" s="16">
        <v>0.26135</v>
      </c>
      <c r="G835" s="16">
        <v>0.40306</v>
      </c>
      <c r="H835" s="16">
        <v>0.14622</v>
      </c>
      <c r="I835" s="16">
        <v>0.31185</v>
      </c>
      <c r="J835" s="16">
        <v>0.1388</v>
      </c>
      <c r="K835" s="16">
        <v>4.96643114089965</v>
      </c>
      <c r="L835" s="16">
        <v>2.45652365684509</v>
      </c>
      <c r="M835" s="16">
        <v>1.32532174209496</v>
      </c>
      <c r="N835" s="16">
        <v>3.75473523139953</v>
      </c>
      <c r="O835" s="12"/>
      <c r="P835" s="16">
        <v>1.89683818817138</v>
      </c>
      <c r="Q835" s="17" t="s">
        <v>24</v>
      </c>
      <c r="S835" s="14">
        <v>1.145</v>
      </c>
      <c r="T835" s="14">
        <v>0.66557</v>
      </c>
      <c r="U835" s="14">
        <v>0.456422031</v>
      </c>
    </row>
    <row r="836">
      <c r="A836" s="10" t="s">
        <v>131</v>
      </c>
      <c r="B836" s="11">
        <v>2017.0</v>
      </c>
      <c r="C836" s="11">
        <v>80.0</v>
      </c>
      <c r="D836" s="11">
        <v>5.269000053</v>
      </c>
      <c r="E836" s="11">
        <v>0.726883531</v>
      </c>
      <c r="F836" s="11">
        <v>0.67269069</v>
      </c>
      <c r="G836" s="11">
        <v>0.402047783</v>
      </c>
      <c r="H836" s="11">
        <v>0.235215262</v>
      </c>
      <c r="I836" s="11">
        <v>0.315446019</v>
      </c>
      <c r="J836" s="11">
        <v>0.124348067</v>
      </c>
      <c r="K836" s="11">
        <v>5.03509616851806</v>
      </c>
      <c r="L836" s="11">
        <v>3.28662204742431</v>
      </c>
      <c r="M836" s="11">
        <v>4.34529931522821</v>
      </c>
      <c r="N836" s="11">
        <v>4.148</v>
      </c>
      <c r="O836" s="12"/>
      <c r="P836" s="11">
        <v>4.87043237686157</v>
      </c>
      <c r="Q836" s="13" t="s">
        <v>24</v>
      </c>
      <c r="S836" s="14">
        <v>1.14524</v>
      </c>
      <c r="T836" s="14">
        <v>0.666</v>
      </c>
      <c r="U836" s="14">
        <v>0.457</v>
      </c>
    </row>
    <row r="837">
      <c r="A837" s="15" t="s">
        <v>131</v>
      </c>
      <c r="B837" s="16">
        <v>2018.0</v>
      </c>
      <c r="C837" s="16">
        <v>75.0</v>
      </c>
      <c r="D837" s="16">
        <v>5.472</v>
      </c>
      <c r="E837" s="16">
        <v>0.652</v>
      </c>
      <c r="F837" s="16">
        <v>0.81</v>
      </c>
      <c r="G837" s="16">
        <v>0.424</v>
      </c>
      <c r="H837" s="16">
        <v>0.334</v>
      </c>
      <c r="I837" s="16">
        <v>0.216</v>
      </c>
      <c r="J837" s="16">
        <v>0.113</v>
      </c>
      <c r="K837" s="16">
        <v>6.21014833450317</v>
      </c>
      <c r="L837" s="16">
        <v>2.18946647644042</v>
      </c>
      <c r="M837" s="16">
        <v>2.75253561587618</v>
      </c>
      <c r="N837" s="16">
        <v>5.07</v>
      </c>
      <c r="O837" s="12"/>
      <c r="P837" s="16">
        <v>12.1325149536132</v>
      </c>
      <c r="Q837" s="17" t="s">
        <v>24</v>
      </c>
      <c r="S837" s="14">
        <v>1.146217465</v>
      </c>
      <c r="T837" s="14">
        <v>0.669</v>
      </c>
      <c r="U837" s="14">
        <v>0.459</v>
      </c>
    </row>
    <row r="838">
      <c r="A838" s="10" t="s">
        <v>131</v>
      </c>
      <c r="B838" s="11">
        <v>2019.0</v>
      </c>
      <c r="C838" s="11">
        <v>67.0</v>
      </c>
      <c r="D838" s="11">
        <v>5.653</v>
      </c>
      <c r="E838" s="11">
        <v>0.677</v>
      </c>
      <c r="F838" s="11">
        <v>0.886</v>
      </c>
      <c r="G838" s="11">
        <v>0.535</v>
      </c>
      <c r="H838" s="11">
        <v>0.313</v>
      </c>
      <c r="I838" s="11">
        <v>0.22</v>
      </c>
      <c r="J838" s="11">
        <v>0.098</v>
      </c>
      <c r="K838" s="11">
        <v>8.4858169555664</v>
      </c>
      <c r="L838" s="11">
        <v>11.6337566375732</v>
      </c>
      <c r="M838" s="11">
        <v>7.63772002396371</v>
      </c>
      <c r="N838" s="11">
        <v>6.73799991607666</v>
      </c>
      <c r="O838" s="12"/>
      <c r="P838" s="11">
        <v>14.1791505813598</v>
      </c>
      <c r="Q838" s="13" t="s">
        <v>24</v>
      </c>
      <c r="S838" s="14">
        <v>1.147</v>
      </c>
      <c r="T838" s="14">
        <v>0.669</v>
      </c>
      <c r="U838" s="14">
        <v>0.46</v>
      </c>
    </row>
    <row r="839">
      <c r="A839" s="15" t="s">
        <v>131</v>
      </c>
      <c r="B839" s="16">
        <v>2020.0</v>
      </c>
      <c r="C839" s="16">
        <v>66.0</v>
      </c>
      <c r="D839" s="16">
        <v>5.69329977</v>
      </c>
      <c r="E839" s="16">
        <v>0.616799474</v>
      </c>
      <c r="F839" s="16">
        <v>0.689062297</v>
      </c>
      <c r="G839" s="16">
        <v>58.25313568</v>
      </c>
      <c r="H839" s="16">
        <v>0.734833717</v>
      </c>
      <c r="I839" s="16">
        <v>0.04489987</v>
      </c>
      <c r="J839" s="16">
        <v>0.745705426</v>
      </c>
      <c r="K839" s="16">
        <v>6.1595932436736</v>
      </c>
      <c r="L839" s="16">
        <v>15.384934425354</v>
      </c>
      <c r="M839" s="16">
        <v>10.3116862464468</v>
      </c>
      <c r="N839" s="16">
        <v>9.73999313898116</v>
      </c>
      <c r="O839" s="12"/>
      <c r="P839" s="16">
        <v>5.80704355239868</v>
      </c>
      <c r="Q839" s="17" t="s">
        <v>24</v>
      </c>
      <c r="S839" s="14">
        <v>1.149</v>
      </c>
      <c r="T839" s="14">
        <v>0.66973</v>
      </c>
      <c r="U839" s="14">
        <v>0.461</v>
      </c>
    </row>
    <row r="840">
      <c r="A840" s="10" t="s">
        <v>131</v>
      </c>
      <c r="B840" s="11">
        <v>2021.0</v>
      </c>
      <c r="C840" s="11">
        <v>105.0</v>
      </c>
      <c r="D840" s="11">
        <v>4.934</v>
      </c>
      <c r="E840" s="11">
        <v>8.458</v>
      </c>
      <c r="F840" s="11">
        <v>0.651</v>
      </c>
      <c r="G840" s="11">
        <v>58.709</v>
      </c>
      <c r="H840" s="11">
        <v>0.726</v>
      </c>
      <c r="I840" s="11">
        <v>0.098</v>
      </c>
      <c r="J840" s="11">
        <v>0.787</v>
      </c>
      <c r="K840" s="11">
        <v>10.04</v>
      </c>
      <c r="L840" s="11">
        <v>10.51</v>
      </c>
      <c r="M840" s="11">
        <v>10.2146766468592</v>
      </c>
      <c r="N840" s="11">
        <v>9.49621056124979</v>
      </c>
      <c r="O840" s="12"/>
      <c r="P840" s="11">
        <v>18.0323687627527</v>
      </c>
      <c r="Q840" s="13" t="s">
        <v>24</v>
      </c>
      <c r="S840" s="14">
        <v>1.15009129</v>
      </c>
      <c r="T840" s="14">
        <v>0.671237648</v>
      </c>
      <c r="U840" s="14">
        <v>0.464307785</v>
      </c>
    </row>
    <row r="841">
      <c r="A841" s="15" t="s">
        <v>131</v>
      </c>
      <c r="B841" s="16">
        <v>2022.0</v>
      </c>
      <c r="C841" s="16">
        <v>121.0</v>
      </c>
      <c r="D841" s="16">
        <v>4.516</v>
      </c>
      <c r="E841" s="16">
        <v>1.049</v>
      </c>
      <c r="F841" s="16">
        <v>0.413</v>
      </c>
      <c r="G841" s="16">
        <v>0.374</v>
      </c>
      <c r="H841" s="16">
        <v>0.448</v>
      </c>
      <c r="I841" s="16">
        <v>0.181</v>
      </c>
      <c r="J841" s="16">
        <v>0.112</v>
      </c>
      <c r="K841" s="16">
        <v>11.6813275096289</v>
      </c>
      <c r="L841" s="16">
        <v>21.5849045790776</v>
      </c>
      <c r="M841" s="16">
        <v>11.5036437385245</v>
      </c>
      <c r="N841" s="16">
        <v>19.8738599646653</v>
      </c>
      <c r="O841" s="12"/>
      <c r="P841" s="16">
        <v>31.179251607314</v>
      </c>
      <c r="Q841" s="17" t="s">
        <v>24</v>
      </c>
      <c r="S841" s="14">
        <v>1.15102</v>
      </c>
      <c r="T841" s="14">
        <v>0.672</v>
      </c>
      <c r="U841" s="14">
        <v>0.46987</v>
      </c>
    </row>
    <row r="842">
      <c r="A842" s="10" t="s">
        <v>131</v>
      </c>
      <c r="B842" s="11">
        <v>2023.0</v>
      </c>
      <c r="C842" s="11">
        <v>108.0</v>
      </c>
      <c r="D842" s="11">
        <v>4.555</v>
      </c>
      <c r="E842" s="11">
        <v>8.54</v>
      </c>
      <c r="F842" s="11">
        <v>0.601</v>
      </c>
      <c r="G842" s="11">
        <v>57.313</v>
      </c>
      <c r="H842" s="11">
        <v>0.766</v>
      </c>
      <c r="I842" s="11">
        <v>0.008</v>
      </c>
      <c r="J842" s="11">
        <v>0.787</v>
      </c>
      <c r="K842" s="11">
        <v>18.8273319066064</v>
      </c>
      <c r="L842" s="11">
        <v>37.9333574431414</v>
      </c>
      <c r="M842" s="11">
        <v>26.1603402096463</v>
      </c>
      <c r="N842" s="11">
        <v>30.7681280657005</v>
      </c>
      <c r="O842" s="12"/>
      <c r="P842" s="11">
        <v>28.6086901972335</v>
      </c>
      <c r="Q842" s="13" t="s">
        <v>24</v>
      </c>
      <c r="S842" s="14">
        <v>1.152400255</v>
      </c>
      <c r="T842" s="14">
        <v>0.674</v>
      </c>
      <c r="U842" s="14">
        <v>0.474</v>
      </c>
    </row>
    <row r="843">
      <c r="A843" s="15" t="s">
        <v>132</v>
      </c>
      <c r="B843" s="16">
        <v>2015.0</v>
      </c>
      <c r="C843" s="16">
        <v>25.0</v>
      </c>
      <c r="D843" s="16">
        <v>6.786</v>
      </c>
      <c r="E843" s="16">
        <v>1.06353</v>
      </c>
      <c r="F843" s="16">
        <v>1.1985</v>
      </c>
      <c r="G843" s="16">
        <v>0.79661</v>
      </c>
      <c r="H843" s="16">
        <v>0.5421</v>
      </c>
      <c r="I843" s="16">
        <v>0.24434</v>
      </c>
      <c r="J843" s="16">
        <v>0.0927</v>
      </c>
      <c r="K843" s="16">
        <v>-1.16999995708465</v>
      </c>
      <c r="L843" s="16">
        <v>-1.69000005722045</v>
      </c>
      <c r="M843" s="16">
        <v>2.47891167714189</v>
      </c>
      <c r="N843" s="16">
        <v>0.129920870065689</v>
      </c>
      <c r="O843" s="12"/>
      <c r="P843" s="12"/>
      <c r="Q843" s="17" t="s">
        <v>43</v>
      </c>
      <c r="S843" s="14">
        <v>1.154</v>
      </c>
      <c r="T843" s="14">
        <v>0.676</v>
      </c>
      <c r="U843" s="14">
        <v>0.48049</v>
      </c>
    </row>
    <row r="844">
      <c r="A844" s="10" t="s">
        <v>132</v>
      </c>
      <c r="B844" s="11">
        <v>2016.0</v>
      </c>
      <c r="C844" s="11">
        <v>25.0</v>
      </c>
      <c r="D844" s="11">
        <v>6.701</v>
      </c>
      <c r="E844" s="11">
        <v>1.18306</v>
      </c>
      <c r="F844" s="11">
        <v>0.98912</v>
      </c>
      <c r="G844" s="11">
        <v>0.70835</v>
      </c>
      <c r="H844" s="11">
        <v>0.48927</v>
      </c>
      <c r="I844" s="11">
        <v>0.2418</v>
      </c>
      <c r="J844" s="11">
        <v>0.08423</v>
      </c>
      <c r="K844" s="11">
        <v>-0.980000019073486</v>
      </c>
      <c r="L844" s="11">
        <v>1.46646535396575</v>
      </c>
      <c r="M844" s="11">
        <v>2.00200402149279</v>
      </c>
      <c r="N844" s="11">
        <v>0.762305915355682</v>
      </c>
      <c r="O844" s="12"/>
      <c r="P844" s="12"/>
      <c r="Q844" s="13" t="s">
        <v>43</v>
      </c>
      <c r="S844" s="14">
        <v>1.155620217</v>
      </c>
      <c r="T844" s="14">
        <v>0.677</v>
      </c>
      <c r="U844" s="14">
        <v>0.481</v>
      </c>
    </row>
    <row r="845">
      <c r="A845" s="15" t="s">
        <v>132</v>
      </c>
      <c r="B845" s="16">
        <v>2017.0</v>
      </c>
      <c r="C845" s="16">
        <v>30.0</v>
      </c>
      <c r="D845" s="16">
        <v>6.452000141</v>
      </c>
      <c r="E845" s="16">
        <v>1.233748436</v>
      </c>
      <c r="F845" s="16">
        <v>1.373192549</v>
      </c>
      <c r="G845" s="16">
        <v>0.706156135</v>
      </c>
      <c r="H845" s="16">
        <v>0.550026834</v>
      </c>
      <c r="I845" s="16">
        <v>0.210556939</v>
      </c>
      <c r="J845" s="16">
        <v>0.070983924</v>
      </c>
      <c r="K845" s="16">
        <v>1.91999995708465</v>
      </c>
      <c r="L845" s="16">
        <v>-0.535883843898773</v>
      </c>
      <c r="M845" s="16">
        <v>1.72866203404581</v>
      </c>
      <c r="N845" s="16">
        <v>0.876</v>
      </c>
      <c r="O845" s="12"/>
      <c r="P845" s="12"/>
      <c r="Q845" s="17" t="s">
        <v>43</v>
      </c>
      <c r="S845" s="14">
        <v>1.156</v>
      </c>
      <c r="T845" s="14">
        <v>0.677</v>
      </c>
      <c r="U845" s="14">
        <v>0.483</v>
      </c>
    </row>
    <row r="846">
      <c r="A846" s="10" t="s">
        <v>132</v>
      </c>
      <c r="B846" s="11">
        <v>2018.0</v>
      </c>
      <c r="C846" s="11">
        <v>27.0</v>
      </c>
      <c r="D846" s="11">
        <v>6.43</v>
      </c>
      <c r="E846" s="11">
        <v>1.112</v>
      </c>
      <c r="F846" s="11">
        <v>1.438</v>
      </c>
      <c r="G846" s="11">
        <v>0.759</v>
      </c>
      <c r="H846" s="11">
        <v>0.597</v>
      </c>
      <c r="I846" s="11">
        <v>0.125</v>
      </c>
      <c r="J846" s="11">
        <v>0.063</v>
      </c>
      <c r="K846" s="11">
        <v>0.641863584518432</v>
      </c>
      <c r="L846" s="11">
        <v>-0.636736154556274</v>
      </c>
      <c r="M846" s="11">
        <v>0.756318859364874</v>
      </c>
      <c r="N846" s="11">
        <v>0.77</v>
      </c>
      <c r="O846" s="12"/>
      <c r="P846" s="12"/>
      <c r="Q846" s="13" t="s">
        <v>43</v>
      </c>
      <c r="S846" s="14">
        <v>1.16</v>
      </c>
      <c r="T846" s="14">
        <v>0.677</v>
      </c>
      <c r="U846" s="14">
        <v>0.48357</v>
      </c>
    </row>
    <row r="847">
      <c r="A847" s="15" t="s">
        <v>132</v>
      </c>
      <c r="B847" s="16">
        <v>2019.0</v>
      </c>
      <c r="C847" s="16">
        <v>31.0</v>
      </c>
      <c r="D847" s="16">
        <v>6.321</v>
      </c>
      <c r="E847" s="16">
        <v>1.149</v>
      </c>
      <c r="F847" s="16">
        <v>1.442</v>
      </c>
      <c r="G847" s="16">
        <v>0.91</v>
      </c>
      <c r="H847" s="16">
        <v>0.516</v>
      </c>
      <c r="I847" s="16">
        <v>0.109</v>
      </c>
      <c r="J847" s="16">
        <v>0.054</v>
      </c>
      <c r="K847" s="16">
        <v>-0.286418318748474</v>
      </c>
      <c r="L847" s="16">
        <v>0.489066809415817</v>
      </c>
      <c r="M847" s="16">
        <v>-0.170454179986759</v>
      </c>
      <c r="N847" s="16">
        <v>-0.354999989271163</v>
      </c>
      <c r="O847" s="12"/>
      <c r="P847" s="12"/>
      <c r="Q847" s="17" t="s">
        <v>43</v>
      </c>
      <c r="S847" s="14">
        <v>1.160837412</v>
      </c>
      <c r="T847" s="14">
        <v>0.677</v>
      </c>
      <c r="U847" s="14">
        <v>0.4921</v>
      </c>
    </row>
    <row r="848">
      <c r="A848" s="10" t="s">
        <v>132</v>
      </c>
      <c r="B848" s="11">
        <v>2020.0</v>
      </c>
      <c r="C848" s="11">
        <v>36.0</v>
      </c>
      <c r="D848" s="11">
        <v>6.304800034</v>
      </c>
      <c r="E848" s="11">
        <v>1.097667813</v>
      </c>
      <c r="F848" s="11">
        <v>0.902094483</v>
      </c>
      <c r="G848" s="11">
        <v>69.60301208</v>
      </c>
      <c r="H848" s="11">
        <v>0.880366504</v>
      </c>
      <c r="I848" s="11">
        <v>-0.153927714</v>
      </c>
      <c r="J848" s="11">
        <v>0.851588905</v>
      </c>
      <c r="K848" s="11">
        <v>-4.07032620810596</v>
      </c>
      <c r="L848" s="11">
        <v>-0.81586085497376</v>
      </c>
      <c r="M848" s="11">
        <v>-3.3975077640752</v>
      </c>
      <c r="N848" s="11">
        <v>-1.5502754080376</v>
      </c>
      <c r="O848" s="12"/>
      <c r="P848" s="12"/>
      <c r="Q848" s="13" t="s">
        <v>43</v>
      </c>
      <c r="S848" s="14">
        <v>1.161</v>
      </c>
      <c r="T848" s="14">
        <v>0.678</v>
      </c>
      <c r="U848" s="14">
        <v>0.496</v>
      </c>
    </row>
    <row r="849">
      <c r="A849" s="15" t="s">
        <v>132</v>
      </c>
      <c r="B849" s="16">
        <v>2021.0</v>
      </c>
      <c r="C849" s="16">
        <v>41.0</v>
      </c>
      <c r="D849" s="16">
        <v>6.18</v>
      </c>
      <c r="E849" s="16">
        <v>10.35</v>
      </c>
      <c r="F849" s="16">
        <v>0.896</v>
      </c>
      <c r="G849" s="16">
        <v>69.652</v>
      </c>
      <c r="H849" s="16">
        <v>0.872</v>
      </c>
      <c r="I849" s="16">
        <v>-0.166</v>
      </c>
      <c r="J849" s="16">
        <v>0.856</v>
      </c>
      <c r="K849" s="16">
        <v>-3.75</v>
      </c>
      <c r="L849" s="16">
        <v>1.64</v>
      </c>
      <c r="M849" s="16">
        <v>2.16891606821562</v>
      </c>
      <c r="N849" s="16">
        <v>1.63070337301891</v>
      </c>
      <c r="O849" s="12"/>
      <c r="P849" s="12"/>
      <c r="Q849" s="17" t="s">
        <v>43</v>
      </c>
      <c r="S849" s="14">
        <v>1.161</v>
      </c>
      <c r="T849" s="14">
        <v>0.679</v>
      </c>
      <c r="U849" s="14">
        <v>0.497</v>
      </c>
    </row>
    <row r="850">
      <c r="A850" s="10" t="s">
        <v>132</v>
      </c>
      <c r="B850" s="11">
        <v>2022.0</v>
      </c>
      <c r="C850" s="11">
        <v>37.0</v>
      </c>
      <c r="D850" s="11">
        <v>6.309</v>
      </c>
      <c r="E850" s="11">
        <v>1.715</v>
      </c>
      <c r="F850" s="11">
        <v>1.107</v>
      </c>
      <c r="G850" s="11">
        <v>0.709</v>
      </c>
      <c r="H850" s="11">
        <v>0.592</v>
      </c>
      <c r="I850" s="11">
        <v>0.049</v>
      </c>
      <c r="J850" s="11">
        <v>0.051</v>
      </c>
      <c r="K850" s="11">
        <v>1.82787822717275</v>
      </c>
      <c r="L850" s="11">
        <v>3.67177958829935</v>
      </c>
      <c r="M850" s="11">
        <v>2.73241964994648</v>
      </c>
      <c r="N850" s="11">
        <v>2.85748282185325</v>
      </c>
      <c r="O850" s="12"/>
      <c r="P850" s="12"/>
      <c r="Q850" s="13" t="s">
        <v>43</v>
      </c>
      <c r="S850" s="14">
        <v>1.16157</v>
      </c>
      <c r="T850" s="14">
        <v>0.68</v>
      </c>
      <c r="U850" s="14">
        <v>0.499954879</v>
      </c>
    </row>
    <row r="851">
      <c r="A851" s="15" t="s">
        <v>132</v>
      </c>
      <c r="B851" s="16">
        <v>2023.0</v>
      </c>
      <c r="C851" s="16">
        <v>38.0</v>
      </c>
      <c r="D851" s="16">
        <v>6.265</v>
      </c>
      <c r="E851" s="16">
        <v>10.305</v>
      </c>
      <c r="F851" s="16">
        <v>0.896</v>
      </c>
      <c r="G851" s="16">
        <v>68.95</v>
      </c>
      <c r="H851" s="16">
        <v>0.855</v>
      </c>
      <c r="I851" s="16">
        <v>-0.133</v>
      </c>
      <c r="J851" s="16">
        <v>0.878</v>
      </c>
      <c r="K851" s="16">
        <v>10.4021837780161</v>
      </c>
      <c r="L851" s="16">
        <v>3.40357225915808</v>
      </c>
      <c r="M851" s="16">
        <v>1.45073927872101</v>
      </c>
      <c r="N851" s="16">
        <v>1.48641355277038</v>
      </c>
      <c r="O851" s="12"/>
      <c r="P851" s="12"/>
      <c r="Q851" s="17" t="s">
        <v>43</v>
      </c>
      <c r="S851" s="14">
        <v>1.163</v>
      </c>
      <c r="T851" s="14">
        <v>0.681</v>
      </c>
      <c r="U851" s="14">
        <v>0.501497388</v>
      </c>
    </row>
    <row r="852">
      <c r="A852" s="10" t="s">
        <v>133</v>
      </c>
      <c r="B852" s="11">
        <v>2015.0</v>
      </c>
      <c r="C852" s="11">
        <v>53.0</v>
      </c>
      <c r="D852" s="11">
        <v>5.878</v>
      </c>
      <c r="E852" s="11">
        <v>0.75985</v>
      </c>
      <c r="F852" s="11">
        <v>1.30477</v>
      </c>
      <c r="G852" s="11">
        <v>0.66098</v>
      </c>
      <c r="H852" s="11">
        <v>0.53899</v>
      </c>
      <c r="I852" s="11">
        <v>0.3424</v>
      </c>
      <c r="J852" s="11">
        <v>0.08242</v>
      </c>
      <c r="K852" s="11">
        <v>3.01544427871704</v>
      </c>
      <c r="L852" s="11">
        <v>2.94884276390075</v>
      </c>
      <c r="M852" s="11">
        <v>1.605</v>
      </c>
      <c r="N852" s="11">
        <v>3.13180708885192</v>
      </c>
      <c r="O852" s="11">
        <v>3.71761536598205</v>
      </c>
      <c r="P852" s="11">
        <v>1.94053399562835</v>
      </c>
      <c r="Q852" s="13" t="s">
        <v>32</v>
      </c>
      <c r="S852" s="14">
        <v>1.16374</v>
      </c>
      <c r="T852" s="14">
        <v>0.683</v>
      </c>
      <c r="U852" s="14">
        <v>0.50521</v>
      </c>
    </row>
    <row r="853">
      <c r="A853" s="15" t="s">
        <v>133</v>
      </c>
      <c r="B853" s="16">
        <v>2016.0</v>
      </c>
      <c r="C853" s="16">
        <v>70.0</v>
      </c>
      <c r="D853" s="16">
        <v>5.538</v>
      </c>
      <c r="E853" s="16">
        <v>0.89373</v>
      </c>
      <c r="F853" s="16">
        <v>1.11111</v>
      </c>
      <c r="G853" s="16">
        <v>0.58295</v>
      </c>
      <c r="H853" s="16">
        <v>0.46235</v>
      </c>
      <c r="I853" s="16">
        <v>0.25296</v>
      </c>
      <c r="J853" s="16">
        <v>0.07396</v>
      </c>
      <c r="K853" s="16">
        <v>2.48633217811584</v>
      </c>
      <c r="L853" s="16">
        <v>5.85541486740112</v>
      </c>
      <c r="M853" s="16">
        <v>4.12381280448796</v>
      </c>
      <c r="N853" s="16">
        <v>4.08256292343139</v>
      </c>
      <c r="O853" s="16">
        <v>4.68938636779785</v>
      </c>
      <c r="P853" s="16">
        <v>4.97219657897949</v>
      </c>
      <c r="Q853" s="17" t="s">
        <v>32</v>
      </c>
      <c r="S853" s="14">
        <v>1.164</v>
      </c>
      <c r="T853" s="14">
        <v>0.685</v>
      </c>
      <c r="U853" s="14">
        <v>0.506</v>
      </c>
    </row>
    <row r="854">
      <c r="A854" s="10" t="s">
        <v>133</v>
      </c>
      <c r="B854" s="11">
        <v>2017.0</v>
      </c>
      <c r="C854" s="11">
        <v>70.0</v>
      </c>
      <c r="D854" s="11">
        <v>5.493000031</v>
      </c>
      <c r="E854" s="11">
        <v>0.932537317</v>
      </c>
      <c r="F854" s="11">
        <v>1.50728488</v>
      </c>
      <c r="G854" s="11">
        <v>0.579250693</v>
      </c>
      <c r="H854" s="11">
        <v>0.473507792</v>
      </c>
      <c r="I854" s="11">
        <v>0.224150658</v>
      </c>
      <c r="J854" s="11">
        <v>0.091065913</v>
      </c>
      <c r="K854" s="11">
        <v>2.3830018043518</v>
      </c>
      <c r="L854" s="11">
        <v>5.74321746826171</v>
      </c>
      <c r="M854" s="11">
        <v>2.15038517888368</v>
      </c>
      <c r="N854" s="11">
        <v>3.603</v>
      </c>
      <c r="O854" s="11">
        <v>4.70108222961425</v>
      </c>
      <c r="P854" s="11">
        <v>3.20617890357971</v>
      </c>
      <c r="Q854" s="13" t="s">
        <v>32</v>
      </c>
      <c r="S854" s="14">
        <v>1.165</v>
      </c>
      <c r="T854" s="14">
        <v>0.686</v>
      </c>
      <c r="U854" s="14">
        <v>0.512</v>
      </c>
    </row>
    <row r="855">
      <c r="A855" s="15" t="s">
        <v>133</v>
      </c>
      <c r="B855" s="16">
        <v>2018.0</v>
      </c>
      <c r="C855" s="16">
        <v>64.0</v>
      </c>
      <c r="D855" s="16">
        <v>5.681</v>
      </c>
      <c r="E855" s="16">
        <v>0.835</v>
      </c>
      <c r="F855" s="16">
        <v>1.522</v>
      </c>
      <c r="G855" s="16">
        <v>0.615</v>
      </c>
      <c r="H855" s="16">
        <v>0.541</v>
      </c>
      <c r="I855" s="16">
        <v>0.162</v>
      </c>
      <c r="J855" s="16">
        <v>0.074</v>
      </c>
      <c r="K855" s="16">
        <v>3.00814700126647</v>
      </c>
      <c r="L855" s="16">
        <v>3.89937829971313</v>
      </c>
      <c r="M855" s="16">
        <v>2.18284445266957</v>
      </c>
      <c r="N855" s="16">
        <v>3.96</v>
      </c>
      <c r="O855" s="16">
        <v>3.20230436325073</v>
      </c>
      <c r="P855" s="16">
        <v>2.69888877868652</v>
      </c>
      <c r="Q855" s="17" t="s">
        <v>32</v>
      </c>
      <c r="S855" s="14">
        <v>1.16594</v>
      </c>
      <c r="T855" s="14">
        <v>0.686</v>
      </c>
      <c r="U855" s="14">
        <v>0.515</v>
      </c>
    </row>
    <row r="856">
      <c r="A856" s="10" t="s">
        <v>133</v>
      </c>
      <c r="B856" s="11">
        <v>2019.0</v>
      </c>
      <c r="C856" s="11">
        <v>63.0</v>
      </c>
      <c r="D856" s="11">
        <v>5.743</v>
      </c>
      <c r="E856" s="11">
        <v>0.855</v>
      </c>
      <c r="F856" s="11">
        <v>1.475</v>
      </c>
      <c r="G856" s="11">
        <v>0.777</v>
      </c>
      <c r="H856" s="11">
        <v>0.514</v>
      </c>
      <c r="I856" s="11">
        <v>0.184</v>
      </c>
      <c r="J856" s="11">
        <v>0.08</v>
      </c>
      <c r="K856" s="11">
        <v>2.94453501701355</v>
      </c>
      <c r="L856" s="11">
        <v>1.16444671154022</v>
      </c>
      <c r="M856" s="11">
        <v>2.86609495694065</v>
      </c>
      <c r="N856" s="11">
        <v>2.75699996948242</v>
      </c>
      <c r="O856" s="11">
        <v>2.62682652473449</v>
      </c>
      <c r="P856" s="11">
        <v>1.42348062992095</v>
      </c>
      <c r="Q856" s="13" t="s">
        <v>32</v>
      </c>
      <c r="S856" s="14">
        <v>1.166</v>
      </c>
      <c r="T856" s="14">
        <v>0.689</v>
      </c>
      <c r="U856" s="14">
        <v>0.522</v>
      </c>
    </row>
    <row r="857">
      <c r="A857" s="15" t="s">
        <v>133</v>
      </c>
      <c r="B857" s="16">
        <v>2020.0</v>
      </c>
      <c r="C857" s="16">
        <v>67.0</v>
      </c>
      <c r="D857" s="16">
        <v>5.692100048</v>
      </c>
      <c r="E857" s="16">
        <v>0.897990823</v>
      </c>
      <c r="F857" s="16">
        <v>0.898727894</v>
      </c>
      <c r="G857" s="16">
        <v>65.63993835</v>
      </c>
      <c r="H857" s="16">
        <v>0.885923445</v>
      </c>
      <c r="I857" s="16">
        <v>0.007997713</v>
      </c>
      <c r="J857" s="16">
        <v>0.834788501</v>
      </c>
      <c r="K857" s="16">
        <v>1.41034783297677</v>
      </c>
      <c r="L857" s="16">
        <v>1.20900964736938</v>
      </c>
      <c r="M857" s="16">
        <v>2.96846664436501</v>
      </c>
      <c r="N857" s="16">
        <v>1.76751592356725</v>
      </c>
      <c r="O857" s="16">
        <v>2.69556879997253</v>
      </c>
      <c r="P857" s="16">
        <v>2.73953962326049</v>
      </c>
      <c r="Q857" s="17" t="s">
        <v>32</v>
      </c>
      <c r="S857" s="14">
        <v>1.166</v>
      </c>
      <c r="T857" s="14">
        <v>0.690596163</v>
      </c>
      <c r="U857" s="14">
        <v>0.52208</v>
      </c>
    </row>
    <row r="858">
      <c r="A858" s="10" t="s">
        <v>133</v>
      </c>
      <c r="B858" s="11">
        <v>2021.0</v>
      </c>
      <c r="C858" s="11">
        <v>71.0</v>
      </c>
      <c r="D858" s="11">
        <v>5.653</v>
      </c>
      <c r="E858" s="11">
        <v>9.448</v>
      </c>
      <c r="F858" s="11">
        <v>0.893</v>
      </c>
      <c r="G858" s="11">
        <v>65.9</v>
      </c>
      <c r="H858" s="11">
        <v>0.876</v>
      </c>
      <c r="I858" s="11">
        <v>0.028</v>
      </c>
      <c r="J858" s="11">
        <v>0.882</v>
      </c>
      <c r="K858" s="11">
        <v>2.44</v>
      </c>
      <c r="L858" s="11">
        <v>9.22</v>
      </c>
      <c r="M858" s="11">
        <v>7.12350602859019</v>
      </c>
      <c r="N858" s="11">
        <v>4.78798310123612</v>
      </c>
      <c r="O858" s="11">
        <v>4.5720071656671</v>
      </c>
      <c r="P858" s="11">
        <v>8.64311046893487</v>
      </c>
      <c r="Q858" s="13" t="s">
        <v>32</v>
      </c>
      <c r="S858" s="14">
        <v>1.167</v>
      </c>
      <c r="T858" s="14">
        <v>0.693</v>
      </c>
      <c r="U858" s="14">
        <v>0.527</v>
      </c>
    </row>
    <row r="859">
      <c r="A859" s="15" t="s">
        <v>133</v>
      </c>
      <c r="B859" s="16">
        <v>2022.0</v>
      </c>
      <c r="C859" s="16">
        <v>73.0</v>
      </c>
      <c r="D859" s="16">
        <v>5.578</v>
      </c>
      <c r="E859" s="16">
        <v>1.409</v>
      </c>
      <c r="F859" s="16">
        <v>1.13</v>
      </c>
      <c r="G859" s="16">
        <v>0.624</v>
      </c>
      <c r="H859" s="16">
        <v>0.629</v>
      </c>
      <c r="I859" s="16">
        <v>0.171</v>
      </c>
      <c r="J859" s="16">
        <v>0.059</v>
      </c>
      <c r="K859" s="16">
        <v>2.76284487753976</v>
      </c>
      <c r="L859" s="16">
        <v>14.6418576949777</v>
      </c>
      <c r="M859" s="16">
        <v>7.03598732040585</v>
      </c>
      <c r="N859" s="16">
        <v>9.76556667164399</v>
      </c>
      <c r="O859" s="16">
        <v>7.4854759422017</v>
      </c>
      <c r="P859" s="16">
        <v>16.3230194563392</v>
      </c>
      <c r="Q859" s="17" t="s">
        <v>32</v>
      </c>
      <c r="S859" s="14">
        <v>1.1681</v>
      </c>
      <c r="T859" s="14">
        <v>0.693</v>
      </c>
      <c r="U859" s="14">
        <v>0.532</v>
      </c>
    </row>
    <row r="860">
      <c r="A860" s="10" t="s">
        <v>133</v>
      </c>
      <c r="B860" s="11">
        <v>2023.0</v>
      </c>
      <c r="C860" s="11">
        <v>66.0</v>
      </c>
      <c r="D860" s="11">
        <v>5.738</v>
      </c>
      <c r="E860" s="11">
        <v>9.51</v>
      </c>
      <c r="F860" s="11">
        <v>0.906</v>
      </c>
      <c r="G860" s="11">
        <v>65.9</v>
      </c>
      <c r="H860" s="11">
        <v>0.891</v>
      </c>
      <c r="I860" s="11">
        <v>0.021</v>
      </c>
      <c r="J860" s="11">
        <v>0.843</v>
      </c>
      <c r="K860" s="11">
        <v>2.22279663166904</v>
      </c>
      <c r="L860" s="11">
        <v>5.95633756924104</v>
      </c>
      <c r="M860" s="11">
        <v>2.49877421063154</v>
      </c>
      <c r="N860" s="11">
        <v>4.63202285403356</v>
      </c>
      <c r="O860" s="11">
        <v>5.7861548056268</v>
      </c>
      <c r="P860" s="12"/>
      <c r="Q860" s="13" t="s">
        <v>32</v>
      </c>
      <c r="S860" s="14">
        <v>1.169</v>
      </c>
      <c r="T860" s="14">
        <v>0.693351328</v>
      </c>
      <c r="U860" s="14">
        <v>0.534</v>
      </c>
    </row>
    <row r="861">
      <c r="A861" s="15" t="s">
        <v>134</v>
      </c>
      <c r="B861" s="16">
        <v>2015.0</v>
      </c>
      <c r="C861" s="16">
        <v>58.0</v>
      </c>
      <c r="D861" s="16">
        <v>5.824</v>
      </c>
      <c r="E861" s="16">
        <v>0.90019</v>
      </c>
      <c r="F861" s="16">
        <v>0.97459</v>
      </c>
      <c r="G861" s="16">
        <v>0.73017</v>
      </c>
      <c r="H861" s="16">
        <v>0.41496</v>
      </c>
      <c r="I861" s="16">
        <v>0.14982</v>
      </c>
      <c r="J861" s="16">
        <v>0.05989</v>
      </c>
      <c r="K861" s="16">
        <v>4.84158277511596</v>
      </c>
      <c r="L861" s="16">
        <v>4.58178997039794</v>
      </c>
      <c r="M861" s="16">
        <v>2.74174384348703</v>
      </c>
      <c r="N861" s="16">
        <v>3.54755187034606</v>
      </c>
      <c r="O861" s="16">
        <v>3.8208737373352</v>
      </c>
      <c r="P861" s="16">
        <v>1.77144598960876</v>
      </c>
      <c r="Q861" s="17" t="s">
        <v>32</v>
      </c>
      <c r="S861" s="14">
        <v>1.169</v>
      </c>
      <c r="T861" s="14">
        <v>0.695</v>
      </c>
      <c r="U861" s="14">
        <v>0.549</v>
      </c>
    </row>
    <row r="862">
      <c r="A862" s="10" t="s">
        <v>134</v>
      </c>
      <c r="B862" s="11">
        <v>2016.0</v>
      </c>
      <c r="C862" s="11">
        <v>64.0</v>
      </c>
      <c r="D862" s="11">
        <v>5.743</v>
      </c>
      <c r="E862" s="11">
        <v>0.99602</v>
      </c>
      <c r="F862" s="11">
        <v>0.81255</v>
      </c>
      <c r="G862" s="11">
        <v>0.62994</v>
      </c>
      <c r="H862" s="11">
        <v>0.37502</v>
      </c>
      <c r="I862" s="11">
        <v>0.14527</v>
      </c>
      <c r="J862" s="11">
        <v>0.05292</v>
      </c>
      <c r="K862" s="11">
        <v>4.88752079010009</v>
      </c>
      <c r="L862" s="11">
        <v>4.10133981704711</v>
      </c>
      <c r="M862" s="11">
        <v>3.47810244995921</v>
      </c>
      <c r="N862" s="11">
        <v>3.59211325645446</v>
      </c>
      <c r="O862" s="11">
        <v>3.99991703033447</v>
      </c>
      <c r="P862" s="11">
        <v>1.58407843112945</v>
      </c>
      <c r="Q862" s="13" t="s">
        <v>32</v>
      </c>
      <c r="S862" s="14">
        <v>1.171</v>
      </c>
      <c r="T862" s="14">
        <v>0.695</v>
      </c>
      <c r="U862" s="14">
        <v>0.55191</v>
      </c>
    </row>
    <row r="863">
      <c r="A863" s="15" t="s">
        <v>134</v>
      </c>
      <c r="B863" s="16">
        <v>2017.0</v>
      </c>
      <c r="C863" s="16">
        <v>63.0</v>
      </c>
      <c r="D863" s="16">
        <v>5.715000153</v>
      </c>
      <c r="E863" s="16">
        <v>1.035225272</v>
      </c>
      <c r="F863" s="16">
        <v>1.218770385</v>
      </c>
      <c r="G863" s="16">
        <v>0.630166113</v>
      </c>
      <c r="H863" s="16">
        <v>0.450002879</v>
      </c>
      <c r="I863" s="16">
        <v>0.126819715</v>
      </c>
      <c r="J863" s="16">
        <v>0.047049087</v>
      </c>
      <c r="K863" s="16">
        <v>2.26749992370605</v>
      </c>
      <c r="L863" s="16">
        <v>0.30579599738121</v>
      </c>
      <c r="M863" s="16">
        <v>3.86487851926698</v>
      </c>
      <c r="N863" s="16">
        <v>2.804</v>
      </c>
      <c r="O863" s="16">
        <v>2.96921682357788</v>
      </c>
      <c r="P863" s="16">
        <v>1.14598989486694</v>
      </c>
      <c r="Q863" s="17" t="s">
        <v>32</v>
      </c>
      <c r="S863" s="14">
        <v>1.172</v>
      </c>
      <c r="T863" s="14">
        <v>0.696</v>
      </c>
      <c r="U863" s="14">
        <v>0.55253756</v>
      </c>
    </row>
    <row r="864">
      <c r="A864" s="10" t="s">
        <v>134</v>
      </c>
      <c r="B864" s="11">
        <v>2018.0</v>
      </c>
      <c r="C864" s="11">
        <v>65.0</v>
      </c>
      <c r="D864" s="11">
        <v>5.663</v>
      </c>
      <c r="E864" s="11">
        <v>0.934</v>
      </c>
      <c r="F864" s="11">
        <v>1.249</v>
      </c>
      <c r="G864" s="11">
        <v>0.674</v>
      </c>
      <c r="H864" s="11">
        <v>0.53</v>
      </c>
      <c r="I864" s="11">
        <v>0.092</v>
      </c>
      <c r="J864" s="11">
        <v>0.034</v>
      </c>
      <c r="K864" s="11">
        <v>4.1449270248413</v>
      </c>
      <c r="L864" s="11">
        <v>-0.365498274564743</v>
      </c>
      <c r="M864" s="11">
        <v>1.981029870216</v>
      </c>
      <c r="N864" s="11">
        <v>1.32</v>
      </c>
      <c r="O864" s="11">
        <v>2.32664823532104</v>
      </c>
      <c r="P864" s="11">
        <v>1.63273096084594</v>
      </c>
      <c r="Q864" s="13" t="s">
        <v>32</v>
      </c>
      <c r="S864" s="14">
        <v>1.17202</v>
      </c>
      <c r="T864" s="14">
        <v>0.696</v>
      </c>
      <c r="U864" s="14">
        <v>0.553</v>
      </c>
    </row>
    <row r="865">
      <c r="A865" s="15" t="s">
        <v>134</v>
      </c>
      <c r="B865" s="16">
        <v>2019.0</v>
      </c>
      <c r="C865" s="16">
        <v>65.0</v>
      </c>
      <c r="D865" s="16">
        <v>5.697</v>
      </c>
      <c r="E865" s="16">
        <v>0.96</v>
      </c>
      <c r="F865" s="16">
        <v>1.274</v>
      </c>
      <c r="G865" s="16">
        <v>0.854</v>
      </c>
      <c r="H865" s="16">
        <v>0.455</v>
      </c>
      <c r="I865" s="16">
        <v>0.083</v>
      </c>
      <c r="J865" s="16">
        <v>0.027</v>
      </c>
      <c r="K865" s="16">
        <v>2.15993905067443</v>
      </c>
      <c r="L865" s="16">
        <v>1.70177435874938</v>
      </c>
      <c r="M865" s="16">
        <v>1.77777777777778</v>
      </c>
      <c r="N865" s="16">
        <v>2.135999917984</v>
      </c>
      <c r="O865" s="16">
        <v>2.39434742927551</v>
      </c>
      <c r="P865" s="16">
        <v>1.17580485343933</v>
      </c>
      <c r="Q865" s="17" t="s">
        <v>32</v>
      </c>
      <c r="S865" s="14">
        <v>1.17278</v>
      </c>
      <c r="T865" s="14">
        <v>0.696</v>
      </c>
      <c r="U865" s="14">
        <v>0.553</v>
      </c>
    </row>
    <row r="866">
      <c r="A866" s="10" t="s">
        <v>134</v>
      </c>
      <c r="B866" s="11">
        <v>2020.0</v>
      </c>
      <c r="C866" s="11">
        <v>63.0</v>
      </c>
      <c r="D866" s="11">
        <v>5.796800137</v>
      </c>
      <c r="E866" s="11">
        <v>0.91854918</v>
      </c>
      <c r="F866" s="11">
        <v>0.831075251</v>
      </c>
      <c r="G866" s="11">
        <v>68.10023499</v>
      </c>
      <c r="H866" s="11">
        <v>0.824766099</v>
      </c>
      <c r="I866" s="11">
        <v>-0.16238822</v>
      </c>
      <c r="J866" s="11">
        <v>0.893714964</v>
      </c>
      <c r="K866" s="11">
        <v>1.2432632446289</v>
      </c>
      <c r="L866" s="11">
        <v>1.89356422424316</v>
      </c>
      <c r="M866" s="11">
        <v>4.07498136116732</v>
      </c>
      <c r="N866" s="11">
        <v>1.8260526977758</v>
      </c>
      <c r="O866" s="11">
        <v>1.77535223960876</v>
      </c>
      <c r="P866" s="11">
        <v>0.224326819181442</v>
      </c>
      <c r="Q866" s="13" t="s">
        <v>32</v>
      </c>
      <c r="S866" s="14">
        <v>1.174</v>
      </c>
      <c r="T866" s="14">
        <v>0.697</v>
      </c>
      <c r="U866" s="14">
        <v>0.554</v>
      </c>
    </row>
    <row r="867">
      <c r="A867" s="15" t="s">
        <v>134</v>
      </c>
      <c r="B867" s="16">
        <v>2021.0</v>
      </c>
      <c r="C867" s="16">
        <v>63.0</v>
      </c>
      <c r="D867" s="16">
        <v>5.84</v>
      </c>
      <c r="E867" s="16">
        <v>9.458</v>
      </c>
      <c r="F867" s="16">
        <v>0.832</v>
      </c>
      <c r="G867" s="16">
        <v>68.25</v>
      </c>
      <c r="H867" s="16">
        <v>0.822</v>
      </c>
      <c r="I867" s="16">
        <v>-0.154</v>
      </c>
      <c r="J867" s="16">
        <v>0.891</v>
      </c>
      <c r="K867" s="12"/>
      <c r="L867" s="16">
        <v>4.67873833173816</v>
      </c>
      <c r="M867" s="16">
        <v>8.42219311530177</v>
      </c>
      <c r="N867" s="16">
        <v>4.27166381536796</v>
      </c>
      <c r="O867" s="16">
        <v>2.40111517686008</v>
      </c>
      <c r="P867" s="16">
        <v>9.34881264388812</v>
      </c>
      <c r="Q867" s="17" t="s">
        <v>32</v>
      </c>
      <c r="S867" s="14">
        <v>1.174</v>
      </c>
      <c r="T867" s="14">
        <v>0.697</v>
      </c>
      <c r="U867" s="14">
        <v>0.571</v>
      </c>
    </row>
    <row r="868">
      <c r="A868" s="10" t="s">
        <v>134</v>
      </c>
      <c r="B868" s="11">
        <v>2022.0</v>
      </c>
      <c r="C868" s="11">
        <v>74.0</v>
      </c>
      <c r="D868" s="11">
        <v>5.559</v>
      </c>
      <c r="E868" s="11">
        <v>1.397</v>
      </c>
      <c r="F868" s="11">
        <v>0.865</v>
      </c>
      <c r="G868" s="11">
        <v>0.735</v>
      </c>
      <c r="H868" s="11">
        <v>0.545</v>
      </c>
      <c r="I868" s="11">
        <v>0.09</v>
      </c>
      <c r="J868" s="11">
        <v>0.037</v>
      </c>
      <c r="K868" s="11">
        <v>11.2999999999999</v>
      </c>
      <c r="L868" s="12"/>
      <c r="M868" s="11">
        <v>4.14733901153825</v>
      </c>
      <c r="N868" s="11">
        <v>8.33370630096232</v>
      </c>
      <c r="O868" s="11">
        <v>5.59497677267855</v>
      </c>
      <c r="P868" s="11">
        <v>10.8941645526867</v>
      </c>
      <c r="Q868" s="13" t="s">
        <v>32</v>
      </c>
      <c r="S868" s="14">
        <v>1.174</v>
      </c>
      <c r="T868" s="14">
        <v>0.701</v>
      </c>
      <c r="U868" s="14">
        <v>0.575</v>
      </c>
    </row>
    <row r="869">
      <c r="A869" s="15" t="s">
        <v>134</v>
      </c>
      <c r="B869" s="16">
        <v>2023.0</v>
      </c>
      <c r="C869" s="16">
        <v>75.0</v>
      </c>
      <c r="D869" s="16">
        <v>5.526</v>
      </c>
      <c r="E869" s="16">
        <v>9.402</v>
      </c>
      <c r="F869" s="16">
        <v>0.798</v>
      </c>
      <c r="G869" s="16">
        <v>69.85</v>
      </c>
      <c r="H869" s="16">
        <v>0.794</v>
      </c>
      <c r="I869" s="16">
        <v>-0.119</v>
      </c>
      <c r="J869" s="16">
        <v>0.892</v>
      </c>
      <c r="K869" s="16">
        <v>-4.06785522876135</v>
      </c>
      <c r="L869" s="12"/>
      <c r="M869" s="16">
        <v>7.14349056293109</v>
      </c>
      <c r="N869" s="16">
        <v>6.45561348369586</v>
      </c>
      <c r="O869" s="16">
        <v>5.87799297476716</v>
      </c>
      <c r="P869" s="16">
        <v>1.89380687443444</v>
      </c>
      <c r="Q869" s="17" t="s">
        <v>32</v>
      </c>
      <c r="S869" s="14">
        <v>1.179</v>
      </c>
      <c r="T869" s="14">
        <v>0.701</v>
      </c>
      <c r="U869" s="14">
        <v>0.576</v>
      </c>
    </row>
    <row r="870">
      <c r="A870" s="10" t="s">
        <v>135</v>
      </c>
      <c r="B870" s="11">
        <v>2015.0</v>
      </c>
      <c r="C870" s="11">
        <v>90.0</v>
      </c>
      <c r="D870" s="11">
        <v>5.073</v>
      </c>
      <c r="E870" s="11">
        <v>0.70532</v>
      </c>
      <c r="F870" s="11">
        <v>1.03516</v>
      </c>
      <c r="G870" s="11">
        <v>0.58114</v>
      </c>
      <c r="H870" s="11">
        <v>0.62545</v>
      </c>
      <c r="I870" s="11">
        <v>0.24991</v>
      </c>
      <c r="J870" s="11">
        <v>0.12279</v>
      </c>
      <c r="K870" s="11">
        <v>-1.14997315406799</v>
      </c>
      <c r="L870" s="11">
        <v>1.89012253284454</v>
      </c>
      <c r="M870" s="11">
        <v>-0.720445715749474</v>
      </c>
      <c r="N870" s="11">
        <v>1.40340876579284</v>
      </c>
      <c r="O870" s="11">
        <v>2.1</v>
      </c>
      <c r="P870" s="11">
        <v>-6.71597337722778</v>
      </c>
      <c r="Q870" s="13" t="s">
        <v>24</v>
      </c>
      <c r="S870" s="14">
        <v>1.179283261</v>
      </c>
      <c r="T870" s="14">
        <v>0.702</v>
      </c>
      <c r="U870" s="14">
        <v>0.577</v>
      </c>
    </row>
    <row r="871">
      <c r="A871" s="15" t="s">
        <v>135</v>
      </c>
      <c r="B871" s="16">
        <v>2016.0</v>
      </c>
      <c r="C871" s="16">
        <v>82.0</v>
      </c>
      <c r="D871" s="16">
        <v>5.279</v>
      </c>
      <c r="E871" s="16">
        <v>0.81217</v>
      </c>
      <c r="F871" s="16">
        <v>0.87877</v>
      </c>
      <c r="G871" s="16">
        <v>0.47036</v>
      </c>
      <c r="H871" s="16">
        <v>0.54854</v>
      </c>
      <c r="I871" s="16">
        <v>0.21674</v>
      </c>
      <c r="J871" s="16">
        <v>0.11757</v>
      </c>
      <c r="K871" s="16">
        <v>0.379701972007751</v>
      </c>
      <c r="L871" s="16">
        <v>1.58359098434448</v>
      </c>
      <c r="M871" s="16">
        <v>1.28041110764699</v>
      </c>
      <c r="N871" s="16">
        <v>1.80812191963195</v>
      </c>
      <c r="O871" s="16">
        <v>1.9</v>
      </c>
      <c r="P871" s="16">
        <v>-4.76809692382812</v>
      </c>
      <c r="Q871" s="17" t="s">
        <v>24</v>
      </c>
      <c r="S871" s="14">
        <v>1.179691911</v>
      </c>
      <c r="T871" s="14">
        <v>0.704829216</v>
      </c>
      <c r="U871" s="14">
        <v>0.583521128</v>
      </c>
    </row>
    <row r="872">
      <c r="A872" s="10" t="s">
        <v>135</v>
      </c>
      <c r="B872" s="11">
        <v>2017.0</v>
      </c>
      <c r="C872" s="11">
        <v>72.0</v>
      </c>
      <c r="D872" s="11">
        <v>5.429999828</v>
      </c>
      <c r="E872" s="11">
        <v>0.857699215</v>
      </c>
      <c r="F872" s="11">
        <v>1.253917575</v>
      </c>
      <c r="G872" s="11">
        <v>0.468009055</v>
      </c>
      <c r="H872" s="11">
        <v>0.585214674</v>
      </c>
      <c r="I872" s="11">
        <v>0.193513423</v>
      </c>
      <c r="J872" s="11">
        <v>0.099331893</v>
      </c>
      <c r="K872" s="11">
        <v>2.73642110824584</v>
      </c>
      <c r="L872" s="11">
        <v>3.05100131034851</v>
      </c>
      <c r="M872" s="11">
        <v>2.32039741847826</v>
      </c>
      <c r="N872" s="11">
        <v>2.853</v>
      </c>
      <c r="O872" s="11">
        <v>2.9</v>
      </c>
      <c r="P872" s="11">
        <v>-0.925587177276611</v>
      </c>
      <c r="Q872" s="13" t="s">
        <v>24</v>
      </c>
      <c r="S872" s="14">
        <v>1.18</v>
      </c>
      <c r="T872" s="14">
        <v>0.706</v>
      </c>
      <c r="U872" s="14">
        <v>0.584</v>
      </c>
    </row>
    <row r="873">
      <c r="A873" s="15" t="s">
        <v>135</v>
      </c>
      <c r="B873" s="16">
        <v>2018.0</v>
      </c>
      <c r="C873" s="16">
        <v>71.0</v>
      </c>
      <c r="D873" s="16">
        <v>5.524</v>
      </c>
      <c r="E873" s="16">
        <v>0.775</v>
      </c>
      <c r="F873" s="16">
        <v>1.312</v>
      </c>
      <c r="G873" s="16">
        <v>0.513</v>
      </c>
      <c r="H873" s="16">
        <v>0.643</v>
      </c>
      <c r="I873" s="16">
        <v>0.12</v>
      </c>
      <c r="J873" s="16">
        <v>0.105</v>
      </c>
      <c r="K873" s="16">
        <v>3.97179651260376</v>
      </c>
      <c r="L873" s="16">
        <v>6.85059404373168</v>
      </c>
      <c r="M873" s="16">
        <v>3.74089673631138</v>
      </c>
      <c r="N873" s="16">
        <v>5.26</v>
      </c>
      <c r="O873" s="16">
        <v>3.919052</v>
      </c>
      <c r="P873" s="16">
        <v>0.683422207832336</v>
      </c>
      <c r="Q873" s="17" t="s">
        <v>24</v>
      </c>
      <c r="S873" s="14">
        <v>1.181</v>
      </c>
      <c r="T873" s="14">
        <v>0.706846774</v>
      </c>
      <c r="U873" s="14">
        <v>0.587</v>
      </c>
    </row>
    <row r="874">
      <c r="A874" s="10" t="s">
        <v>135</v>
      </c>
      <c r="B874" s="11">
        <v>2019.0</v>
      </c>
      <c r="C874" s="11">
        <v>69.0</v>
      </c>
      <c r="D874" s="11">
        <v>5.631</v>
      </c>
      <c r="E874" s="11">
        <v>0.807</v>
      </c>
      <c r="F874" s="11">
        <v>1.293</v>
      </c>
      <c r="G874" s="11">
        <v>0.657</v>
      </c>
      <c r="H874" s="11">
        <v>0.558</v>
      </c>
      <c r="I874" s="11">
        <v>0.117</v>
      </c>
      <c r="J874" s="11">
        <v>0.107</v>
      </c>
      <c r="K874" s="11">
        <v>2.40355634689331</v>
      </c>
      <c r="L874" s="11">
        <v>2.06296777725219</v>
      </c>
      <c r="M874" s="11">
        <v>0.763999999999995</v>
      </c>
      <c r="N874" s="11">
        <v>2.48000001907348</v>
      </c>
      <c r="O874" s="11">
        <v>3.03008294105529</v>
      </c>
      <c r="P874" s="11">
        <v>1.63158512115478</v>
      </c>
      <c r="Q874" s="13" t="s">
        <v>24</v>
      </c>
      <c r="S874" s="14">
        <v>1.182</v>
      </c>
      <c r="T874" s="14">
        <v>0.707</v>
      </c>
      <c r="U874" s="14">
        <v>0.589</v>
      </c>
    </row>
    <row r="875">
      <c r="A875" s="15" t="s">
        <v>135</v>
      </c>
      <c r="B875" s="16">
        <v>2020.0</v>
      </c>
      <c r="C875" s="16">
        <v>52.0</v>
      </c>
      <c r="D875" s="16">
        <v>6.006000042</v>
      </c>
      <c r="E875" s="16">
        <v>0.775120676</v>
      </c>
      <c r="F875" s="16">
        <v>0.846730053</v>
      </c>
      <c r="G875" s="16">
        <v>61.92676163</v>
      </c>
      <c r="H875" s="16">
        <v>0.915463448</v>
      </c>
      <c r="I875" s="16">
        <v>-0.105463006</v>
      </c>
      <c r="J875" s="16">
        <v>0.733634114</v>
      </c>
      <c r="K875" s="16">
        <v>0.912368479140606</v>
      </c>
      <c r="L875" s="16">
        <v>2.73465871810913</v>
      </c>
      <c r="M875" s="16">
        <v>1.79032194037553</v>
      </c>
      <c r="N875" s="16">
        <v>2.6352288488211</v>
      </c>
      <c r="O875" s="16">
        <v>3.21602368354797</v>
      </c>
      <c r="P875" s="16">
        <v>-4.03799152374267</v>
      </c>
      <c r="Q875" s="17" t="s">
        <v>24</v>
      </c>
      <c r="S875" s="14">
        <v>1.182125092</v>
      </c>
      <c r="T875" s="14">
        <v>0.708</v>
      </c>
      <c r="U875" s="14">
        <v>0.59</v>
      </c>
    </row>
    <row r="876">
      <c r="A876" s="10" t="s">
        <v>135</v>
      </c>
      <c r="B876" s="11">
        <v>2021.0</v>
      </c>
      <c r="C876" s="11">
        <v>61.0</v>
      </c>
      <c r="D876" s="11">
        <v>5.88</v>
      </c>
      <c r="E876" s="11">
        <v>9.076</v>
      </c>
      <c r="F876" s="11">
        <v>0.83</v>
      </c>
      <c r="G876" s="11">
        <v>62.0</v>
      </c>
      <c r="H876" s="11">
        <v>0.917</v>
      </c>
      <c r="I876" s="11">
        <v>-0.097</v>
      </c>
      <c r="J876" s="11">
        <v>0.742</v>
      </c>
      <c r="K876" s="11">
        <v>2.5692549231979</v>
      </c>
      <c r="L876" s="11">
        <v>4.55552795237196</v>
      </c>
      <c r="M876" s="11">
        <v>2.29343628428436</v>
      </c>
      <c r="N876" s="11">
        <v>3.92718022100326</v>
      </c>
      <c r="O876" s="11">
        <v>3.59192014461995</v>
      </c>
      <c r="P876" s="11">
        <v>-1.78076062639829</v>
      </c>
      <c r="Q876" s="13" t="s">
        <v>24</v>
      </c>
      <c r="S876" s="14">
        <v>1.183</v>
      </c>
      <c r="T876" s="14">
        <v>0.708</v>
      </c>
      <c r="U876" s="14">
        <v>0.592076063</v>
      </c>
    </row>
    <row r="877">
      <c r="A877" s="15" t="s">
        <v>135</v>
      </c>
      <c r="B877" s="16">
        <v>2022.0</v>
      </c>
      <c r="C877" s="16">
        <v>60.0</v>
      </c>
      <c r="D877" s="16">
        <v>5.904</v>
      </c>
      <c r="E877" s="16">
        <v>1.268</v>
      </c>
      <c r="F877" s="16">
        <v>0.912</v>
      </c>
      <c r="G877" s="16">
        <v>0.514</v>
      </c>
      <c r="H877" s="16">
        <v>0.678</v>
      </c>
      <c r="I877" s="16">
        <v>0.107</v>
      </c>
      <c r="J877" s="16">
        <v>0.142</v>
      </c>
      <c r="K877" s="16">
        <v>6.12822361095784</v>
      </c>
      <c r="L877" s="16">
        <v>4.95673686092433</v>
      </c>
      <c r="M877" s="16">
        <v>5.44379915421267</v>
      </c>
      <c r="N877" s="16">
        <v>5.82115811213952</v>
      </c>
      <c r="O877" s="16">
        <v>4.55200667627646</v>
      </c>
      <c r="P877" s="16">
        <v>6.50261591523429</v>
      </c>
      <c r="Q877" s="17" t="s">
        <v>24</v>
      </c>
      <c r="S877" s="14">
        <v>1.183</v>
      </c>
      <c r="T877" s="14">
        <v>0.709</v>
      </c>
      <c r="U877" s="14">
        <v>0.594502211</v>
      </c>
    </row>
    <row r="878">
      <c r="A878" s="10" t="s">
        <v>135</v>
      </c>
      <c r="B878" s="11">
        <v>2023.0</v>
      </c>
      <c r="C878" s="11">
        <v>76.0</v>
      </c>
      <c r="D878" s="11">
        <v>5.523</v>
      </c>
      <c r="E878" s="11">
        <v>8.979</v>
      </c>
      <c r="F878" s="11">
        <v>0.78</v>
      </c>
      <c r="G878" s="11">
        <v>62.038</v>
      </c>
      <c r="H878" s="11">
        <v>0.919</v>
      </c>
      <c r="I878" s="11">
        <v>-0.06</v>
      </c>
      <c r="J878" s="11">
        <v>0.732</v>
      </c>
      <c r="K878" s="12"/>
      <c r="L878" s="11">
        <v>7.88351759520196</v>
      </c>
      <c r="M878" s="11">
        <v>4.8869232471877</v>
      </c>
      <c r="N878" s="11">
        <v>5.97802515541409</v>
      </c>
      <c r="O878" s="11">
        <v>4.88353530222774</v>
      </c>
      <c r="P878" s="12"/>
      <c r="Q878" s="13" t="s">
        <v>24</v>
      </c>
      <c r="S878" s="14">
        <v>1.18326</v>
      </c>
      <c r="T878" s="14">
        <v>0.711</v>
      </c>
      <c r="U878" s="14">
        <v>0.606934547</v>
      </c>
    </row>
    <row r="879">
      <c r="A879" s="15" t="s">
        <v>136</v>
      </c>
      <c r="B879" s="16">
        <v>2015.0</v>
      </c>
      <c r="C879" s="16">
        <v>60.0</v>
      </c>
      <c r="D879" s="16">
        <v>5.791</v>
      </c>
      <c r="E879" s="16">
        <v>1.12555</v>
      </c>
      <c r="F879" s="16">
        <v>1.27948</v>
      </c>
      <c r="G879" s="16">
        <v>0.77903</v>
      </c>
      <c r="H879" s="16">
        <v>0.53122</v>
      </c>
      <c r="I879" s="16">
        <v>0.16759</v>
      </c>
      <c r="J879" s="16">
        <v>0.04212</v>
      </c>
      <c r="K879" s="16">
        <v>0.702593624591827</v>
      </c>
      <c r="L879" s="16">
        <v>-1.63140869140625</v>
      </c>
      <c r="M879" s="16">
        <v>0.974402988842332</v>
      </c>
      <c r="N879" s="16">
        <v>-0.874127566814422</v>
      </c>
      <c r="O879" s="16">
        <v>0.315828919410705</v>
      </c>
      <c r="P879" s="16">
        <v>-2.2739930152893</v>
      </c>
      <c r="Q879" s="17" t="s">
        <v>26</v>
      </c>
      <c r="S879" s="14">
        <v>1.18354</v>
      </c>
      <c r="T879" s="14">
        <v>0.711457908</v>
      </c>
      <c r="U879" s="14">
        <v>0.607</v>
      </c>
    </row>
    <row r="880">
      <c r="A880" s="10" t="s">
        <v>136</v>
      </c>
      <c r="B880" s="11">
        <v>2016.0</v>
      </c>
      <c r="C880" s="11">
        <v>57.0</v>
      </c>
      <c r="D880" s="11">
        <v>5.835</v>
      </c>
      <c r="E880" s="11">
        <v>1.24585</v>
      </c>
      <c r="F880" s="11">
        <v>1.04685</v>
      </c>
      <c r="G880" s="11">
        <v>0.69058</v>
      </c>
      <c r="H880" s="11">
        <v>0.4519</v>
      </c>
      <c r="I880" s="11">
        <v>0.14443</v>
      </c>
      <c r="J880" s="11">
        <v>0.055</v>
      </c>
      <c r="K880" s="11">
        <v>-0.606467843055725</v>
      </c>
      <c r="L880" s="11">
        <v>0.894836962223053</v>
      </c>
      <c r="M880" s="11">
        <v>0.311999999999997</v>
      </c>
      <c r="N880" s="11">
        <v>-0.664764404296875</v>
      </c>
      <c r="O880" s="11">
        <v>-0.254377752542495</v>
      </c>
      <c r="P880" s="11">
        <v>-0.283403664827346</v>
      </c>
      <c r="Q880" s="13" t="s">
        <v>26</v>
      </c>
      <c r="S880" s="14">
        <v>1.18468</v>
      </c>
      <c r="T880" s="14">
        <v>0.71156615</v>
      </c>
      <c r="U880" s="14">
        <v>0.612297952</v>
      </c>
    </row>
    <row r="881">
      <c r="A881" s="15" t="s">
        <v>136</v>
      </c>
      <c r="B881" s="16">
        <v>2017.0</v>
      </c>
      <c r="C881" s="16">
        <v>46.0</v>
      </c>
      <c r="D881" s="16">
        <v>5.97300005</v>
      </c>
      <c r="E881" s="16">
        <v>1.291787863</v>
      </c>
      <c r="F881" s="16">
        <v>1.44571197</v>
      </c>
      <c r="G881" s="16">
        <v>0.699475348</v>
      </c>
      <c r="H881" s="16">
        <v>0.520342112</v>
      </c>
      <c r="I881" s="16">
        <v>0.158465967</v>
      </c>
      <c r="J881" s="16">
        <v>0.059307806</v>
      </c>
      <c r="K881" s="16">
        <v>1.80185866355896</v>
      </c>
      <c r="L881" s="16">
        <v>4.34785270690918</v>
      </c>
      <c r="M881" s="16">
        <v>1.85919929818965</v>
      </c>
      <c r="N881" s="16">
        <v>1.975</v>
      </c>
      <c r="O881" s="16">
        <v>0.775361001491546</v>
      </c>
      <c r="P881" s="16">
        <v>2.72506976127624</v>
      </c>
      <c r="Q881" s="17" t="s">
        <v>26</v>
      </c>
      <c r="S881" s="14">
        <v>1.188</v>
      </c>
      <c r="T881" s="14">
        <v>0.712017834</v>
      </c>
      <c r="U881" s="14">
        <v>0.619799435</v>
      </c>
    </row>
    <row r="882">
      <c r="A882" s="10" t="s">
        <v>136</v>
      </c>
      <c r="B882" s="11">
        <v>2018.0</v>
      </c>
      <c r="C882" s="11">
        <v>42.0</v>
      </c>
      <c r="D882" s="11">
        <v>6.123</v>
      </c>
      <c r="E882" s="11">
        <v>1.176</v>
      </c>
      <c r="F882" s="11">
        <v>1.448</v>
      </c>
      <c r="G882" s="11">
        <v>0.781</v>
      </c>
      <c r="H882" s="11">
        <v>0.546</v>
      </c>
      <c r="I882" s="11">
        <v>0.108</v>
      </c>
      <c r="J882" s="11">
        <v>0.064</v>
      </c>
      <c r="K882" s="11">
        <v>2.05722308158874</v>
      </c>
      <c r="L882" s="11">
        <v>2.56391668319702</v>
      </c>
      <c r="M882" s="11">
        <v>1.20183602963484</v>
      </c>
      <c r="N882" s="11">
        <v>1.81</v>
      </c>
      <c r="O882" s="11">
        <v>0.737147033214569</v>
      </c>
      <c r="P882" s="11">
        <v>2.06688976287841</v>
      </c>
      <c r="Q882" s="13" t="s">
        <v>26</v>
      </c>
      <c r="S882" s="14">
        <v>1.190095186</v>
      </c>
      <c r="T882" s="14">
        <v>0.713</v>
      </c>
      <c r="U882" s="14">
        <v>0.62</v>
      </c>
    </row>
    <row r="883">
      <c r="A883" s="15" t="s">
        <v>136</v>
      </c>
      <c r="B883" s="16">
        <v>2019.0</v>
      </c>
      <c r="C883" s="16">
        <v>40.0</v>
      </c>
      <c r="D883" s="16">
        <v>6.182</v>
      </c>
      <c r="E883" s="16">
        <v>1.206</v>
      </c>
      <c r="F883" s="16">
        <v>1.438</v>
      </c>
      <c r="G883" s="16">
        <v>0.884</v>
      </c>
      <c r="H883" s="16">
        <v>0.483</v>
      </c>
      <c r="I883" s="16">
        <v>0.117</v>
      </c>
      <c r="J883" s="16">
        <v>0.05</v>
      </c>
      <c r="K883" s="16">
        <v>-0.383333295583725</v>
      </c>
      <c r="L883" s="16">
        <v>4.84557008743286</v>
      </c>
      <c r="M883" s="16">
        <v>3.14878390793482</v>
      </c>
      <c r="N883" s="16">
        <v>2.30800008773803</v>
      </c>
      <c r="O883" s="16">
        <v>1.88660800457</v>
      </c>
      <c r="P883" s="16">
        <v>1.42708885669708</v>
      </c>
      <c r="Q883" s="17" t="s">
        <v>26</v>
      </c>
      <c r="S883" s="14">
        <v>1.191</v>
      </c>
      <c r="T883" s="14">
        <v>0.714838803</v>
      </c>
      <c r="U883" s="14">
        <v>0.623073816</v>
      </c>
    </row>
    <row r="884">
      <c r="A884" s="10" t="s">
        <v>136</v>
      </c>
      <c r="B884" s="11">
        <v>2020.0</v>
      </c>
      <c r="C884" s="11">
        <v>43.0</v>
      </c>
      <c r="D884" s="11">
        <v>6.186299801</v>
      </c>
      <c r="E884" s="11">
        <v>1.16922915</v>
      </c>
      <c r="F884" s="11">
        <v>0.874257445</v>
      </c>
      <c r="G884" s="11">
        <v>69.31113434</v>
      </c>
      <c r="H884" s="11">
        <v>0.862055779</v>
      </c>
      <c r="I884" s="11">
        <v>-0.205084071</v>
      </c>
      <c r="J884" s="11">
        <v>0.686927021</v>
      </c>
      <c r="K884" s="11">
        <v>7.4896199297349</v>
      </c>
      <c r="L884" s="11">
        <v>4.72521686553955</v>
      </c>
      <c r="M884" s="11">
        <v>4.11865630361613</v>
      </c>
      <c r="N884" s="11">
        <v>3.37446972618544</v>
      </c>
      <c r="O884" s="11">
        <v>3.883333</v>
      </c>
      <c r="P884" s="11">
        <v>-0.526646435260772</v>
      </c>
      <c r="Q884" s="13" t="s">
        <v>26</v>
      </c>
      <c r="S884" s="14">
        <v>1.197</v>
      </c>
      <c r="T884" s="14">
        <v>0.715</v>
      </c>
      <c r="U884" s="14">
        <v>0.625</v>
      </c>
    </row>
    <row r="885">
      <c r="A885" s="15" t="s">
        <v>136</v>
      </c>
      <c r="B885" s="16">
        <v>2021.0</v>
      </c>
      <c r="C885" s="16">
        <v>44.0</v>
      </c>
      <c r="D885" s="16">
        <v>6.166</v>
      </c>
      <c r="E885" s="16">
        <v>10.382</v>
      </c>
      <c r="F885" s="16">
        <v>0.898</v>
      </c>
      <c r="G885" s="16">
        <v>69.702</v>
      </c>
      <c r="H885" s="16">
        <v>0.841</v>
      </c>
      <c r="I885" s="16">
        <v>-0.165</v>
      </c>
      <c r="J885" s="16">
        <v>0.735</v>
      </c>
      <c r="K885" s="16">
        <v>12.14167</v>
      </c>
      <c r="L885" s="16">
        <v>3.183</v>
      </c>
      <c r="M885" s="16">
        <v>5.05250600239985</v>
      </c>
      <c r="N885" s="16">
        <v>5.1</v>
      </c>
      <c r="O885" s="16">
        <v>4.1</v>
      </c>
      <c r="P885" s="16">
        <v>8.04361567635892</v>
      </c>
      <c r="Q885" s="17" t="s">
        <v>26</v>
      </c>
      <c r="S885" s="14">
        <v>1.19777</v>
      </c>
      <c r="T885" s="14">
        <v>0.715</v>
      </c>
      <c r="U885" s="14">
        <v>0.627</v>
      </c>
    </row>
    <row r="886">
      <c r="A886" s="10" t="s">
        <v>136</v>
      </c>
      <c r="B886" s="11">
        <v>2022.0</v>
      </c>
      <c r="C886" s="11">
        <v>48.0</v>
      </c>
      <c r="D886" s="11">
        <v>6.123</v>
      </c>
      <c r="E886" s="11">
        <v>1.758</v>
      </c>
      <c r="F886" s="11">
        <v>1.174</v>
      </c>
      <c r="G886" s="11">
        <v>0.712</v>
      </c>
      <c r="H886" s="11">
        <v>0.523</v>
      </c>
      <c r="I886" s="11">
        <v>0.124</v>
      </c>
      <c r="J886" s="11">
        <v>0.14</v>
      </c>
      <c r="K886" s="11">
        <v>29.0990493396666</v>
      </c>
      <c r="L886" s="11">
        <v>15.36667</v>
      </c>
      <c r="M886" s="11">
        <v>10.2970493045099</v>
      </c>
      <c r="N886" s="11">
        <v>14.3</v>
      </c>
      <c r="O886" s="11">
        <v>8.95582959641254</v>
      </c>
      <c r="P886" s="11">
        <v>22.4148018136613</v>
      </c>
      <c r="Q886" s="13" t="s">
        <v>26</v>
      </c>
      <c r="S886" s="14">
        <v>1.1985</v>
      </c>
      <c r="T886" s="14">
        <v>0.715315044</v>
      </c>
      <c r="U886" s="14">
        <v>0.629</v>
      </c>
    </row>
    <row r="887">
      <c r="A887" s="15" t="s">
        <v>136</v>
      </c>
      <c r="B887" s="16">
        <v>2023.0</v>
      </c>
      <c r="C887" s="16">
        <v>39.0</v>
      </c>
      <c r="D887" s="16">
        <v>6.26</v>
      </c>
      <c r="E887" s="16">
        <v>10.453</v>
      </c>
      <c r="F887" s="16">
        <v>0.925</v>
      </c>
      <c r="G887" s="16">
        <v>69.049</v>
      </c>
      <c r="H887" s="16">
        <v>0.765</v>
      </c>
      <c r="I887" s="16">
        <v>-0.031</v>
      </c>
      <c r="J887" s="16">
        <v>0.736</v>
      </c>
      <c r="K887" s="16">
        <v>11.6536525083232</v>
      </c>
      <c r="L887" s="16">
        <v>14.9516365190791</v>
      </c>
      <c r="M887" s="16">
        <v>10.991340063225</v>
      </c>
      <c r="N887" s="16">
        <v>11.5289127961105</v>
      </c>
      <c r="O887" s="16">
        <v>9.93496482371523</v>
      </c>
      <c r="P887" s="16">
        <v>2.58677340342899</v>
      </c>
      <c r="Q887" s="17" t="s">
        <v>26</v>
      </c>
      <c r="S887" s="14">
        <v>1.202</v>
      </c>
      <c r="T887" s="14">
        <v>0.716</v>
      </c>
      <c r="U887" s="14">
        <v>0.63571167</v>
      </c>
    </row>
    <row r="888">
      <c r="A888" s="10" t="s">
        <v>137</v>
      </c>
      <c r="B888" s="11">
        <v>2015.0</v>
      </c>
      <c r="C888" s="11">
        <v>88.0</v>
      </c>
      <c r="D888" s="11">
        <v>5.102</v>
      </c>
      <c r="E888" s="11">
        <v>1.15991</v>
      </c>
      <c r="F888" s="11">
        <v>1.13935</v>
      </c>
      <c r="G888" s="11">
        <v>0.87519</v>
      </c>
      <c r="H888" s="11">
        <v>0.51469</v>
      </c>
      <c r="I888" s="11">
        <v>0.13719</v>
      </c>
      <c r="J888" s="11">
        <v>0.01078</v>
      </c>
      <c r="K888" s="11">
        <v>0.231446117162704</v>
      </c>
      <c r="L888" s="11">
        <v>1.01412880420684</v>
      </c>
      <c r="M888" s="11">
        <v>2.01938443019322</v>
      </c>
      <c r="N888" s="11">
        <v>0.48794212937355</v>
      </c>
      <c r="O888" s="11">
        <v>-24.8457851409912</v>
      </c>
      <c r="P888" s="11">
        <v>-3.26456451416015</v>
      </c>
      <c r="Q888" s="13" t="s">
        <v>26</v>
      </c>
      <c r="S888" s="14">
        <v>1.20215</v>
      </c>
      <c r="T888" s="14">
        <v>0.717</v>
      </c>
      <c r="U888" s="14">
        <v>0.635994136</v>
      </c>
    </row>
    <row r="889">
      <c r="A889" s="15" t="s">
        <v>137</v>
      </c>
      <c r="B889" s="16">
        <v>2016.0</v>
      </c>
      <c r="C889" s="16">
        <v>94.0</v>
      </c>
      <c r="D889" s="16">
        <v>5.123</v>
      </c>
      <c r="E889" s="16">
        <v>1.27607</v>
      </c>
      <c r="F889" s="16">
        <v>0.94367</v>
      </c>
      <c r="G889" s="16">
        <v>0.79363</v>
      </c>
      <c r="H889" s="16">
        <v>0.44727</v>
      </c>
      <c r="I889" s="16">
        <v>0.11691</v>
      </c>
      <c r="J889" s="16">
        <v>0.01521</v>
      </c>
      <c r="K889" s="16">
        <v>0.385936558246612</v>
      </c>
      <c r="L889" s="16">
        <v>0.490036755800247</v>
      </c>
      <c r="M889" s="16">
        <v>1.71698266742615</v>
      </c>
      <c r="N889" s="16">
        <v>0.607398986816406</v>
      </c>
      <c r="O889" s="16">
        <v>0.738135278224945</v>
      </c>
      <c r="P889" s="16">
        <v>-2.68311524391174</v>
      </c>
      <c r="Q889" s="17" t="s">
        <v>26</v>
      </c>
      <c r="S889" s="14">
        <v>1.20278</v>
      </c>
      <c r="T889" s="14">
        <v>0.718</v>
      </c>
      <c r="U889" s="14">
        <v>0.638</v>
      </c>
    </row>
    <row r="890">
      <c r="A890" s="10" t="s">
        <v>137</v>
      </c>
      <c r="B890" s="11">
        <v>2017.0</v>
      </c>
      <c r="C890" s="11">
        <v>89.0</v>
      </c>
      <c r="D890" s="11">
        <v>5.195000172</v>
      </c>
      <c r="E890" s="11">
        <v>1.315175295</v>
      </c>
      <c r="F890" s="11">
        <v>1.367043018</v>
      </c>
      <c r="G890" s="11">
        <v>0.795843542</v>
      </c>
      <c r="H890" s="11">
        <v>0.4984653</v>
      </c>
      <c r="I890" s="11">
        <v>0.095102713</v>
      </c>
      <c r="J890" s="11">
        <v>0.015869452</v>
      </c>
      <c r="K890" s="11">
        <v>0.596155285835266</v>
      </c>
      <c r="L890" s="11">
        <v>1.53166568279266</v>
      </c>
      <c r="M890" s="11">
        <v>1.512</v>
      </c>
      <c r="N890" s="11">
        <v>1.556</v>
      </c>
      <c r="O890" s="11">
        <v>1.08843505382537</v>
      </c>
      <c r="P890" s="11">
        <v>3.33934044837951</v>
      </c>
      <c r="Q890" s="13" t="s">
        <v>26</v>
      </c>
      <c r="S890" s="14">
        <v>1.203</v>
      </c>
      <c r="T890" s="14">
        <v>0.718</v>
      </c>
      <c r="U890" s="14">
        <v>0.638</v>
      </c>
    </row>
    <row r="891">
      <c r="A891" s="15" t="s">
        <v>137</v>
      </c>
      <c r="B891" s="16">
        <v>2018.0</v>
      </c>
      <c r="C891" s="16">
        <v>77.0</v>
      </c>
      <c r="D891" s="16">
        <v>5.41</v>
      </c>
      <c r="E891" s="16">
        <v>1.188</v>
      </c>
      <c r="F891" s="16">
        <v>1.429</v>
      </c>
      <c r="G891" s="16">
        <v>0.884</v>
      </c>
      <c r="H891" s="16">
        <v>0.562</v>
      </c>
      <c r="I891" s="16">
        <v>0.055</v>
      </c>
      <c r="J891" s="16">
        <v>0.017</v>
      </c>
      <c r="K891" s="16">
        <v>2.19054794311523</v>
      </c>
      <c r="L891" s="16">
        <v>0.737968802452087</v>
      </c>
      <c r="M891" s="16">
        <v>1.81259358499488</v>
      </c>
      <c r="N891" s="16">
        <v>0.99</v>
      </c>
      <c r="O891" s="16">
        <v>0.668082773685455</v>
      </c>
      <c r="P891" s="16">
        <v>2.66798949241638</v>
      </c>
      <c r="Q891" s="17" t="s">
        <v>26</v>
      </c>
      <c r="S891" s="14">
        <v>1.203</v>
      </c>
      <c r="T891" s="14">
        <v>0.718964577</v>
      </c>
      <c r="U891" s="14">
        <v>0.64</v>
      </c>
    </row>
    <row r="892">
      <c r="A892" s="10" t="s">
        <v>137</v>
      </c>
      <c r="B892" s="11">
        <v>2019.0</v>
      </c>
      <c r="C892" s="11">
        <v>66.0</v>
      </c>
      <c r="D892" s="11">
        <v>5.693</v>
      </c>
      <c r="E892" s="11">
        <v>1.221</v>
      </c>
      <c r="F892" s="11">
        <v>1.431</v>
      </c>
      <c r="G892" s="11">
        <v>0.999</v>
      </c>
      <c r="H892" s="11">
        <v>0.508</v>
      </c>
      <c r="I892" s="11">
        <v>0.047</v>
      </c>
      <c r="J892" s="11">
        <v>0.025</v>
      </c>
      <c r="K892" s="11">
        <v>-1.76969003677368</v>
      </c>
      <c r="L892" s="11">
        <v>0.316930111958249</v>
      </c>
      <c r="M892" s="11">
        <v>1.73968573418995</v>
      </c>
      <c r="N892" s="11">
        <v>0.300000011920928</v>
      </c>
      <c r="O892" s="11">
        <v>0.488877385854721</v>
      </c>
      <c r="P892" s="11">
        <v>0.0161510482430458</v>
      </c>
      <c r="Q892" s="13" t="s">
        <v>26</v>
      </c>
      <c r="S892" s="14">
        <v>1.204</v>
      </c>
      <c r="T892" s="14">
        <v>0.719</v>
      </c>
      <c r="U892" s="14">
        <v>0.645124316</v>
      </c>
    </row>
    <row r="893">
      <c r="A893" s="15" t="s">
        <v>137</v>
      </c>
      <c r="B893" s="16">
        <v>2020.0</v>
      </c>
      <c r="C893" s="16">
        <v>59.0</v>
      </c>
      <c r="D893" s="16">
        <v>5.910900116</v>
      </c>
      <c r="E893" s="16">
        <v>1.168800831</v>
      </c>
      <c r="F893" s="16">
        <v>0.886590719</v>
      </c>
      <c r="G893" s="16">
        <v>72.40202332</v>
      </c>
      <c r="H893" s="16">
        <v>0.888747811</v>
      </c>
      <c r="I893" s="16">
        <v>-0.220714301</v>
      </c>
      <c r="J893" s="16">
        <v>0.892629504</v>
      </c>
      <c r="K893" s="16">
        <v>0.0748573824535273</v>
      </c>
      <c r="L893" s="16">
        <v>2.08734393119812</v>
      </c>
      <c r="M893" s="16">
        <v>2.52591535901092</v>
      </c>
      <c r="N893" s="16">
        <v>-0.0124383299576167</v>
      </c>
      <c r="O893" s="16">
        <v>-0.0392725802958011</v>
      </c>
      <c r="P893" s="16">
        <v>-4.17977890744773</v>
      </c>
      <c r="Q893" s="17" t="s">
        <v>26</v>
      </c>
      <c r="S893" s="14">
        <v>1.204</v>
      </c>
      <c r="T893" s="14">
        <v>0.719</v>
      </c>
      <c r="U893" s="14">
        <v>0.646</v>
      </c>
    </row>
    <row r="894">
      <c r="A894" s="10" t="s">
        <v>137</v>
      </c>
      <c r="B894" s="11">
        <v>2021.0</v>
      </c>
      <c r="C894" s="11">
        <v>58.0</v>
      </c>
      <c r="D894" s="11">
        <v>5.929</v>
      </c>
      <c r="E894" s="11">
        <v>10.421</v>
      </c>
      <c r="F894" s="11">
        <v>0.879</v>
      </c>
      <c r="G894" s="11">
        <v>72.6</v>
      </c>
      <c r="H894" s="11">
        <v>0.892</v>
      </c>
      <c r="I894" s="11">
        <v>-0.244</v>
      </c>
      <c r="J894" s="11">
        <v>0.887</v>
      </c>
      <c r="K894" s="11">
        <v>7.276162</v>
      </c>
      <c r="L894" s="11">
        <v>0.736</v>
      </c>
      <c r="M894" s="11">
        <v>1.39879177784729</v>
      </c>
      <c r="N894" s="11">
        <v>1.265657</v>
      </c>
      <c r="O894" s="11">
        <v>0.752</v>
      </c>
      <c r="P894" s="11">
        <v>8.86587522101512</v>
      </c>
      <c r="Q894" s="13" t="s">
        <v>26</v>
      </c>
      <c r="S894" s="14">
        <v>1.205</v>
      </c>
      <c r="T894" s="14">
        <v>0.72</v>
      </c>
      <c r="U894" s="14">
        <v>0.649</v>
      </c>
    </row>
    <row r="895">
      <c r="A895" s="15" t="s">
        <v>137</v>
      </c>
      <c r="B895" s="16">
        <v>2022.0</v>
      </c>
      <c r="C895" s="16">
        <v>56.0</v>
      </c>
      <c r="D895" s="16">
        <v>6.016</v>
      </c>
      <c r="E895" s="16">
        <v>1.76</v>
      </c>
      <c r="F895" s="16">
        <v>1.078</v>
      </c>
      <c r="G895" s="16">
        <v>0.777</v>
      </c>
      <c r="H895" s="16">
        <v>0.655</v>
      </c>
      <c r="I895" s="16">
        <v>0.016</v>
      </c>
      <c r="J895" s="16">
        <v>0.039</v>
      </c>
      <c r="K895" s="16">
        <v>23.6053422432558</v>
      </c>
      <c r="L895" s="16">
        <v>12.99107</v>
      </c>
      <c r="M895" s="16">
        <v>4.29857704297793</v>
      </c>
      <c r="N895" s="16">
        <v>7.832691</v>
      </c>
      <c r="O895" s="16">
        <v>5.60987951807228</v>
      </c>
      <c r="P895" s="16">
        <v>20.5027068832168</v>
      </c>
      <c r="Q895" s="17" t="s">
        <v>26</v>
      </c>
      <c r="S895" s="14">
        <v>1.206</v>
      </c>
      <c r="T895" s="14">
        <v>0.721609175</v>
      </c>
      <c r="U895" s="14">
        <v>0.653</v>
      </c>
    </row>
    <row r="896">
      <c r="A896" s="10" t="s">
        <v>137</v>
      </c>
      <c r="B896" s="11">
        <v>2023.0</v>
      </c>
      <c r="C896" s="11">
        <v>56.0</v>
      </c>
      <c r="D896" s="11">
        <v>5.968</v>
      </c>
      <c r="E896" s="11">
        <v>10.429</v>
      </c>
      <c r="F896" s="11">
        <v>0.878</v>
      </c>
      <c r="G896" s="11">
        <v>71.25</v>
      </c>
      <c r="H896" s="11">
        <v>0.902</v>
      </c>
      <c r="I896" s="11">
        <v>-0.196</v>
      </c>
      <c r="J896" s="11">
        <v>0.878</v>
      </c>
      <c r="K896" s="11">
        <v>-8.57411325559884</v>
      </c>
      <c r="L896" s="11">
        <v>10.0403731659089</v>
      </c>
      <c r="M896" s="11">
        <v>7.24570293266459</v>
      </c>
      <c r="N896" s="11">
        <v>4.31128191898672</v>
      </c>
      <c r="O896" s="11">
        <v>5.02350862591352</v>
      </c>
      <c r="P896" s="11">
        <v>-2.18856299338896</v>
      </c>
      <c r="Q896" s="13" t="s">
        <v>26</v>
      </c>
      <c r="S896" s="14">
        <v>1.20643</v>
      </c>
      <c r="T896" s="14">
        <v>0.724</v>
      </c>
      <c r="U896" s="14">
        <v>0.654558063</v>
      </c>
    </row>
    <row r="897">
      <c r="A897" s="15" t="s">
        <v>138</v>
      </c>
      <c r="B897" s="16">
        <v>2016.0</v>
      </c>
      <c r="C897" s="16">
        <v>15.0</v>
      </c>
      <c r="D897" s="16">
        <v>7.039</v>
      </c>
      <c r="E897" s="16">
        <v>1.35943</v>
      </c>
      <c r="F897" s="16">
        <v>1.08113</v>
      </c>
      <c r="G897" s="16">
        <v>0.77758</v>
      </c>
      <c r="H897" s="16">
        <v>0.46823</v>
      </c>
      <c r="I897" s="16">
        <v>0.22202</v>
      </c>
      <c r="J897" s="16">
        <v>0.12275</v>
      </c>
      <c r="K897" s="12"/>
      <c r="L897" s="12"/>
      <c r="M897" s="16">
        <v>2.22122347066167</v>
      </c>
      <c r="N897" s="16">
        <v>-0.293999999761581</v>
      </c>
      <c r="O897" s="12"/>
      <c r="P897" s="12"/>
      <c r="Q897" s="12"/>
      <c r="S897" s="14">
        <v>1.2089</v>
      </c>
      <c r="T897" s="14">
        <v>0.724</v>
      </c>
      <c r="U897" s="14">
        <v>0.655</v>
      </c>
    </row>
    <row r="898">
      <c r="A898" s="10" t="s">
        <v>139</v>
      </c>
      <c r="B898" s="11">
        <v>2015.0</v>
      </c>
      <c r="C898" s="11">
        <v>28.0</v>
      </c>
      <c r="D898" s="11">
        <v>6.611</v>
      </c>
      <c r="E898" s="11">
        <v>1.69042</v>
      </c>
      <c r="F898" s="11">
        <v>1.0786</v>
      </c>
      <c r="G898" s="11">
        <v>0.79733</v>
      </c>
      <c r="H898" s="11">
        <v>0.6404</v>
      </c>
      <c r="I898" s="11">
        <v>0.32573</v>
      </c>
      <c r="J898" s="11">
        <v>0.52208</v>
      </c>
      <c r="K898" s="11">
        <v>2.86999988555908</v>
      </c>
      <c r="L898" s="11">
        <v>0.839999973773956</v>
      </c>
      <c r="M898" s="11">
        <v>-25.1294374117472</v>
      </c>
      <c r="N898" s="11">
        <v>1.86084461212158</v>
      </c>
      <c r="O898" s="12"/>
      <c r="P898" s="11">
        <v>-37.9259910583496</v>
      </c>
      <c r="Q898" s="13" t="s">
        <v>24</v>
      </c>
      <c r="S898" s="14">
        <v>1.209</v>
      </c>
      <c r="T898" s="14">
        <v>0.724</v>
      </c>
      <c r="U898" s="14">
        <v>0.657</v>
      </c>
    </row>
    <row r="899">
      <c r="A899" s="15" t="s">
        <v>139</v>
      </c>
      <c r="B899" s="16">
        <v>2016.0</v>
      </c>
      <c r="C899" s="16">
        <v>36.0</v>
      </c>
      <c r="D899" s="16">
        <v>6.375</v>
      </c>
      <c r="E899" s="16">
        <v>1.82427</v>
      </c>
      <c r="F899" s="16">
        <v>0.87964</v>
      </c>
      <c r="G899" s="16">
        <v>0.71723</v>
      </c>
      <c r="H899" s="16">
        <v>0.56679</v>
      </c>
      <c r="I899" s="16">
        <v>0.32388</v>
      </c>
      <c r="J899" s="16">
        <v>0.48049</v>
      </c>
      <c r="K899" s="16">
        <v>4.02984905242919</v>
      </c>
      <c r="L899" s="16">
        <v>-1.85425066947937</v>
      </c>
      <c r="M899" s="16">
        <v>-8.97660721966713</v>
      </c>
      <c r="N899" s="16">
        <v>2.68128299713134</v>
      </c>
      <c r="O899" s="16">
        <v>1.83169651031494</v>
      </c>
      <c r="P899" s="16">
        <v>-22.5149021148681</v>
      </c>
      <c r="Q899" s="17" t="s">
        <v>24</v>
      </c>
      <c r="S899" s="14">
        <v>1.20956099</v>
      </c>
      <c r="T899" s="14">
        <v>0.724</v>
      </c>
      <c r="U899" s="14">
        <v>0.657</v>
      </c>
    </row>
    <row r="900">
      <c r="A900" s="10" t="s">
        <v>139</v>
      </c>
      <c r="B900" s="11">
        <v>2017.0</v>
      </c>
      <c r="C900" s="11">
        <v>35.0</v>
      </c>
      <c r="D900" s="11">
        <v>6.375</v>
      </c>
      <c r="E900" s="11">
        <v>1.870765686</v>
      </c>
      <c r="F900" s="11">
        <v>1.27429688</v>
      </c>
      <c r="G900" s="11">
        <v>0.710098088</v>
      </c>
      <c r="H900" s="11">
        <v>0.604130983</v>
      </c>
      <c r="I900" s="11">
        <v>0.33047387</v>
      </c>
      <c r="J900" s="11">
        <v>0.439299256</v>
      </c>
      <c r="K900" s="11">
        <v>-3.04019618034362</v>
      </c>
      <c r="L900" s="11">
        <v>1.92372262477874</v>
      </c>
      <c r="M900" s="11">
        <v>7.78747122258571</v>
      </c>
      <c r="N900" s="11">
        <v>0.395</v>
      </c>
      <c r="O900" s="11">
        <v>1.45816755294799</v>
      </c>
      <c r="P900" s="11">
        <v>19.2878875732421</v>
      </c>
      <c r="Q900" s="13" t="s">
        <v>24</v>
      </c>
      <c r="S900" s="14">
        <v>1.21086216</v>
      </c>
      <c r="T900" s="14">
        <v>0.726</v>
      </c>
      <c r="U900" s="14">
        <v>0.658</v>
      </c>
    </row>
    <row r="901">
      <c r="A901" s="15" t="s">
        <v>139</v>
      </c>
      <c r="B901" s="16">
        <v>2018.0</v>
      </c>
      <c r="C901" s="16">
        <v>32.0</v>
      </c>
      <c r="D901" s="16">
        <v>6.374</v>
      </c>
      <c r="E901" s="16">
        <v>1.649</v>
      </c>
      <c r="F901" s="16">
        <v>1.303</v>
      </c>
      <c r="G901" s="16">
        <v>0.748</v>
      </c>
      <c r="H901" s="16">
        <v>0.654</v>
      </c>
      <c r="I901" s="16">
        <v>0.256</v>
      </c>
      <c r="J901" s="16">
        <v>0.171</v>
      </c>
      <c r="K901" s="16">
        <v>-3.90208101272583</v>
      </c>
      <c r="L901" s="16">
        <v>-0.0453273989260196</v>
      </c>
      <c r="M901" s="16">
        <v>12.41386287757</v>
      </c>
      <c r="N901" s="16">
        <v>0.22</v>
      </c>
      <c r="O901" s="16">
        <v>1.21285724639892</v>
      </c>
      <c r="P901" s="16">
        <v>25.9187068939209</v>
      </c>
      <c r="Q901" s="17" t="s">
        <v>24</v>
      </c>
      <c r="S901" s="14">
        <v>1.211</v>
      </c>
      <c r="T901" s="14">
        <v>0.726495862</v>
      </c>
      <c r="U901" s="14">
        <v>0.658547282</v>
      </c>
    </row>
    <row r="902">
      <c r="A902" s="10" t="s">
        <v>139</v>
      </c>
      <c r="B902" s="11">
        <v>2019.0</v>
      </c>
      <c r="C902" s="11">
        <v>29.0</v>
      </c>
      <c r="D902" s="11">
        <v>6.374</v>
      </c>
      <c r="E902" s="11">
        <v>1.684</v>
      </c>
      <c r="F902" s="11">
        <v>1.313</v>
      </c>
      <c r="G902" s="11">
        <v>0.871</v>
      </c>
      <c r="H902" s="11">
        <v>0.555</v>
      </c>
      <c r="I902" s="11">
        <v>0.22</v>
      </c>
      <c r="J902" s="11">
        <v>0.167</v>
      </c>
      <c r="K902" s="11">
        <v>-2.97580862045288</v>
      </c>
      <c r="L902" s="11">
        <v>0.0225000008940696</v>
      </c>
      <c r="M902" s="11">
        <v>-4.82699999999999</v>
      </c>
      <c r="N902" s="11">
        <v>-0.551999986171722</v>
      </c>
      <c r="O902" s="11">
        <v>-0.431663066148757</v>
      </c>
      <c r="P902" s="11">
        <v>-9.48183631896972</v>
      </c>
      <c r="Q902" s="13" t="s">
        <v>24</v>
      </c>
      <c r="S902" s="14">
        <v>1.212</v>
      </c>
      <c r="T902" s="14">
        <v>0.727</v>
      </c>
      <c r="U902" s="14">
        <v>0.66</v>
      </c>
    </row>
    <row r="903">
      <c r="A903" s="15" t="s">
        <v>140</v>
      </c>
      <c r="B903" s="16">
        <v>2015.0</v>
      </c>
      <c r="C903" s="16">
        <v>86.0</v>
      </c>
      <c r="D903" s="16">
        <v>5.124</v>
      </c>
      <c r="E903" s="16">
        <v>1.04345</v>
      </c>
      <c r="F903" s="16">
        <v>0.88588</v>
      </c>
      <c r="G903" s="16">
        <v>0.7689</v>
      </c>
      <c r="H903" s="16">
        <v>0.35068</v>
      </c>
      <c r="I903" s="16">
        <v>0.13748</v>
      </c>
      <c r="J903" s="16">
        <v>0.00649</v>
      </c>
      <c r="K903" s="16">
        <v>-2.7</v>
      </c>
      <c r="L903" s="16">
        <v>-3.79607391357421</v>
      </c>
      <c r="M903" s="16">
        <v>3.25565066548267</v>
      </c>
      <c r="N903" s="16">
        <v>-0.602538645267486</v>
      </c>
      <c r="O903" s="16">
        <v>-0.840003848075866</v>
      </c>
      <c r="P903" s="16">
        <v>-1.83965766429901</v>
      </c>
      <c r="Q903" s="17" t="s">
        <v>26</v>
      </c>
      <c r="S903" s="14">
        <v>1.21400857</v>
      </c>
      <c r="T903" s="14">
        <v>0.728</v>
      </c>
      <c r="U903" s="14">
        <v>0.66</v>
      </c>
    </row>
    <row r="904">
      <c r="A904" s="10" t="s">
        <v>140</v>
      </c>
      <c r="B904" s="11">
        <v>2016.0</v>
      </c>
      <c r="C904" s="11">
        <v>71.0</v>
      </c>
      <c r="D904" s="11">
        <v>5.528</v>
      </c>
      <c r="E904" s="11">
        <v>1.1697</v>
      </c>
      <c r="F904" s="11">
        <v>0.72803</v>
      </c>
      <c r="G904" s="11">
        <v>0.67602</v>
      </c>
      <c r="H904" s="11">
        <v>0.36712</v>
      </c>
      <c r="I904" s="11">
        <v>0.12889</v>
      </c>
      <c r="J904" s="11">
        <v>0.00679</v>
      </c>
      <c r="K904" s="11">
        <v>-4.4</v>
      </c>
      <c r="L904" s="11">
        <v>-2.57576918601989</v>
      </c>
      <c r="M904" s="11">
        <v>2.447</v>
      </c>
      <c r="N904" s="11">
        <v>-1.55214762687683</v>
      </c>
      <c r="O904" s="11">
        <v>-0.793091654777526</v>
      </c>
      <c r="P904" s="11">
        <v>-1.79166841506958</v>
      </c>
      <c r="Q904" s="13" t="s">
        <v>26</v>
      </c>
      <c r="S904" s="14">
        <v>1.215</v>
      </c>
      <c r="T904" s="14">
        <v>0.73</v>
      </c>
      <c r="U904" s="14">
        <v>0.661</v>
      </c>
    </row>
    <row r="905">
      <c r="A905" s="15" t="s">
        <v>140</v>
      </c>
      <c r="B905" s="16">
        <v>2017.0</v>
      </c>
      <c r="C905" s="16">
        <v>57.0</v>
      </c>
      <c r="D905" s="16">
        <v>5.824999809</v>
      </c>
      <c r="E905" s="16">
        <v>1.217683911</v>
      </c>
      <c r="F905" s="16">
        <v>1.15009129</v>
      </c>
      <c r="G905" s="16">
        <v>0.685158312</v>
      </c>
      <c r="H905" s="16">
        <v>0.457003742</v>
      </c>
      <c r="I905" s="16">
        <v>0.133519918</v>
      </c>
      <c r="J905" s="16">
        <v>0.004387901</v>
      </c>
      <c r="K905" s="16">
        <v>0.4</v>
      </c>
      <c r="L905" s="16">
        <v>2.48421835899353</v>
      </c>
      <c r="M905" s="16">
        <v>4.67949281091686</v>
      </c>
      <c r="N905" s="16">
        <v>1.344</v>
      </c>
      <c r="O905" s="16">
        <v>1.61434757709503</v>
      </c>
      <c r="P905" s="16">
        <v>3.47051501274108</v>
      </c>
      <c r="Q905" s="17" t="s">
        <v>26</v>
      </c>
      <c r="S905" s="14">
        <v>1.215</v>
      </c>
      <c r="T905" s="14">
        <v>0.731</v>
      </c>
      <c r="U905" s="14">
        <v>0.661843538</v>
      </c>
    </row>
    <row r="906">
      <c r="A906" s="10" t="s">
        <v>140</v>
      </c>
      <c r="B906" s="11">
        <v>2018.0</v>
      </c>
      <c r="C906" s="11">
        <v>52.0</v>
      </c>
      <c r="D906" s="11">
        <v>5.945</v>
      </c>
      <c r="E906" s="11">
        <v>1.116</v>
      </c>
      <c r="F906" s="11">
        <v>1.219</v>
      </c>
      <c r="G906" s="11">
        <v>0.726</v>
      </c>
      <c r="H906" s="11">
        <v>0.528</v>
      </c>
      <c r="I906" s="11">
        <v>0.088</v>
      </c>
      <c r="J906" s="11">
        <v>0.001</v>
      </c>
      <c r="K906" s="11">
        <v>12.2</v>
      </c>
      <c r="L906" s="11">
        <v>3.75278067588806</v>
      </c>
      <c r="M906" s="11">
        <v>6.18606689605654</v>
      </c>
      <c r="N906" s="11">
        <v>4.64</v>
      </c>
      <c r="O906" s="11">
        <v>3.10113716125488</v>
      </c>
      <c r="P906" s="11">
        <v>5.02706146240234</v>
      </c>
      <c r="Q906" s="13" t="s">
        <v>26</v>
      </c>
      <c r="S906" s="14">
        <v>1.215770483</v>
      </c>
      <c r="T906" s="14">
        <v>0.731</v>
      </c>
      <c r="U906" s="14">
        <v>0.664</v>
      </c>
    </row>
    <row r="907">
      <c r="A907" s="15" t="s">
        <v>140</v>
      </c>
      <c r="B907" s="16">
        <v>2019.0</v>
      </c>
      <c r="C907" s="16">
        <v>48.0</v>
      </c>
      <c r="D907" s="16">
        <v>6.07</v>
      </c>
      <c r="E907" s="16">
        <v>1.162</v>
      </c>
      <c r="F907" s="16">
        <v>1.232</v>
      </c>
      <c r="G907" s="16">
        <v>0.825</v>
      </c>
      <c r="H907" s="16">
        <v>0.462</v>
      </c>
      <c r="I907" s="16">
        <v>0.083</v>
      </c>
      <c r="J907" s="16">
        <v>0.005</v>
      </c>
      <c r="K907" s="16">
        <v>2.7</v>
      </c>
      <c r="L907" s="16">
        <v>4.69595909118652</v>
      </c>
      <c r="M907" s="16">
        <v>6.77848518111964</v>
      </c>
      <c r="N907" s="16">
        <v>3.82500004768371</v>
      </c>
      <c r="O907" s="16">
        <v>3.59321022033691</v>
      </c>
      <c r="P907" s="16">
        <v>3.95096373558044</v>
      </c>
      <c r="Q907" s="17" t="s">
        <v>26</v>
      </c>
      <c r="S907" s="14">
        <v>1.21624</v>
      </c>
      <c r="T907" s="14">
        <v>0.731713951</v>
      </c>
      <c r="U907" s="14">
        <v>0.665944695</v>
      </c>
    </row>
    <row r="908">
      <c r="A908" s="10" t="s">
        <v>140</v>
      </c>
      <c r="B908" s="11">
        <v>2020.0</v>
      </c>
      <c r="C908" s="11">
        <v>47.0</v>
      </c>
      <c r="D908" s="11">
        <v>6.123700142</v>
      </c>
      <c r="E908" s="11">
        <v>1.120401621</v>
      </c>
      <c r="F908" s="11">
        <v>0.825161517</v>
      </c>
      <c r="G908" s="11">
        <v>67.20723724</v>
      </c>
      <c r="H908" s="11">
        <v>0.842823207</v>
      </c>
      <c r="I908" s="11">
        <v>-0.19781521</v>
      </c>
      <c r="J908" s="11">
        <v>0.934300244</v>
      </c>
      <c r="K908" s="11">
        <v>-7.4</v>
      </c>
      <c r="L908" s="11">
        <v>4.79696798324585</v>
      </c>
      <c r="M908" s="11">
        <v>3.17203151471289</v>
      </c>
      <c r="N908" s="11">
        <v>2.63107311184742</v>
      </c>
      <c r="O908" s="11">
        <v>4.04226875305175</v>
      </c>
      <c r="P908" s="11">
        <v>-0.0015061182202771</v>
      </c>
      <c r="Q908" s="13" t="s">
        <v>26</v>
      </c>
      <c r="S908" s="14">
        <v>1.218770385</v>
      </c>
      <c r="T908" s="14">
        <v>0.734833717</v>
      </c>
      <c r="U908" s="14">
        <v>0.665950119</v>
      </c>
    </row>
    <row r="909">
      <c r="A909" s="15" t="s">
        <v>140</v>
      </c>
      <c r="B909" s="16">
        <v>2021.0</v>
      </c>
      <c r="C909" s="16">
        <v>46.0</v>
      </c>
      <c r="D909" s="16">
        <v>6.14</v>
      </c>
      <c r="E909" s="16">
        <v>10.284</v>
      </c>
      <c r="F909" s="16">
        <v>0.832</v>
      </c>
      <c r="G909" s="16">
        <v>67.355</v>
      </c>
      <c r="H909" s="16">
        <v>0.845</v>
      </c>
      <c r="I909" s="16">
        <v>-0.219</v>
      </c>
      <c r="J909" s="16">
        <v>0.938</v>
      </c>
      <c r="K909" s="16">
        <v>15.2</v>
      </c>
      <c r="L909" s="16">
        <v>2.80833333333333</v>
      </c>
      <c r="M909" s="16">
        <v>5.41659780793265</v>
      </c>
      <c r="N909" s="16">
        <v>5.04627550234246</v>
      </c>
      <c r="O909" s="16">
        <v>4.7183002500665</v>
      </c>
      <c r="P909" s="16">
        <v>14.8974532341665</v>
      </c>
      <c r="Q909" s="17" t="s">
        <v>26</v>
      </c>
      <c r="S909" s="14">
        <v>1.219</v>
      </c>
      <c r="T909" s="14">
        <v>0.735</v>
      </c>
      <c r="U909" s="14">
        <v>0.667</v>
      </c>
    </row>
    <row r="910">
      <c r="A910" s="10" t="s">
        <v>140</v>
      </c>
      <c r="B910" s="11">
        <v>2022.0</v>
      </c>
      <c r="C910" s="11">
        <v>28.0</v>
      </c>
      <c r="D910" s="11">
        <v>6.477</v>
      </c>
      <c r="E910" s="11">
        <v>1.719</v>
      </c>
      <c r="F910" s="11">
        <v>1.006</v>
      </c>
      <c r="G910" s="11">
        <v>0.655</v>
      </c>
      <c r="H910" s="11">
        <v>0.605</v>
      </c>
      <c r="I910" s="11">
        <v>0.039</v>
      </c>
      <c r="J910" s="11">
        <v>0.006</v>
      </c>
      <c r="K910" s="11">
        <v>32.8272727272727</v>
      </c>
      <c r="L910" s="11">
        <v>13.935342885428</v>
      </c>
      <c r="M910" s="11">
        <v>13.3222521231195</v>
      </c>
      <c r="N910" s="11">
        <v>13.795488743252</v>
      </c>
      <c r="O910" s="11">
        <v>8.78588066916399</v>
      </c>
      <c r="P910" s="11">
        <v>44.7103439257229</v>
      </c>
      <c r="Q910" s="13" t="s">
        <v>26</v>
      </c>
      <c r="S910" s="14">
        <v>1.219</v>
      </c>
      <c r="T910" s="14">
        <v>0.735</v>
      </c>
      <c r="U910" s="14">
        <v>0.668</v>
      </c>
    </row>
    <row r="911">
      <c r="A911" s="15" t="s">
        <v>140</v>
      </c>
      <c r="B911" s="16">
        <v>2023.0</v>
      </c>
      <c r="C911" s="16">
        <v>24.0</v>
      </c>
      <c r="D911" s="16">
        <v>6.589</v>
      </c>
      <c r="E911" s="16">
        <v>10.339</v>
      </c>
      <c r="F911" s="16">
        <v>0.848</v>
      </c>
      <c r="G911" s="16">
        <v>67.051</v>
      </c>
      <c r="H911" s="16">
        <v>0.856</v>
      </c>
      <c r="I911" s="16">
        <v>-0.172</v>
      </c>
      <c r="J911" s="16">
        <v>0.929</v>
      </c>
      <c r="K911" s="12"/>
      <c r="L911" s="16">
        <v>14.8531017361048</v>
      </c>
      <c r="M911" s="16">
        <v>11.7892573168176</v>
      </c>
      <c r="N911" s="16">
        <v>10.3971874764996</v>
      </c>
      <c r="O911" s="16">
        <v>12.0047983911276</v>
      </c>
      <c r="P911" s="16">
        <v>5.15091270558482</v>
      </c>
      <c r="Q911" s="17" t="s">
        <v>26</v>
      </c>
      <c r="S911" s="14">
        <v>1.21963</v>
      </c>
      <c r="T911" s="14">
        <v>0.735182583</v>
      </c>
      <c r="U911" s="14">
        <v>0.668779135</v>
      </c>
    </row>
    <row r="912">
      <c r="A912" s="10" t="s">
        <v>141</v>
      </c>
      <c r="B912" s="11">
        <v>2015.0</v>
      </c>
      <c r="C912" s="11">
        <v>154.0</v>
      </c>
      <c r="D912" s="11">
        <v>3.465</v>
      </c>
      <c r="E912" s="11">
        <v>0.22208</v>
      </c>
      <c r="F912" s="11">
        <v>0.7737</v>
      </c>
      <c r="G912" s="11">
        <v>0.42864</v>
      </c>
      <c r="H912" s="11">
        <v>0.59201</v>
      </c>
      <c r="I912" s="11">
        <v>0.22628</v>
      </c>
      <c r="J912" s="11">
        <v>0.55191</v>
      </c>
      <c r="K912" s="11">
        <v>3.99000000953674</v>
      </c>
      <c r="L912" s="11">
        <v>3.85999989509582</v>
      </c>
      <c r="M912" s="11">
        <v>0.523720803417248</v>
      </c>
      <c r="N912" s="11">
        <v>2.50699996948242</v>
      </c>
      <c r="O912" s="12"/>
      <c r="P912" s="11">
        <v>0.439583748579025</v>
      </c>
      <c r="Q912" s="13" t="s">
        <v>28</v>
      </c>
      <c r="S912" s="14">
        <v>1.22</v>
      </c>
      <c r="T912" s="14">
        <v>0.735268712</v>
      </c>
      <c r="U912" s="14">
        <v>0.673</v>
      </c>
    </row>
    <row r="913">
      <c r="A913" s="15" t="s">
        <v>141</v>
      </c>
      <c r="B913" s="16">
        <v>2016.0</v>
      </c>
      <c r="C913" s="16">
        <v>152.0</v>
      </c>
      <c r="D913" s="16">
        <v>3.515</v>
      </c>
      <c r="E913" s="16">
        <v>0.32846</v>
      </c>
      <c r="F913" s="16">
        <v>0.61586</v>
      </c>
      <c r="G913" s="16">
        <v>0.31865</v>
      </c>
      <c r="H913" s="16">
        <v>0.5432</v>
      </c>
      <c r="I913" s="16">
        <v>0.23552</v>
      </c>
      <c r="J913" s="16">
        <v>0.50521</v>
      </c>
      <c r="K913" s="16">
        <v>2.39000010490417</v>
      </c>
      <c r="L913" s="16">
        <v>10.8100004196167</v>
      </c>
      <c r="M913" s="16">
        <v>5.02458043736226</v>
      </c>
      <c r="N913" s="16">
        <v>5.72300004959106</v>
      </c>
      <c r="O913" s="12"/>
      <c r="P913" s="16">
        <v>2.9894151687622</v>
      </c>
      <c r="Q913" s="17" t="s">
        <v>28</v>
      </c>
      <c r="S913" s="14">
        <v>1.221</v>
      </c>
      <c r="T913" s="14">
        <v>0.736</v>
      </c>
      <c r="U913" s="14">
        <v>0.681</v>
      </c>
    </row>
    <row r="914">
      <c r="A914" s="10" t="s">
        <v>141</v>
      </c>
      <c r="B914" s="11">
        <v>2017.0</v>
      </c>
      <c r="C914" s="11">
        <v>151.0</v>
      </c>
      <c r="D914" s="11">
        <v>3.470999956</v>
      </c>
      <c r="E914" s="11">
        <v>0.368745893</v>
      </c>
      <c r="F914" s="11">
        <v>0.945707023</v>
      </c>
      <c r="G914" s="11">
        <v>0.326424807</v>
      </c>
      <c r="H914" s="11">
        <v>0.581843853</v>
      </c>
      <c r="I914" s="11">
        <v>0.252756029</v>
      </c>
      <c r="J914" s="11">
        <v>0.455220014</v>
      </c>
      <c r="K914" s="11">
        <v>1.95000004768371</v>
      </c>
      <c r="L914" s="11">
        <v>9.44999980926513</v>
      </c>
      <c r="M914" s="11">
        <v>7.60671896353208</v>
      </c>
      <c r="N914" s="11">
        <v>4.837</v>
      </c>
      <c r="O914" s="12"/>
      <c r="P914" s="11">
        <v>8.91305351257324</v>
      </c>
      <c r="Q914" s="13" t="s">
        <v>28</v>
      </c>
      <c r="S914" s="14">
        <v>1.221</v>
      </c>
      <c r="T914" s="14">
        <v>0.737</v>
      </c>
      <c r="U914" s="14">
        <v>0.682</v>
      </c>
    </row>
    <row r="915">
      <c r="A915" s="15" t="s">
        <v>141</v>
      </c>
      <c r="B915" s="16">
        <v>2018.0</v>
      </c>
      <c r="C915" s="16">
        <v>151.0</v>
      </c>
      <c r="D915" s="16">
        <v>3.408</v>
      </c>
      <c r="E915" s="16">
        <v>0.332</v>
      </c>
      <c r="F915" s="16">
        <v>0.896</v>
      </c>
      <c r="G915" s="16">
        <v>0.4</v>
      </c>
      <c r="H915" s="16">
        <v>0.636</v>
      </c>
      <c r="I915" s="16">
        <v>0.2</v>
      </c>
      <c r="J915" s="16">
        <v>0.444</v>
      </c>
      <c r="K915" s="16">
        <v>10.9700864929917</v>
      </c>
      <c r="L915" s="16">
        <v>2.87831170282162</v>
      </c>
      <c r="M915" s="16">
        <v>-0.754000000000004</v>
      </c>
      <c r="N915" s="16">
        <v>1.36</v>
      </c>
      <c r="O915" s="12"/>
      <c r="P915" s="16">
        <v>-0.465788751840591</v>
      </c>
      <c r="Q915" s="17" t="s">
        <v>28</v>
      </c>
      <c r="S915" s="14">
        <v>1.221554995</v>
      </c>
      <c r="T915" s="14">
        <v>0.738125861</v>
      </c>
      <c r="U915" s="14">
        <v>0.682619512</v>
      </c>
    </row>
    <row r="916">
      <c r="A916" s="10" t="s">
        <v>141</v>
      </c>
      <c r="B916" s="11">
        <v>2019.0</v>
      </c>
      <c r="C916" s="11">
        <v>152.0</v>
      </c>
      <c r="D916" s="11">
        <v>3.334</v>
      </c>
      <c r="E916" s="11">
        <v>0.359</v>
      </c>
      <c r="F916" s="11">
        <v>0.711</v>
      </c>
      <c r="G916" s="11">
        <v>0.614</v>
      </c>
      <c r="H916" s="11">
        <v>0.555</v>
      </c>
      <c r="I916" s="11">
        <v>0.217</v>
      </c>
      <c r="J916" s="11">
        <v>0.411</v>
      </c>
      <c r="K916" s="11">
        <v>2.62934684753418</v>
      </c>
      <c r="L916" s="11">
        <v>3.71594810485839</v>
      </c>
      <c r="M916" s="11">
        <v>0.384902162303775</v>
      </c>
      <c r="N916" s="11">
        <v>2.42600011825561</v>
      </c>
      <c r="O916" s="12"/>
      <c r="P916" s="11">
        <v>10.7408170700073</v>
      </c>
      <c r="Q916" s="13" t="s">
        <v>28</v>
      </c>
      <c r="S916" s="14">
        <v>1.223</v>
      </c>
      <c r="T916" s="14">
        <v>0.74</v>
      </c>
      <c r="U916" s="14">
        <v>0.683019102</v>
      </c>
    </row>
    <row r="917">
      <c r="A917" s="15" t="s">
        <v>141</v>
      </c>
      <c r="B917" s="16">
        <v>2020.0</v>
      </c>
      <c r="C917" s="16">
        <v>150.0</v>
      </c>
      <c r="D917" s="16">
        <v>3.312299967</v>
      </c>
      <c r="E917" s="16">
        <v>0.343242675</v>
      </c>
      <c r="F917" s="16">
        <v>0.54083544</v>
      </c>
      <c r="G917" s="16">
        <v>61.09884644</v>
      </c>
      <c r="H917" s="16">
        <v>0.900589406</v>
      </c>
      <c r="I917" s="16">
        <v>0.055483952</v>
      </c>
      <c r="J917" s="16">
        <v>0.183541179</v>
      </c>
      <c r="K917" s="16">
        <v>3.47637134593474</v>
      </c>
      <c r="L917" s="16">
        <v>15.3958940505981</v>
      </c>
      <c r="M917" s="16">
        <v>8.29686433532742</v>
      </c>
      <c r="N917" s="16">
        <v>9.85039902274275</v>
      </c>
      <c r="O917" s="12"/>
      <c r="P917" s="16">
        <v>5.06173038482666</v>
      </c>
      <c r="Q917" s="17" t="s">
        <v>28</v>
      </c>
      <c r="S917" s="14">
        <v>1.223</v>
      </c>
      <c r="T917" s="14">
        <v>0.740795195</v>
      </c>
      <c r="U917" s="14">
        <v>0.684</v>
      </c>
    </row>
    <row r="918">
      <c r="A918" s="10" t="s">
        <v>141</v>
      </c>
      <c r="B918" s="11">
        <v>2021.0</v>
      </c>
      <c r="C918" s="11">
        <v>147.0</v>
      </c>
      <c r="D918" s="11">
        <v>3.415</v>
      </c>
      <c r="E918" s="11">
        <v>7.676</v>
      </c>
      <c r="F918" s="11">
        <v>0.552</v>
      </c>
      <c r="G918" s="11">
        <v>61.4</v>
      </c>
      <c r="H918" s="11">
        <v>0.897</v>
      </c>
      <c r="I918" s="11">
        <v>0.061</v>
      </c>
      <c r="J918" s="11">
        <v>0.167</v>
      </c>
      <c r="K918" s="11">
        <v>3.24</v>
      </c>
      <c r="L918" s="11">
        <v>-4.15</v>
      </c>
      <c r="M918" s="11">
        <v>2.74231886662266</v>
      </c>
      <c r="N918" s="11">
        <v>-0.391346748300792</v>
      </c>
      <c r="O918" s="12"/>
      <c r="P918" s="11">
        <v>5.50629849197603</v>
      </c>
      <c r="Q918" s="13" t="s">
        <v>28</v>
      </c>
      <c r="S918" s="14">
        <v>1.22393</v>
      </c>
      <c r="T918" s="14">
        <v>0.742</v>
      </c>
      <c r="U918" s="14">
        <v>0.684</v>
      </c>
    </row>
    <row r="919">
      <c r="A919" s="15" t="s">
        <v>142</v>
      </c>
      <c r="B919" s="16">
        <v>2015.0</v>
      </c>
      <c r="C919" s="16">
        <v>35.0</v>
      </c>
      <c r="D919" s="16">
        <v>6.411</v>
      </c>
      <c r="E919" s="16">
        <v>1.39541</v>
      </c>
      <c r="F919" s="16">
        <v>1.08393</v>
      </c>
      <c r="G919" s="16">
        <v>0.72025</v>
      </c>
      <c r="H919" s="16">
        <v>0.31048</v>
      </c>
      <c r="I919" s="16">
        <v>0.13706</v>
      </c>
      <c r="J919" s="16">
        <v>0.32524</v>
      </c>
      <c r="K919" s="16">
        <v>2.36751866340637</v>
      </c>
      <c r="L919" s="16">
        <v>0.641237914562225</v>
      </c>
      <c r="M919" s="16">
        <v>-16.9085956625176</v>
      </c>
      <c r="N919" s="16">
        <v>1.22269308567047</v>
      </c>
      <c r="O919" s="16">
        <v>0.89244985</v>
      </c>
      <c r="P919" s="16">
        <v>-0.591617882251739</v>
      </c>
      <c r="Q919" s="17" t="s">
        <v>24</v>
      </c>
      <c r="S919" s="14">
        <v>1.224</v>
      </c>
      <c r="T919" s="14">
        <v>0.742</v>
      </c>
      <c r="U919" s="14">
        <v>0.684767246</v>
      </c>
    </row>
    <row r="920">
      <c r="A920" s="10" t="s">
        <v>142</v>
      </c>
      <c r="B920" s="11">
        <v>2016.0</v>
      </c>
      <c r="C920" s="11">
        <v>34.0</v>
      </c>
      <c r="D920" s="11">
        <v>6.379</v>
      </c>
      <c r="E920" s="11">
        <v>1.48953</v>
      </c>
      <c r="F920" s="11">
        <v>0.84829</v>
      </c>
      <c r="G920" s="11">
        <v>0.59267</v>
      </c>
      <c r="H920" s="11">
        <v>0.37904</v>
      </c>
      <c r="I920" s="11">
        <v>0.15457</v>
      </c>
      <c r="J920" s="11">
        <v>0.30008</v>
      </c>
      <c r="K920" s="11">
        <v>4.87388086318969</v>
      </c>
      <c r="L920" s="11">
        <v>-1.29881179332733</v>
      </c>
      <c r="M920" s="11">
        <v>-3.04576953400556</v>
      </c>
      <c r="N920" s="11">
        <v>2.05347442626953</v>
      </c>
      <c r="O920" s="11">
        <v>2.07732207</v>
      </c>
      <c r="P920" s="11">
        <v>2.63202214241027</v>
      </c>
      <c r="Q920" s="13" t="s">
        <v>24</v>
      </c>
      <c r="S920" s="14">
        <v>1.225</v>
      </c>
      <c r="T920" s="14">
        <v>0.743</v>
      </c>
      <c r="U920" s="14">
        <v>0.686927021</v>
      </c>
    </row>
    <row r="921">
      <c r="A921" s="15" t="s">
        <v>142</v>
      </c>
      <c r="B921" s="16">
        <v>2017.0</v>
      </c>
      <c r="C921" s="16">
        <v>37.0</v>
      </c>
      <c r="D921" s="16">
        <v>6.343999863</v>
      </c>
      <c r="E921" s="16">
        <v>1.530623555</v>
      </c>
      <c r="F921" s="16">
        <v>1.286677599</v>
      </c>
      <c r="G921" s="16">
        <v>0.59014833</v>
      </c>
      <c r="H921" s="16">
        <v>0.449750572</v>
      </c>
      <c r="I921" s="16">
        <v>0.147616014</v>
      </c>
      <c r="J921" s="16">
        <v>0.273432255</v>
      </c>
      <c r="K921" s="16">
        <v>-0.725226700305938</v>
      </c>
      <c r="L921" s="16">
        <v>-0.827611565589904</v>
      </c>
      <c r="M921" s="16">
        <v>7.56580355232186</v>
      </c>
      <c r="N921" s="16">
        <v>-0.852</v>
      </c>
      <c r="O921" s="16">
        <v>-1.15758888</v>
      </c>
      <c r="P921" s="16">
        <v>-1.29859220981597</v>
      </c>
      <c r="Q921" s="17" t="s">
        <v>24</v>
      </c>
      <c r="S921" s="14">
        <v>1.226</v>
      </c>
      <c r="T921" s="14">
        <v>0.744896293</v>
      </c>
      <c r="U921" s="14">
        <v>0.687</v>
      </c>
    </row>
    <row r="922">
      <c r="A922" s="10" t="s">
        <v>142</v>
      </c>
      <c r="B922" s="11">
        <v>2018.0</v>
      </c>
      <c r="C922" s="11">
        <v>33.0</v>
      </c>
      <c r="D922" s="11">
        <v>6.371</v>
      </c>
      <c r="E922" s="11">
        <v>1.379</v>
      </c>
      <c r="F922" s="11">
        <v>1.331</v>
      </c>
      <c r="G922" s="11">
        <v>0.633</v>
      </c>
      <c r="H922" s="11">
        <v>0.509</v>
      </c>
      <c r="I922" s="11">
        <v>0.098</v>
      </c>
      <c r="J922" s="11">
        <v>0.127</v>
      </c>
      <c r="K922" s="11">
        <v>-1.25978338718414</v>
      </c>
      <c r="L922" s="11">
        <v>6.4841923713684</v>
      </c>
      <c r="M922" s="11">
        <v>11.5078930877042</v>
      </c>
      <c r="N922" s="11">
        <v>2.47</v>
      </c>
      <c r="O922" s="11">
        <v>3.05837611</v>
      </c>
      <c r="P922" s="11">
        <v>16.011583328247</v>
      </c>
      <c r="Q922" s="13" t="s">
        <v>24</v>
      </c>
      <c r="S922" s="14">
        <v>1.226</v>
      </c>
      <c r="T922" s="14">
        <v>0.745178163</v>
      </c>
      <c r="U922" s="14">
        <v>0.688</v>
      </c>
    </row>
    <row r="923">
      <c r="A923" s="15" t="s">
        <v>142</v>
      </c>
      <c r="B923" s="16">
        <v>2019.0</v>
      </c>
      <c r="C923" s="16">
        <v>28.0</v>
      </c>
      <c r="D923" s="16">
        <v>6.375</v>
      </c>
      <c r="E923" s="16">
        <v>1.403</v>
      </c>
      <c r="F923" s="16">
        <v>1.357</v>
      </c>
      <c r="G923" s="16">
        <v>0.795</v>
      </c>
      <c r="H923" s="16">
        <v>0.439</v>
      </c>
      <c r="I923" s="16">
        <v>0.08</v>
      </c>
      <c r="J923" s="16">
        <v>0.132</v>
      </c>
      <c r="K923" s="16">
        <v>-8.58333301544189</v>
      </c>
      <c r="L923" s="16">
        <v>2.06632232666015</v>
      </c>
      <c r="M923" s="16">
        <v>0.486173059768065</v>
      </c>
      <c r="N923" s="16">
        <v>-2.09100008010864</v>
      </c>
      <c r="O923" s="16">
        <v>-0.3644244</v>
      </c>
      <c r="P923" s="16">
        <v>1.93295109272003</v>
      </c>
      <c r="Q923" s="17" t="s">
        <v>24</v>
      </c>
      <c r="S923" s="14">
        <v>1.22668</v>
      </c>
      <c r="T923" s="14">
        <v>0.746</v>
      </c>
      <c r="U923" s="14">
        <v>0.689</v>
      </c>
    </row>
    <row r="924">
      <c r="A924" s="10" t="s">
        <v>142</v>
      </c>
      <c r="B924" s="11">
        <v>2020.0</v>
      </c>
      <c r="C924" s="11">
        <v>27.0</v>
      </c>
      <c r="D924" s="11">
        <v>6.406499863</v>
      </c>
      <c r="E924" s="11">
        <v>1.334328532</v>
      </c>
      <c r="F924" s="11">
        <v>0.874067068</v>
      </c>
      <c r="G924" s="11">
        <v>66.30514526</v>
      </c>
      <c r="H924" s="11">
        <v>0.854191244</v>
      </c>
      <c r="I924" s="11">
        <v>-0.168695062</v>
      </c>
      <c r="J924" s="11">
        <v>0.682619512</v>
      </c>
      <c r="K924" s="11">
        <v>-0.634538591980728</v>
      </c>
      <c r="L924" s="11">
        <v>9.00408172607421</v>
      </c>
      <c r="M924" s="11">
        <v>-7.71095033068488</v>
      </c>
      <c r="N924" s="11">
        <v>3.44545825956694</v>
      </c>
      <c r="O924" s="11">
        <v>3.54897832</v>
      </c>
      <c r="P924" s="11">
        <v>3.47770977020263</v>
      </c>
      <c r="Q924" s="13" t="s">
        <v>24</v>
      </c>
      <c r="S924" s="14">
        <v>1.227619052</v>
      </c>
      <c r="T924" s="14">
        <v>0.747381449</v>
      </c>
      <c r="U924" s="14">
        <v>0.691</v>
      </c>
    </row>
    <row r="925">
      <c r="A925" s="15" t="s">
        <v>142</v>
      </c>
      <c r="B925" s="16">
        <v>2021.0</v>
      </c>
      <c r="C925" s="16">
        <v>26.0</v>
      </c>
      <c r="D925" s="16">
        <v>6.494</v>
      </c>
      <c r="E925" s="16">
        <v>10.743</v>
      </c>
      <c r="F925" s="16">
        <v>0.891</v>
      </c>
      <c r="G925" s="16">
        <v>66.603</v>
      </c>
      <c r="H925" s="16">
        <v>0.877</v>
      </c>
      <c r="I925" s="16">
        <v>-0.149</v>
      </c>
      <c r="J925" s="16">
        <v>0.684</v>
      </c>
      <c r="K925" s="16">
        <v>-2.43</v>
      </c>
      <c r="L925" s="16">
        <v>5.39</v>
      </c>
      <c r="M925" s="16">
        <v>14.7869918759161</v>
      </c>
      <c r="N925" s="16">
        <v>3.06329</v>
      </c>
      <c r="O925" s="16">
        <v>4.89591888</v>
      </c>
      <c r="P925" s="16">
        <v>12.111171219908</v>
      </c>
      <c r="Q925" s="17" t="s">
        <v>24</v>
      </c>
      <c r="S925" s="14">
        <v>1.22791</v>
      </c>
      <c r="T925" s="14">
        <v>0.747580588</v>
      </c>
      <c r="U925" s="14">
        <v>0.693</v>
      </c>
    </row>
    <row r="926">
      <c r="A926" s="10" t="s">
        <v>142</v>
      </c>
      <c r="B926" s="11">
        <v>2022.0</v>
      </c>
      <c r="C926" s="11">
        <v>25.0</v>
      </c>
      <c r="D926" s="11">
        <v>6.523</v>
      </c>
      <c r="E926" s="11">
        <v>1.87</v>
      </c>
      <c r="F926" s="11">
        <v>1.092</v>
      </c>
      <c r="G926" s="11">
        <v>0.577</v>
      </c>
      <c r="H926" s="11">
        <v>0.651</v>
      </c>
      <c r="I926" s="11">
        <v>0.078</v>
      </c>
      <c r="J926" s="11">
        <v>0.18</v>
      </c>
      <c r="K926" s="11">
        <v>2.26666666666666</v>
      </c>
      <c r="L926" s="11">
        <v>3.720494</v>
      </c>
      <c r="M926" s="11">
        <v>14.7644959811616</v>
      </c>
      <c r="N926" s="11">
        <v>2.474074</v>
      </c>
      <c r="O926" s="11">
        <v>1.18577724</v>
      </c>
      <c r="P926" s="11">
        <v>7.76862655849246</v>
      </c>
      <c r="Q926" s="13" t="s">
        <v>24</v>
      </c>
      <c r="S926" s="14">
        <v>1.228</v>
      </c>
      <c r="T926" s="14">
        <v>0.748</v>
      </c>
      <c r="U926" s="14">
        <v>0.698</v>
      </c>
    </row>
    <row r="927">
      <c r="A927" s="15" t="s">
        <v>142</v>
      </c>
      <c r="B927" s="16">
        <v>2023.0</v>
      </c>
      <c r="C927" s="16">
        <v>30.0</v>
      </c>
      <c r="D927" s="16">
        <v>6.463</v>
      </c>
      <c r="E927" s="16">
        <v>10.715</v>
      </c>
      <c r="F927" s="16">
        <v>0.884</v>
      </c>
      <c r="G927" s="16">
        <v>64.399</v>
      </c>
      <c r="H927" s="16">
        <v>0.894</v>
      </c>
      <c r="I927" s="16">
        <v>-0.081</v>
      </c>
      <c r="J927" s="16">
        <v>0.691</v>
      </c>
      <c r="K927" s="16">
        <v>0.729010106462118</v>
      </c>
      <c r="L927" s="16">
        <v>1.44481742823866</v>
      </c>
      <c r="M927" s="16">
        <v>-4.58051583583317</v>
      </c>
      <c r="N927" s="16">
        <v>2.32708518362692</v>
      </c>
      <c r="O927" s="12"/>
      <c r="P927" s="16">
        <v>0.919946531077416</v>
      </c>
      <c r="Q927" s="17" t="s">
        <v>24</v>
      </c>
      <c r="S927" s="14">
        <v>1.23</v>
      </c>
      <c r="T927" s="14">
        <v>0.749</v>
      </c>
      <c r="U927" s="14">
        <v>0.698</v>
      </c>
    </row>
    <row r="928">
      <c r="A928" s="10" t="s">
        <v>143</v>
      </c>
      <c r="B928" s="11">
        <v>2015.0</v>
      </c>
      <c r="C928" s="11">
        <v>142.0</v>
      </c>
      <c r="D928" s="11">
        <v>3.904</v>
      </c>
      <c r="E928" s="11">
        <v>0.36498</v>
      </c>
      <c r="F928" s="11">
        <v>0.97619</v>
      </c>
      <c r="G928" s="11">
        <v>0.4354</v>
      </c>
      <c r="H928" s="11">
        <v>0.36772</v>
      </c>
      <c r="I928" s="11">
        <v>0.20843</v>
      </c>
      <c r="J928" s="11">
        <v>0.10713</v>
      </c>
      <c r="K928" s="11">
        <v>-2.67000007629394</v>
      </c>
      <c r="L928" s="11">
        <v>1.80667650699615</v>
      </c>
      <c r="M928" s="11">
        <v>1.06999999999999</v>
      </c>
      <c r="N928" s="11">
        <v>0.12899999320507</v>
      </c>
      <c r="O928" s="12"/>
      <c r="P928" s="11">
        <v>-4.48781967163085</v>
      </c>
      <c r="Q928" s="13" t="s">
        <v>28</v>
      </c>
      <c r="S928" s="14">
        <v>1.231</v>
      </c>
      <c r="T928" s="14">
        <v>0.749952674</v>
      </c>
      <c r="U928" s="14">
        <v>0.699715316</v>
      </c>
    </row>
    <row r="929">
      <c r="A929" s="15" t="s">
        <v>143</v>
      </c>
      <c r="B929" s="16">
        <v>2016.0</v>
      </c>
      <c r="C929" s="16">
        <v>128.0</v>
      </c>
      <c r="D929" s="16">
        <v>4.219</v>
      </c>
      <c r="E929" s="16">
        <v>0.44314</v>
      </c>
      <c r="F929" s="16">
        <v>0.77416</v>
      </c>
      <c r="G929" s="16">
        <v>0.40457</v>
      </c>
      <c r="H929" s="16">
        <v>0.31056</v>
      </c>
      <c r="I929" s="16">
        <v>0.19103</v>
      </c>
      <c r="J929" s="16">
        <v>0.11681</v>
      </c>
      <c r="K929" s="16">
        <v>-1.82000005245208</v>
      </c>
      <c r="L929" s="16">
        <v>3.3096227645874</v>
      </c>
      <c r="M929" s="16">
        <v>0.955773226476707</v>
      </c>
      <c r="N929" s="16">
        <v>0.837999999523162</v>
      </c>
      <c r="O929" s="12"/>
      <c r="P929" s="16">
        <v>-4.77914571762085</v>
      </c>
      <c r="Q929" s="17" t="s">
        <v>28</v>
      </c>
      <c r="S929" s="14">
        <v>1.232</v>
      </c>
      <c r="T929" s="14">
        <v>0.75</v>
      </c>
      <c r="U929" s="14">
        <v>0.700344324</v>
      </c>
    </row>
    <row r="930">
      <c r="A930" s="10" t="s">
        <v>143</v>
      </c>
      <c r="B930" s="11">
        <v>2017.0</v>
      </c>
      <c r="C930" s="11">
        <v>115.0</v>
      </c>
      <c r="D930" s="11">
        <v>4.534999847</v>
      </c>
      <c r="E930" s="11">
        <v>0.479309022</v>
      </c>
      <c r="F930" s="11">
        <v>1.179691911</v>
      </c>
      <c r="G930" s="11">
        <v>0.409362853</v>
      </c>
      <c r="H930" s="11">
        <v>0.377922267</v>
      </c>
      <c r="I930" s="11">
        <v>0.183468893</v>
      </c>
      <c r="J930" s="11">
        <v>0.115460448</v>
      </c>
      <c r="K930" s="11">
        <v>-1.40999996662139</v>
      </c>
      <c r="L930" s="11">
        <v>3.73994612693786</v>
      </c>
      <c r="M930" s="11">
        <v>0.598808263750053</v>
      </c>
      <c r="N930" s="11">
        <v>1.317</v>
      </c>
      <c r="O930" s="12"/>
      <c r="P930" s="11">
        <v>0.422475695610046</v>
      </c>
      <c r="Q930" s="13" t="s">
        <v>28</v>
      </c>
      <c r="S930" s="14">
        <v>1.232</v>
      </c>
      <c r="T930" s="14">
        <v>0.751</v>
      </c>
      <c r="U930" s="14">
        <v>0.705</v>
      </c>
    </row>
    <row r="931">
      <c r="A931" s="15" t="s">
        <v>143</v>
      </c>
      <c r="B931" s="16">
        <v>2018.0</v>
      </c>
      <c r="C931" s="16">
        <v>109.0</v>
      </c>
      <c r="D931" s="16">
        <v>4.631</v>
      </c>
      <c r="E931" s="16">
        <v>0.429</v>
      </c>
      <c r="F931" s="16">
        <v>1.117</v>
      </c>
      <c r="G931" s="16">
        <v>0.433</v>
      </c>
      <c r="H931" s="16">
        <v>0.406</v>
      </c>
      <c r="I931" s="16">
        <v>0.138</v>
      </c>
      <c r="J931" s="16">
        <v>0.082</v>
      </c>
      <c r="K931" s="16">
        <v>0.318164974451065</v>
      </c>
      <c r="L931" s="16">
        <v>1.06196820735931</v>
      </c>
      <c r="M931" s="16">
        <v>-0.839771254883249</v>
      </c>
      <c r="N931" s="16">
        <v>0.46</v>
      </c>
      <c r="O931" s="12"/>
      <c r="P931" s="16">
        <v>2.36432480812072</v>
      </c>
      <c r="Q931" s="17" t="s">
        <v>28</v>
      </c>
      <c r="S931" s="14">
        <v>1.232</v>
      </c>
      <c r="T931" s="14">
        <v>0.75104779</v>
      </c>
      <c r="U931" s="14">
        <v>0.705</v>
      </c>
    </row>
    <row r="932">
      <c r="A932" s="10" t="s">
        <v>143</v>
      </c>
      <c r="B932" s="11">
        <v>2019.0</v>
      </c>
      <c r="C932" s="11">
        <v>111.0</v>
      </c>
      <c r="D932" s="11">
        <v>4.681</v>
      </c>
      <c r="E932" s="11">
        <v>0.45</v>
      </c>
      <c r="F932" s="11">
        <v>1.134</v>
      </c>
      <c r="G932" s="11">
        <v>0.571</v>
      </c>
      <c r="H932" s="11">
        <v>0.292</v>
      </c>
      <c r="I932" s="11">
        <v>0.153</v>
      </c>
      <c r="J932" s="11">
        <v>0.072</v>
      </c>
      <c r="K932" s="11">
        <v>0.484858781099319</v>
      </c>
      <c r="L932" s="11">
        <v>0.978277623653412</v>
      </c>
      <c r="M932" s="11">
        <v>1.86471484010415</v>
      </c>
      <c r="N932" s="11">
        <v>1.01999998092651</v>
      </c>
      <c r="O932" s="12"/>
      <c r="P932" s="11">
        <v>0.238369226455688</v>
      </c>
      <c r="Q932" s="13" t="s">
        <v>28</v>
      </c>
      <c r="S932" s="14">
        <v>1.232</v>
      </c>
      <c r="T932" s="14">
        <v>0.751989543</v>
      </c>
      <c r="U932" s="14">
        <v>0.708</v>
      </c>
    </row>
    <row r="933">
      <c r="A933" s="15" t="s">
        <v>143</v>
      </c>
      <c r="B933" s="16">
        <v>2020.0</v>
      </c>
      <c r="C933" s="16">
        <v>101.0</v>
      </c>
      <c r="D933" s="16">
        <v>4.980800152</v>
      </c>
      <c r="E933" s="16">
        <v>0.504061818</v>
      </c>
      <c r="F933" s="16">
        <v>0.723616004</v>
      </c>
      <c r="G933" s="16">
        <v>59.59915161</v>
      </c>
      <c r="H933" s="16">
        <v>0.690596163</v>
      </c>
      <c r="I933" s="16">
        <v>-0.052335154</v>
      </c>
      <c r="J933" s="16">
        <v>0.808785141</v>
      </c>
      <c r="K933" s="16">
        <v>0.910434998530975</v>
      </c>
      <c r="L933" s="16">
        <v>3.30307412147522</v>
      </c>
      <c r="M933" s="16">
        <v>2.05626766200822</v>
      </c>
      <c r="N933" s="16">
        <v>2.54743464570526</v>
      </c>
      <c r="O933" s="12"/>
      <c r="P933" s="16">
        <v>-0.50887995233859</v>
      </c>
      <c r="Q933" s="17" t="s">
        <v>28</v>
      </c>
      <c r="S933" s="14">
        <v>1.23287</v>
      </c>
      <c r="T933" s="14">
        <v>0.752</v>
      </c>
      <c r="U933" s="14">
        <v>0.708</v>
      </c>
    </row>
    <row r="934">
      <c r="A934" s="10" t="s">
        <v>143</v>
      </c>
      <c r="B934" s="11">
        <v>2021.0</v>
      </c>
      <c r="C934" s="11">
        <v>92.0</v>
      </c>
      <c r="D934" s="11">
        <v>5.132</v>
      </c>
      <c r="E934" s="11">
        <v>8.118</v>
      </c>
      <c r="F934" s="11">
        <v>0.71</v>
      </c>
      <c r="G934" s="11">
        <v>59.802</v>
      </c>
      <c r="H934" s="11">
        <v>0.695</v>
      </c>
      <c r="I934" s="11">
        <v>-0.046</v>
      </c>
      <c r="J934" s="11">
        <v>0.801</v>
      </c>
      <c r="K934" s="11">
        <v>2.52562521084705</v>
      </c>
      <c r="L934" s="11">
        <v>2.77811524901378</v>
      </c>
      <c r="M934" s="11">
        <v>2.4492905748599</v>
      </c>
      <c r="N934" s="11">
        <v>2.18032278088145</v>
      </c>
      <c r="O934" s="11">
        <v>2.63680406639663</v>
      </c>
      <c r="P934" s="11">
        <v>10.1428986950847</v>
      </c>
      <c r="Q934" s="13" t="s">
        <v>28</v>
      </c>
      <c r="S934" s="14">
        <v>1.23289</v>
      </c>
      <c r="T934" s="14">
        <v>0.753</v>
      </c>
      <c r="U934" s="14">
        <v>0.708263338</v>
      </c>
    </row>
    <row r="935">
      <c r="A935" s="15" t="s">
        <v>143</v>
      </c>
      <c r="B935" s="16">
        <v>2022.0</v>
      </c>
      <c r="C935" s="16">
        <v>103.0</v>
      </c>
      <c r="D935" s="16">
        <v>5.046</v>
      </c>
      <c r="E935" s="16">
        <v>0.933</v>
      </c>
      <c r="F935" s="16">
        <v>0.53</v>
      </c>
      <c r="G935" s="16">
        <v>0.447</v>
      </c>
      <c r="H935" s="16">
        <v>0.494</v>
      </c>
      <c r="I935" s="16">
        <v>0.143</v>
      </c>
      <c r="J935" s="16">
        <v>0.081</v>
      </c>
      <c r="K935" s="16">
        <v>2.19527372929687</v>
      </c>
      <c r="L935" s="16">
        <v>14.0574803019605</v>
      </c>
      <c r="M935" s="16">
        <v>10.028073583587</v>
      </c>
      <c r="N935" s="16">
        <v>9.69681899081076</v>
      </c>
      <c r="O935" s="16">
        <v>6.64706337537724</v>
      </c>
      <c r="P935" s="16">
        <v>17.176372022568</v>
      </c>
      <c r="Q935" s="17" t="s">
        <v>28</v>
      </c>
      <c r="S935" s="14">
        <v>1.233</v>
      </c>
      <c r="T935" s="14">
        <v>0.754</v>
      </c>
      <c r="U935" s="14">
        <v>0.711</v>
      </c>
    </row>
    <row r="936">
      <c r="A936" s="10" t="s">
        <v>143</v>
      </c>
      <c r="B936" s="11">
        <v>2023.0</v>
      </c>
      <c r="C936" s="11">
        <v>102.0</v>
      </c>
      <c r="D936" s="11">
        <v>4.855</v>
      </c>
      <c r="E936" s="11">
        <v>8.155</v>
      </c>
      <c r="F936" s="11">
        <v>0.629</v>
      </c>
      <c r="G936" s="11">
        <v>59.999</v>
      </c>
      <c r="H936" s="11">
        <v>0.772</v>
      </c>
      <c r="I936" s="11">
        <v>0.011</v>
      </c>
      <c r="J936" s="11">
        <v>0.846</v>
      </c>
      <c r="K936" s="11">
        <v>2.19203496864972</v>
      </c>
      <c r="L936" s="11">
        <v>6.99819280862465</v>
      </c>
      <c r="M936" s="11">
        <v>1.06589541745811</v>
      </c>
      <c r="N936" s="11">
        <v>7.66757932102342</v>
      </c>
      <c r="O936" s="11">
        <v>3.69322304455086</v>
      </c>
      <c r="P936" s="11">
        <v>2.72925564579662</v>
      </c>
      <c r="Q936" s="13" t="s">
        <v>28</v>
      </c>
      <c r="S936" s="14">
        <v>1.233</v>
      </c>
      <c r="T936" s="14">
        <v>0.755</v>
      </c>
      <c r="U936" s="14">
        <v>0.711709738</v>
      </c>
    </row>
    <row r="937">
      <c r="A937" s="15" t="s">
        <v>144</v>
      </c>
      <c r="B937" s="16">
        <v>2015.0</v>
      </c>
      <c r="C937" s="16">
        <v>87.0</v>
      </c>
      <c r="D937" s="16">
        <v>5.123</v>
      </c>
      <c r="E937" s="16">
        <v>0.92053</v>
      </c>
      <c r="F937" s="16">
        <v>1.00964</v>
      </c>
      <c r="G937" s="16">
        <v>0.74836</v>
      </c>
      <c r="H937" s="16">
        <v>0.20107</v>
      </c>
      <c r="I937" s="16">
        <v>0.19231</v>
      </c>
      <c r="J937" s="16">
        <v>0.02617</v>
      </c>
      <c r="K937" s="12"/>
      <c r="L937" s="16">
        <v>1.96192741394042</v>
      </c>
      <c r="M937" s="16">
        <v>1.83195690471584</v>
      </c>
      <c r="N937" s="16">
        <v>1.39216387271881</v>
      </c>
      <c r="O937" s="16">
        <v>2.6</v>
      </c>
      <c r="P937" s="16">
        <v>0.292686372995376</v>
      </c>
      <c r="Q937" s="17" t="s">
        <v>26</v>
      </c>
      <c r="S937" s="14">
        <v>1.235</v>
      </c>
      <c r="T937" s="14">
        <v>0.755</v>
      </c>
      <c r="U937" s="14">
        <v>0.714</v>
      </c>
    </row>
    <row r="938">
      <c r="A938" s="10" t="s">
        <v>144</v>
      </c>
      <c r="B938" s="11">
        <v>2016.0</v>
      </c>
      <c r="C938" s="11">
        <v>86.0</v>
      </c>
      <c r="D938" s="11">
        <v>5.177</v>
      </c>
      <c r="E938" s="11">
        <v>1.03437</v>
      </c>
      <c r="F938" s="11">
        <v>0.81329</v>
      </c>
      <c r="G938" s="11">
        <v>0.6458</v>
      </c>
      <c r="H938" s="11">
        <v>0.15718</v>
      </c>
      <c r="I938" s="11">
        <v>0.20737</v>
      </c>
      <c r="J938" s="11">
        <v>0.04339</v>
      </c>
      <c r="K938" s="12"/>
      <c r="L938" s="11">
        <v>-0.311195015907287</v>
      </c>
      <c r="M938" s="11">
        <v>1.54999999999999</v>
      </c>
      <c r="N938" s="11">
        <v>1.12216210365295</v>
      </c>
      <c r="O938" s="11">
        <v>1.5</v>
      </c>
      <c r="P938" s="11">
        <v>-0.415748953819274</v>
      </c>
      <c r="Q938" s="13" t="s">
        <v>26</v>
      </c>
      <c r="S938" s="14">
        <v>1.236</v>
      </c>
      <c r="T938" s="14">
        <v>0.757</v>
      </c>
      <c r="U938" s="14">
        <v>0.717</v>
      </c>
    </row>
    <row r="939">
      <c r="A939" s="15" t="s">
        <v>144</v>
      </c>
      <c r="B939" s="16">
        <v>2017.0</v>
      </c>
      <c r="C939" s="16">
        <v>73.0</v>
      </c>
      <c r="D939" s="16">
        <v>5.394999981</v>
      </c>
      <c r="E939" s="16">
        <v>1.069317579</v>
      </c>
      <c r="F939" s="16">
        <v>1.258189797</v>
      </c>
      <c r="G939" s="16">
        <v>0.650784671</v>
      </c>
      <c r="H939" s="16">
        <v>0.208715528</v>
      </c>
      <c r="I939" s="16">
        <v>0.220125884</v>
      </c>
      <c r="J939" s="16">
        <v>0.040903781</v>
      </c>
      <c r="K939" s="12"/>
      <c r="L939" s="16">
        <v>3.28437781333923</v>
      </c>
      <c r="M939" s="16">
        <v>2.97095027080255</v>
      </c>
      <c r="N939" s="16">
        <v>3.131</v>
      </c>
      <c r="O939" s="16">
        <v>2.0</v>
      </c>
      <c r="P939" s="16">
        <v>3.17126822471618</v>
      </c>
      <c r="Q939" s="17" t="s">
        <v>26</v>
      </c>
      <c r="S939" s="14">
        <v>1.23788</v>
      </c>
      <c r="T939" s="14">
        <v>0.757</v>
      </c>
      <c r="U939" s="14">
        <v>0.721</v>
      </c>
    </row>
    <row r="940">
      <c r="A940" s="10" t="s">
        <v>144</v>
      </c>
      <c r="B940" s="11">
        <v>2018.0</v>
      </c>
      <c r="C940" s="11">
        <v>78.0</v>
      </c>
      <c r="D940" s="11">
        <v>5.398</v>
      </c>
      <c r="E940" s="11">
        <v>0.975</v>
      </c>
      <c r="F940" s="11">
        <v>1.369</v>
      </c>
      <c r="G940" s="11">
        <v>0.685</v>
      </c>
      <c r="H940" s="11">
        <v>0.288</v>
      </c>
      <c r="I940" s="11">
        <v>0.134</v>
      </c>
      <c r="J940" s="11">
        <v>0.043</v>
      </c>
      <c r="K940" s="12"/>
      <c r="L940" s="11">
        <v>1.86454856395721</v>
      </c>
      <c r="M940" s="11">
        <v>1.97481040863753</v>
      </c>
      <c r="N940" s="11">
        <v>1.95</v>
      </c>
      <c r="O940" s="11">
        <v>1.3</v>
      </c>
      <c r="P940" s="11">
        <v>2.23447847366333</v>
      </c>
      <c r="Q940" s="13" t="s">
        <v>26</v>
      </c>
      <c r="S940" s="14">
        <v>1.238376498</v>
      </c>
      <c r="T940" s="14">
        <v>0.758</v>
      </c>
      <c r="U940" s="14">
        <v>0.721</v>
      </c>
    </row>
    <row r="941">
      <c r="A941" s="15" t="s">
        <v>144</v>
      </c>
      <c r="B941" s="16">
        <v>2019.0</v>
      </c>
      <c r="C941" s="16">
        <v>70.0</v>
      </c>
      <c r="D941" s="16">
        <v>5.603</v>
      </c>
      <c r="E941" s="16">
        <v>1.004</v>
      </c>
      <c r="F941" s="16">
        <v>1.383</v>
      </c>
      <c r="G941" s="16">
        <v>0.854</v>
      </c>
      <c r="H941" s="16">
        <v>0.282</v>
      </c>
      <c r="I941" s="16">
        <v>0.137</v>
      </c>
      <c r="J941" s="16">
        <v>0.039</v>
      </c>
      <c r="K941" s="12"/>
      <c r="L941" s="16">
        <v>2.56592416763305</v>
      </c>
      <c r="M941" s="16">
        <v>2.44391927376396</v>
      </c>
      <c r="N941" s="16">
        <v>1.85000002384185</v>
      </c>
      <c r="O941" s="16">
        <v>1.3</v>
      </c>
      <c r="P941" s="16">
        <v>0.632625699043273</v>
      </c>
      <c r="Q941" s="17" t="s">
        <v>26</v>
      </c>
      <c r="S941" s="14">
        <v>1.239</v>
      </c>
      <c r="T941" s="14">
        <v>0.759330094</v>
      </c>
      <c r="U941" s="14">
        <v>0.721</v>
      </c>
    </row>
    <row r="942">
      <c r="A942" s="10" t="s">
        <v>144</v>
      </c>
      <c r="B942" s="11">
        <v>2020.0</v>
      </c>
      <c r="C942" s="11">
        <v>64.0</v>
      </c>
      <c r="D942" s="11">
        <v>5.77820015</v>
      </c>
      <c r="E942" s="11">
        <v>0.988181829</v>
      </c>
      <c r="F942" s="11">
        <v>0.881475747</v>
      </c>
      <c r="G942" s="11">
        <v>68.21020508</v>
      </c>
      <c r="H942" s="11">
        <v>0.726495862</v>
      </c>
      <c r="I942" s="11">
        <v>-0.073676221</v>
      </c>
      <c r="J942" s="11">
        <v>0.843509018</v>
      </c>
      <c r="K942" s="12"/>
      <c r="L942" s="11">
        <v>2.53840208053588</v>
      </c>
      <c r="M942" s="11">
        <v>1.84368077042786</v>
      </c>
      <c r="N942" s="11">
        <v>1.57553290083406</v>
      </c>
      <c r="O942" s="11">
        <v>1.6</v>
      </c>
      <c r="P942" s="11">
        <v>-1.18725099601598</v>
      </c>
      <c r="Q942" s="13" t="s">
        <v>26</v>
      </c>
      <c r="S942" s="14">
        <v>1.239088893</v>
      </c>
      <c r="T942" s="14">
        <v>0.759578407</v>
      </c>
      <c r="U942" s="14">
        <v>0.722</v>
      </c>
    </row>
    <row r="943">
      <c r="A943" s="15" t="s">
        <v>144</v>
      </c>
      <c r="B943" s="16">
        <v>2021.0</v>
      </c>
      <c r="C943" s="16">
        <v>48.0</v>
      </c>
      <c r="D943" s="16">
        <v>6.078</v>
      </c>
      <c r="E943" s="16">
        <v>9.787</v>
      </c>
      <c r="F943" s="16">
        <v>0.873</v>
      </c>
      <c r="G943" s="16">
        <v>68.6</v>
      </c>
      <c r="H943" s="16">
        <v>0.778</v>
      </c>
      <c r="I943" s="16">
        <v>0.002</v>
      </c>
      <c r="J943" s="16">
        <v>0.835</v>
      </c>
      <c r="K943" s="12"/>
      <c r="L943" s="16">
        <v>4.45</v>
      </c>
      <c r="M943" s="16">
        <v>5.91361478499212</v>
      </c>
      <c r="N943" s="16">
        <v>4.08510285335103</v>
      </c>
      <c r="O943" s="16">
        <v>2.93255131964808</v>
      </c>
      <c r="P943" s="16">
        <v>8.62027255866453</v>
      </c>
      <c r="Q943" s="17" t="s">
        <v>26</v>
      </c>
      <c r="S943" s="14">
        <v>1.239414573</v>
      </c>
      <c r="T943" s="14">
        <v>0.759772122</v>
      </c>
      <c r="U943" s="14">
        <v>0.722530186</v>
      </c>
    </row>
    <row r="944">
      <c r="A944" s="10" t="s">
        <v>144</v>
      </c>
      <c r="B944" s="11">
        <v>2022.0</v>
      </c>
      <c r="C944" s="11">
        <v>43.0</v>
      </c>
      <c r="D944" s="11">
        <v>6.178</v>
      </c>
      <c r="E944" s="11">
        <v>1.55</v>
      </c>
      <c r="F944" s="11">
        <v>1.086</v>
      </c>
      <c r="G944" s="11">
        <v>0.658</v>
      </c>
      <c r="H944" s="11">
        <v>0.546</v>
      </c>
      <c r="I944" s="11">
        <v>0.219</v>
      </c>
      <c r="J944" s="11">
        <v>0.088</v>
      </c>
      <c r="K944" s="12"/>
      <c r="L944" s="11">
        <v>16.6331340857669</v>
      </c>
      <c r="M944" s="11">
        <v>9.58262031708133</v>
      </c>
      <c r="N944" s="11">
        <v>11.9815117344703</v>
      </c>
      <c r="O944" s="11">
        <v>10.0080356490613</v>
      </c>
      <c r="P944" s="11">
        <v>15.426874536006</v>
      </c>
      <c r="Q944" s="13" t="s">
        <v>26</v>
      </c>
      <c r="S944" s="14">
        <v>1.24</v>
      </c>
      <c r="T944" s="14">
        <v>0.761</v>
      </c>
      <c r="U944" s="14">
        <v>0.727</v>
      </c>
    </row>
    <row r="945">
      <c r="A945" s="15" t="s">
        <v>144</v>
      </c>
      <c r="B945" s="16">
        <v>2023.0</v>
      </c>
      <c r="C945" s="16">
        <v>45.0</v>
      </c>
      <c r="D945" s="16">
        <v>6.144</v>
      </c>
      <c r="E945" s="16">
        <v>9.854</v>
      </c>
      <c r="F945" s="16">
        <v>0.873</v>
      </c>
      <c r="G945" s="16">
        <v>67.088</v>
      </c>
      <c r="H945" s="16">
        <v>0.845</v>
      </c>
      <c r="I945" s="16">
        <v>0.204</v>
      </c>
      <c r="J945" s="16">
        <v>0.816</v>
      </c>
      <c r="K945" s="12"/>
      <c r="L945" s="16">
        <v>18.1337859041272</v>
      </c>
      <c r="M945" s="16">
        <v>12.255382161628</v>
      </c>
      <c r="N945" s="16">
        <v>12.3719043552519</v>
      </c>
      <c r="O945" s="16">
        <v>11.6143170197224</v>
      </c>
      <c r="P945" s="16">
        <v>3.40879855930017</v>
      </c>
      <c r="Q945" s="17" t="s">
        <v>26</v>
      </c>
      <c r="S945" s="14">
        <v>1.24018</v>
      </c>
      <c r="T945" s="14">
        <v>0.763</v>
      </c>
      <c r="U945" s="14">
        <v>0.727</v>
      </c>
    </row>
    <row r="946">
      <c r="A946" s="10" t="s">
        <v>145</v>
      </c>
      <c r="B946" s="11">
        <v>2015.0</v>
      </c>
      <c r="C946" s="11">
        <v>123.0</v>
      </c>
      <c r="D946" s="11">
        <v>4.507</v>
      </c>
      <c r="E946" s="11">
        <v>0.33024</v>
      </c>
      <c r="F946" s="11">
        <v>0.95571</v>
      </c>
      <c r="G946" s="11">
        <v>0.0</v>
      </c>
      <c r="H946" s="11">
        <v>0.4084</v>
      </c>
      <c r="I946" s="11">
        <v>0.21488</v>
      </c>
      <c r="J946" s="11">
        <v>0.08786</v>
      </c>
      <c r="K946" s="11">
        <v>3.38000011444091</v>
      </c>
      <c r="L946" s="11">
        <v>8.35999965667724</v>
      </c>
      <c r="M946" s="11">
        <v>19.6430757639968</v>
      </c>
      <c r="N946" s="11">
        <v>6.69399976730346</v>
      </c>
      <c r="O946" s="12"/>
      <c r="P946" s="12"/>
      <c r="Q946" s="13" t="s">
        <v>28</v>
      </c>
      <c r="S946" s="14">
        <v>1.242</v>
      </c>
      <c r="T946" s="14">
        <v>0.763051808</v>
      </c>
      <c r="U946" s="14">
        <v>0.727</v>
      </c>
    </row>
    <row r="947">
      <c r="A947" s="15" t="s">
        <v>145</v>
      </c>
      <c r="B947" s="16">
        <v>2016.0</v>
      </c>
      <c r="C947" s="16">
        <v>111.0</v>
      </c>
      <c r="D947" s="16">
        <v>4.635</v>
      </c>
      <c r="E947" s="16">
        <v>0.36485</v>
      </c>
      <c r="F947" s="16">
        <v>0.628</v>
      </c>
      <c r="G947" s="16">
        <v>0.0</v>
      </c>
      <c r="H947" s="16">
        <v>0.30685</v>
      </c>
      <c r="I947" s="16">
        <v>0.23897</v>
      </c>
      <c r="J947" s="16">
        <v>0.08196</v>
      </c>
      <c r="K947" s="16">
        <v>7.63999986648559</v>
      </c>
      <c r="L947" s="16">
        <v>12.5699996948242</v>
      </c>
      <c r="M947" s="16">
        <v>5.8440842864227</v>
      </c>
      <c r="N947" s="16">
        <v>10.8830003738403</v>
      </c>
      <c r="O947" s="12"/>
      <c r="P947" s="12"/>
      <c r="Q947" s="17" t="s">
        <v>28</v>
      </c>
      <c r="S947" s="14">
        <v>1.243</v>
      </c>
      <c r="T947" s="14">
        <v>0.765</v>
      </c>
      <c r="U947" s="14">
        <v>0.729</v>
      </c>
    </row>
    <row r="948">
      <c r="A948" s="10" t="s">
        <v>145</v>
      </c>
      <c r="B948" s="11">
        <v>2017.0</v>
      </c>
      <c r="C948" s="11">
        <v>106.0</v>
      </c>
      <c r="D948" s="11">
        <v>4.709000111</v>
      </c>
      <c r="E948" s="11">
        <v>0.368420929</v>
      </c>
      <c r="F948" s="11">
        <v>0.984136045</v>
      </c>
      <c r="G948" s="11">
        <v>0.005564754</v>
      </c>
      <c r="H948" s="11">
        <v>0.318697691</v>
      </c>
      <c r="I948" s="11">
        <v>0.293040901</v>
      </c>
      <c r="J948" s="11">
        <v>0.071095176</v>
      </c>
      <c r="K948" s="11">
        <v>12.2200002670288</v>
      </c>
      <c r="L948" s="11">
        <v>19.4400005340576</v>
      </c>
      <c r="M948" s="11">
        <v>8.94268131704687</v>
      </c>
      <c r="N948" s="11">
        <v>18.22</v>
      </c>
      <c r="O948" s="12"/>
      <c r="P948" s="12"/>
      <c r="Q948" s="13" t="s">
        <v>28</v>
      </c>
      <c r="S948" s="14">
        <v>1.245</v>
      </c>
      <c r="T948" s="14">
        <v>0.766</v>
      </c>
      <c r="U948" s="14">
        <v>0.729</v>
      </c>
    </row>
    <row r="949">
      <c r="A949" s="15" t="s">
        <v>145</v>
      </c>
      <c r="B949" s="16">
        <v>2018.0</v>
      </c>
      <c r="C949" s="16">
        <v>113.0</v>
      </c>
      <c r="D949" s="16">
        <v>4.571</v>
      </c>
      <c r="E949" s="16">
        <v>0.256</v>
      </c>
      <c r="F949" s="16">
        <v>0.813</v>
      </c>
      <c r="G949" s="16">
        <v>0.0</v>
      </c>
      <c r="H949" s="16">
        <v>0.355</v>
      </c>
      <c r="I949" s="16">
        <v>0.238</v>
      </c>
      <c r="J949" s="16">
        <v>0.053</v>
      </c>
      <c r="K949" s="16">
        <v>13.2823625310588</v>
      </c>
      <c r="L949" s="16">
        <v>17.6959201883348</v>
      </c>
      <c r="M949" s="16">
        <v>14.0218782531528</v>
      </c>
      <c r="N949" s="16">
        <v>16.03</v>
      </c>
      <c r="O949" s="12"/>
      <c r="P949" s="12"/>
      <c r="Q949" s="17" t="s">
        <v>28</v>
      </c>
      <c r="S949" s="14">
        <v>1.24711</v>
      </c>
      <c r="T949" s="14">
        <v>0.766</v>
      </c>
      <c r="U949" s="14">
        <v>0.731</v>
      </c>
    </row>
    <row r="950">
      <c r="A950" s="10" t="s">
        <v>145</v>
      </c>
      <c r="B950" s="11">
        <v>2019.0</v>
      </c>
      <c r="C950" s="11">
        <v>129.0</v>
      </c>
      <c r="D950" s="11">
        <v>4.374</v>
      </c>
      <c r="E950" s="11">
        <v>0.268</v>
      </c>
      <c r="F950" s="11">
        <v>0.841</v>
      </c>
      <c r="G950" s="11">
        <v>0.242</v>
      </c>
      <c r="H950" s="11">
        <v>0.309</v>
      </c>
      <c r="I950" s="11">
        <v>0.252</v>
      </c>
      <c r="J950" s="11">
        <v>0.045</v>
      </c>
      <c r="K950" s="11">
        <v>12.7913478835692</v>
      </c>
      <c r="L950" s="11">
        <v>8.81027035276359</v>
      </c>
      <c r="M950" s="11">
        <v>8.63359745200812</v>
      </c>
      <c r="N950" s="11">
        <v>14.8030004501342</v>
      </c>
      <c r="O950" s="12"/>
      <c r="P950" s="12"/>
      <c r="Q950" s="13" t="s">
        <v>28</v>
      </c>
      <c r="S950" s="14">
        <v>1.24823</v>
      </c>
      <c r="T950" s="14">
        <v>0.767520964</v>
      </c>
      <c r="U950" s="14">
        <v>0.731700778</v>
      </c>
    </row>
    <row r="951">
      <c r="A951" s="15" t="s">
        <v>145</v>
      </c>
      <c r="B951" s="16">
        <v>2020.0</v>
      </c>
      <c r="C951" s="16">
        <v>139.0</v>
      </c>
      <c r="D951" s="16">
        <v>3.926399946</v>
      </c>
      <c r="E951" s="16">
        <v>0.240560383</v>
      </c>
      <c r="F951" s="16">
        <v>0.636142015</v>
      </c>
      <c r="G951" s="16">
        <v>50.86514282</v>
      </c>
      <c r="H951" s="16">
        <v>0.715315044</v>
      </c>
      <c r="I951" s="16">
        <v>0.088660747</v>
      </c>
      <c r="J951" s="16">
        <v>0.861330688</v>
      </c>
      <c r="K951" s="16">
        <v>3.59717759911453</v>
      </c>
      <c r="L951" s="16">
        <v>8.54510811467097</v>
      </c>
      <c r="M951" s="16">
        <v>13.9439914689357</v>
      </c>
      <c r="N951" s="16">
        <v>13.4469773031282</v>
      </c>
      <c r="O951" s="12"/>
      <c r="P951" s="12"/>
      <c r="Q951" s="17" t="s">
        <v>28</v>
      </c>
      <c r="S951" s="14">
        <v>1.249</v>
      </c>
      <c r="T951" s="14">
        <v>0.769</v>
      </c>
      <c r="U951" s="14">
        <v>0.73188293</v>
      </c>
    </row>
    <row r="952">
      <c r="A952" s="10" t="s">
        <v>145</v>
      </c>
      <c r="B952" s="11">
        <v>2021.0</v>
      </c>
      <c r="C952" s="11">
        <v>138.0</v>
      </c>
      <c r="D952" s="11">
        <v>3.849</v>
      </c>
      <c r="E952" s="11">
        <v>7.434</v>
      </c>
      <c r="F952" s="11">
        <v>0.63</v>
      </c>
      <c r="G952" s="11">
        <v>51.651</v>
      </c>
      <c r="H952" s="11">
        <v>0.717</v>
      </c>
      <c r="I952" s="11">
        <v>0.084</v>
      </c>
      <c r="J952" s="11">
        <v>0.866</v>
      </c>
      <c r="K952" s="11">
        <v>8.47</v>
      </c>
      <c r="L952" s="11">
        <v>16.96</v>
      </c>
      <c r="M952" s="11">
        <v>6.69150367469039</v>
      </c>
      <c r="N952" s="11">
        <v>11.874</v>
      </c>
      <c r="O952" s="12"/>
      <c r="P952" s="12"/>
      <c r="Q952" s="13" t="s">
        <v>28</v>
      </c>
      <c r="S952" s="14">
        <v>1.249</v>
      </c>
      <c r="T952" s="14">
        <v>0.77</v>
      </c>
      <c r="U952" s="14">
        <v>0.732</v>
      </c>
    </row>
    <row r="953">
      <c r="A953" s="15" t="s">
        <v>145</v>
      </c>
      <c r="B953" s="16">
        <v>2022.0</v>
      </c>
      <c r="C953" s="16">
        <v>140.0</v>
      </c>
      <c r="D953" s="16">
        <v>3.574</v>
      </c>
      <c r="E953" s="16">
        <v>0.686</v>
      </c>
      <c r="F953" s="16">
        <v>0.416</v>
      </c>
      <c r="G953" s="16">
        <v>0.273</v>
      </c>
      <c r="H953" s="16">
        <v>0.387</v>
      </c>
      <c r="I953" s="16">
        <v>0.202</v>
      </c>
      <c r="J953" s="16">
        <v>0.055</v>
      </c>
      <c r="K953" s="16">
        <v>20.7757924098291</v>
      </c>
      <c r="L953" s="16">
        <v>27.2860702289922</v>
      </c>
      <c r="M953" s="16">
        <v>6.69152433646059</v>
      </c>
      <c r="N953" s="16">
        <v>27.2082883814653</v>
      </c>
      <c r="O953" s="12"/>
      <c r="P953" s="12"/>
      <c r="Q953" s="17" t="s">
        <v>28</v>
      </c>
      <c r="S953" s="14">
        <v>1.251825571</v>
      </c>
      <c r="T953" s="14">
        <v>0.771</v>
      </c>
      <c r="U953" s="14">
        <v>0.733</v>
      </c>
    </row>
    <row r="954">
      <c r="A954" s="10" t="s">
        <v>145</v>
      </c>
      <c r="B954" s="11">
        <v>2023.0</v>
      </c>
      <c r="C954" s="11">
        <v>135.0</v>
      </c>
      <c r="D954" s="11">
        <v>3.138</v>
      </c>
      <c r="E954" s="11">
        <v>7.394</v>
      </c>
      <c r="F954" s="11">
        <v>0.555</v>
      </c>
      <c r="G954" s="11">
        <v>54.9</v>
      </c>
      <c r="H954" s="11">
        <v>0.66</v>
      </c>
      <c r="I954" s="11">
        <v>0.105</v>
      </c>
      <c r="J954" s="11">
        <v>0.858</v>
      </c>
      <c r="K954" s="11">
        <v>31.0132396032841</v>
      </c>
      <c r="L954" s="11">
        <v>56.9201478031858</v>
      </c>
      <c r="M954" s="11">
        <v>40.2658756111409</v>
      </c>
      <c r="N954" s="11">
        <v>47.6428733253179</v>
      </c>
      <c r="O954" s="12"/>
      <c r="P954" s="12"/>
      <c r="Q954" s="13" t="s">
        <v>28</v>
      </c>
      <c r="S954" s="14">
        <v>1.252</v>
      </c>
      <c r="T954" s="14">
        <v>0.77153033</v>
      </c>
      <c r="U954" s="14">
        <v>0.733634114</v>
      </c>
    </row>
    <row r="955">
      <c r="A955" s="15" t="s">
        <v>146</v>
      </c>
      <c r="B955" s="16">
        <v>2015.0</v>
      </c>
      <c r="C955" s="16">
        <v>24.0</v>
      </c>
      <c r="D955" s="16">
        <v>6.798</v>
      </c>
      <c r="E955" s="16">
        <v>1.52186</v>
      </c>
      <c r="F955" s="16">
        <v>1.02</v>
      </c>
      <c r="G955" s="16">
        <v>1.02525</v>
      </c>
      <c r="H955" s="16">
        <v>0.54252</v>
      </c>
      <c r="I955" s="16">
        <v>0.31105</v>
      </c>
      <c r="J955" s="16">
        <v>0.4921</v>
      </c>
      <c r="K955" s="16">
        <v>-3.54009366035461</v>
      </c>
      <c r="L955" s="16">
        <v>1.92666041851043</v>
      </c>
      <c r="M955" s="16">
        <v>3.05984685306757</v>
      </c>
      <c r="N955" s="16">
        <v>-0.52281230688095</v>
      </c>
      <c r="O955" s="16">
        <v>0.495646029710769</v>
      </c>
      <c r="P955" s="16">
        <v>-9.1642894744873</v>
      </c>
      <c r="Q955" s="17" t="s">
        <v>24</v>
      </c>
      <c r="S955" s="14">
        <v>1.253917575</v>
      </c>
      <c r="T955" s="14">
        <v>0.772</v>
      </c>
      <c r="U955" s="14">
        <v>0.734</v>
      </c>
    </row>
    <row r="956">
      <c r="A956" s="10" t="s">
        <v>146</v>
      </c>
      <c r="B956" s="11">
        <v>2016.0</v>
      </c>
      <c r="C956" s="11">
        <v>22.0</v>
      </c>
      <c r="D956" s="11">
        <v>6.739</v>
      </c>
      <c r="E956" s="11">
        <v>1.64555</v>
      </c>
      <c r="F956" s="11">
        <v>0.86758</v>
      </c>
      <c r="G956" s="11">
        <v>0.94719</v>
      </c>
      <c r="H956" s="11">
        <v>0.4877</v>
      </c>
      <c r="I956" s="11">
        <v>0.32706</v>
      </c>
      <c r="J956" s="11">
        <v>0.46987</v>
      </c>
      <c r="K956" s="11">
        <v>-4.07380723953247</v>
      </c>
      <c r="L956" s="11">
        <v>2.05307173728942</v>
      </c>
      <c r="M956" s="11">
        <v>0.647000000000005</v>
      </c>
      <c r="N956" s="11">
        <v>-0.541476011276245</v>
      </c>
      <c r="O956" s="11">
        <v>0.901032745838165</v>
      </c>
      <c r="P956" s="11">
        <v>-5.50371074676513</v>
      </c>
      <c r="Q956" s="13" t="s">
        <v>24</v>
      </c>
      <c r="S956" s="14">
        <v>1.255585194</v>
      </c>
      <c r="T956" s="14">
        <v>0.772072434</v>
      </c>
      <c r="U956" s="14">
        <v>0.735</v>
      </c>
    </row>
    <row r="957">
      <c r="A957" s="15" t="s">
        <v>146</v>
      </c>
      <c r="B957" s="16">
        <v>2017.0</v>
      </c>
      <c r="C957" s="16">
        <v>26.0</v>
      </c>
      <c r="D957" s="16">
        <v>6.572000027</v>
      </c>
      <c r="E957" s="16">
        <v>1.69227767</v>
      </c>
      <c r="F957" s="16">
        <v>1.353814363</v>
      </c>
      <c r="G957" s="16">
        <v>0.949492395</v>
      </c>
      <c r="H957" s="16">
        <v>0.549840569</v>
      </c>
      <c r="I957" s="16">
        <v>0.345965981</v>
      </c>
      <c r="J957" s="16">
        <v>0.464307785</v>
      </c>
      <c r="K957" s="16">
        <v>-2.53899550437927</v>
      </c>
      <c r="L957" s="16">
        <v>1.40443181991577</v>
      </c>
      <c r="M957" s="16">
        <v>3.00654763678996</v>
      </c>
      <c r="N957" s="16">
        <v>0.576</v>
      </c>
      <c r="O957" s="16">
        <v>1.45310127735137</v>
      </c>
      <c r="P957" s="16">
        <v>3.8262014389038</v>
      </c>
      <c r="Q957" s="17" t="s">
        <v>24</v>
      </c>
      <c r="S957" s="14">
        <v>1.25712</v>
      </c>
      <c r="T957" s="14">
        <v>0.773</v>
      </c>
      <c r="U957" s="14">
        <v>0.735485137</v>
      </c>
    </row>
    <row r="958">
      <c r="A958" s="10" t="s">
        <v>146</v>
      </c>
      <c r="B958" s="11">
        <v>2018.0</v>
      </c>
      <c r="C958" s="11">
        <v>34.0</v>
      </c>
      <c r="D958" s="11">
        <v>6.343</v>
      </c>
      <c r="E958" s="11">
        <v>1.529</v>
      </c>
      <c r="F958" s="11">
        <v>1.451</v>
      </c>
      <c r="G958" s="11">
        <v>1.008</v>
      </c>
      <c r="H958" s="11">
        <v>0.631</v>
      </c>
      <c r="I958" s="11">
        <v>0.261</v>
      </c>
      <c r="J958" s="11">
        <v>0.457</v>
      </c>
      <c r="K958" s="11">
        <v>-1.33989596366882</v>
      </c>
      <c r="L958" s="11">
        <v>1.43531382083892</v>
      </c>
      <c r="M958" s="11">
        <v>3.34706239811715</v>
      </c>
      <c r="N958" s="11">
        <v>0.45</v>
      </c>
      <c r="O958" s="11">
        <v>1.68436050415039</v>
      </c>
      <c r="P958" s="11">
        <v>4.41374158859252</v>
      </c>
      <c r="Q958" s="13" t="s">
        <v>24</v>
      </c>
      <c r="S958" s="14">
        <v>1.25745</v>
      </c>
      <c r="T958" s="14">
        <v>0.773157001</v>
      </c>
      <c r="U958" s="14">
        <v>0.736</v>
      </c>
    </row>
    <row r="959">
      <c r="A959" s="15" t="s">
        <v>146</v>
      </c>
      <c r="B959" s="16">
        <v>2019.0</v>
      </c>
      <c r="C959" s="16">
        <v>34.0</v>
      </c>
      <c r="D959" s="16">
        <v>6.262</v>
      </c>
      <c r="E959" s="16">
        <v>1.572</v>
      </c>
      <c r="F959" s="16">
        <v>1.463</v>
      </c>
      <c r="G959" s="16">
        <v>1.141</v>
      </c>
      <c r="H959" s="16">
        <v>0.556</v>
      </c>
      <c r="I959" s="16">
        <v>0.271</v>
      </c>
      <c r="J959" s="16">
        <v>0.453</v>
      </c>
      <c r="K959" s="16">
        <v>-0.992548882961273</v>
      </c>
      <c r="L959" s="16">
        <v>1.52516174316406</v>
      </c>
      <c r="M959" s="16">
        <v>-0.624399167467773</v>
      </c>
      <c r="N959" s="16">
        <v>0.564999997615814</v>
      </c>
      <c r="O959" s="16">
        <v>1.04488658905029</v>
      </c>
      <c r="P959" s="16">
        <v>-3.32025146484375</v>
      </c>
      <c r="Q959" s="17" t="s">
        <v>24</v>
      </c>
      <c r="S959" s="14">
        <v>1.258</v>
      </c>
      <c r="T959" s="14">
        <v>0.774</v>
      </c>
      <c r="U959" s="14">
        <v>0.736</v>
      </c>
    </row>
    <row r="960">
      <c r="A960" s="10" t="s">
        <v>146</v>
      </c>
      <c r="B960" s="11">
        <v>2020.0</v>
      </c>
      <c r="C960" s="11">
        <v>31.0</v>
      </c>
      <c r="D960" s="11">
        <v>6.377099991</v>
      </c>
      <c r="E960" s="11">
        <v>1.519580126</v>
      </c>
      <c r="F960" s="11">
        <v>0.910268962</v>
      </c>
      <c r="G960" s="11">
        <v>76.80458069</v>
      </c>
      <c r="H960" s="11">
        <v>0.926645339</v>
      </c>
      <c r="I960" s="11">
        <v>0.029879224</v>
      </c>
      <c r="J960" s="11">
        <v>0.109784193</v>
      </c>
      <c r="K960" s="11">
        <v>-0.286499761250174</v>
      </c>
      <c r="L960" s="11">
        <v>1.86175000667572</v>
      </c>
      <c r="M960" s="11">
        <v>-2.91902248436238</v>
      </c>
      <c r="N960" s="11">
        <v>-0.181916666667325</v>
      </c>
      <c r="O960" s="11">
        <v>-0.155333071947097</v>
      </c>
      <c r="P960" s="11">
        <v>-6.91906118392944</v>
      </c>
      <c r="Q960" s="13" t="s">
        <v>24</v>
      </c>
      <c r="S960" s="14">
        <v>1.258</v>
      </c>
      <c r="T960" s="14">
        <v>0.777</v>
      </c>
      <c r="U960" s="14">
        <v>0.737</v>
      </c>
    </row>
    <row r="961">
      <c r="A961" s="15" t="s">
        <v>146</v>
      </c>
      <c r="B961" s="16">
        <v>2021.0</v>
      </c>
      <c r="C961" s="16">
        <v>32.0</v>
      </c>
      <c r="D961" s="16">
        <v>6.377</v>
      </c>
      <c r="E961" s="16">
        <v>11.488</v>
      </c>
      <c r="F961" s="16">
        <v>0.915</v>
      </c>
      <c r="G961" s="16">
        <v>76.953</v>
      </c>
      <c r="H961" s="16">
        <v>0.927</v>
      </c>
      <c r="I961" s="16">
        <v>-0.018</v>
      </c>
      <c r="J961" s="16">
        <v>0.082</v>
      </c>
      <c r="K961" s="16">
        <v>1.39</v>
      </c>
      <c r="L961" s="16">
        <v>1.6</v>
      </c>
      <c r="M961" s="16">
        <v>4.03251422334762</v>
      </c>
      <c r="N961" s="16">
        <v>2.30485959040487</v>
      </c>
      <c r="O961" s="16">
        <v>0.925185579624396</v>
      </c>
      <c r="P961" s="16">
        <v>15.2241691500999</v>
      </c>
      <c r="Q961" s="17" t="s">
        <v>24</v>
      </c>
      <c r="S961" s="14">
        <v>1.258189797</v>
      </c>
      <c r="T961" s="14">
        <v>0.778</v>
      </c>
      <c r="U961" s="14">
        <v>0.738</v>
      </c>
    </row>
    <row r="962">
      <c r="A962" s="10" t="s">
        <v>146</v>
      </c>
      <c r="B962" s="11">
        <v>2022.0</v>
      </c>
      <c r="C962" s="11">
        <v>27.0</v>
      </c>
      <c r="D962" s="11">
        <v>6.48</v>
      </c>
      <c r="E962" s="11">
        <v>2.149</v>
      </c>
      <c r="F962" s="11">
        <v>1.127</v>
      </c>
      <c r="G962" s="11">
        <v>0.851</v>
      </c>
      <c r="H962" s="11">
        <v>0.672</v>
      </c>
      <c r="I962" s="11">
        <v>0.163</v>
      </c>
      <c r="J962" s="11">
        <v>0.587</v>
      </c>
      <c r="K962" s="11">
        <v>5.24287096994308</v>
      </c>
      <c r="L962" s="11">
        <v>4.93207895351536</v>
      </c>
      <c r="M962" s="11">
        <v>9.0687900906879</v>
      </c>
      <c r="N962" s="11">
        <v>6.12106004039414</v>
      </c>
      <c r="O962" s="11">
        <v>4.11776721614887</v>
      </c>
      <c r="P962" s="11">
        <v>15.0826495938927</v>
      </c>
      <c r="Q962" s="13" t="s">
        <v>24</v>
      </c>
      <c r="S962" s="14">
        <v>1.259698749</v>
      </c>
      <c r="T962" s="14">
        <v>0.779</v>
      </c>
      <c r="U962" s="14">
        <v>0.738099158</v>
      </c>
    </row>
    <row r="963">
      <c r="A963" s="15" t="s">
        <v>146</v>
      </c>
      <c r="B963" s="16">
        <v>2023.0</v>
      </c>
      <c r="C963" s="16">
        <v>25.0</v>
      </c>
      <c r="D963" s="16">
        <v>6.587</v>
      </c>
      <c r="E963" s="16">
        <v>11.571</v>
      </c>
      <c r="F963" s="16">
        <v>0.878</v>
      </c>
      <c r="G963" s="16">
        <v>73.8</v>
      </c>
      <c r="H963" s="16">
        <v>0.878</v>
      </c>
      <c r="I963" s="16">
        <v>0.063</v>
      </c>
      <c r="J963" s="16">
        <v>0.146</v>
      </c>
      <c r="K963" s="16">
        <v>4.32844914751598</v>
      </c>
      <c r="L963" s="16">
        <v>5.14340086537091</v>
      </c>
      <c r="M963" s="16">
        <v>0.306876707677155</v>
      </c>
      <c r="N963" s="16">
        <v>4.82146729476466</v>
      </c>
      <c r="O963" s="16">
        <v>4.15231014844995</v>
      </c>
      <c r="P963" s="16">
        <v>-83.3397807759391</v>
      </c>
      <c r="Q963" s="17" t="s">
        <v>24</v>
      </c>
      <c r="S963" s="14">
        <v>1.259976387</v>
      </c>
      <c r="T963" s="14">
        <v>0.779858291</v>
      </c>
      <c r="U963" s="14">
        <v>0.7393471</v>
      </c>
    </row>
    <row r="964">
      <c r="A964" s="10" t="s">
        <v>147</v>
      </c>
      <c r="B964" s="11">
        <v>2015.0</v>
      </c>
      <c r="C964" s="11">
        <v>45.0</v>
      </c>
      <c r="D964" s="11">
        <v>5.995</v>
      </c>
      <c r="E964" s="11">
        <v>1.16891</v>
      </c>
      <c r="F964" s="11">
        <v>1.26999</v>
      </c>
      <c r="G964" s="11">
        <v>0.78902</v>
      </c>
      <c r="H964" s="11">
        <v>0.31751</v>
      </c>
      <c r="I964" s="11">
        <v>0.16893</v>
      </c>
      <c r="J964" s="11">
        <v>0.03431</v>
      </c>
      <c r="K964" s="12"/>
      <c r="L964" s="12"/>
      <c r="M964" s="12"/>
      <c r="N964" s="12"/>
      <c r="O964" s="11">
        <v>0.156239822506904</v>
      </c>
      <c r="P964" s="11">
        <v>-2.88857674598693</v>
      </c>
      <c r="Q964" s="13" t="s">
        <v>26</v>
      </c>
      <c r="S964" s="14">
        <v>1.26038</v>
      </c>
      <c r="T964" s="14">
        <v>0.78</v>
      </c>
      <c r="U964" s="14">
        <v>0.739795029</v>
      </c>
    </row>
    <row r="965">
      <c r="A965" s="15" t="s">
        <v>147</v>
      </c>
      <c r="B965" s="16">
        <v>2016.0</v>
      </c>
      <c r="C965" s="16">
        <v>45.0</v>
      </c>
      <c r="D965" s="16">
        <v>6.078</v>
      </c>
      <c r="E965" s="16">
        <v>1.27973</v>
      </c>
      <c r="F965" s="16">
        <v>1.08268</v>
      </c>
      <c r="G965" s="16">
        <v>0.70367</v>
      </c>
      <c r="H965" s="16">
        <v>0.23391</v>
      </c>
      <c r="I965" s="16">
        <v>0.13837</v>
      </c>
      <c r="J965" s="16">
        <v>0.02947</v>
      </c>
      <c r="K965" s="12"/>
      <c r="L965" s="12"/>
      <c r="M965" s="12"/>
      <c r="N965" s="12"/>
      <c r="O965" s="16">
        <v>0.207994803786277</v>
      </c>
      <c r="P965" s="16">
        <v>-3.9826693534851</v>
      </c>
      <c r="Q965" s="17" t="s">
        <v>26</v>
      </c>
      <c r="S965" s="14">
        <v>1.265</v>
      </c>
      <c r="T965" s="14">
        <v>0.781994224</v>
      </c>
      <c r="U965" s="14">
        <v>0.74</v>
      </c>
    </row>
    <row r="966">
      <c r="A966" s="10" t="s">
        <v>147</v>
      </c>
      <c r="B966" s="11">
        <v>2017.0</v>
      </c>
      <c r="C966" s="11">
        <v>40.0</v>
      </c>
      <c r="D966" s="11">
        <v>6.09800005</v>
      </c>
      <c r="E966" s="11">
        <v>1.325393558</v>
      </c>
      <c r="F966" s="11">
        <v>1.505059242</v>
      </c>
      <c r="G966" s="11">
        <v>0.712732911</v>
      </c>
      <c r="H966" s="11">
        <v>0.295817465</v>
      </c>
      <c r="I966" s="11">
        <v>0.136544481</v>
      </c>
      <c r="J966" s="11">
        <v>0.024210852</v>
      </c>
      <c r="K966" s="12"/>
      <c r="L966" s="12"/>
      <c r="M966" s="12"/>
      <c r="N966" s="12"/>
      <c r="O966" s="11">
        <v>1.48537325859069</v>
      </c>
      <c r="P966" s="11">
        <v>2.42970442771911</v>
      </c>
      <c r="Q966" s="13" t="s">
        <v>26</v>
      </c>
      <c r="S966" s="14">
        <v>1.265</v>
      </c>
      <c r="T966" s="14">
        <v>0.782</v>
      </c>
      <c r="U966" s="14">
        <v>0.740532577</v>
      </c>
    </row>
    <row r="967">
      <c r="A967" s="15" t="s">
        <v>147</v>
      </c>
      <c r="B967" s="16">
        <v>2018.0</v>
      </c>
      <c r="C967" s="16">
        <v>39.0</v>
      </c>
      <c r="D967" s="16">
        <v>6.173</v>
      </c>
      <c r="E967" s="16">
        <v>1.21</v>
      </c>
      <c r="F967" s="16">
        <v>1.537</v>
      </c>
      <c r="G967" s="16">
        <v>0.776</v>
      </c>
      <c r="H967" s="16">
        <v>0.354</v>
      </c>
      <c r="I967" s="16">
        <v>0.118</v>
      </c>
      <c r="J967" s="16">
        <v>0.014</v>
      </c>
      <c r="K967" s="12"/>
      <c r="L967" s="12"/>
      <c r="M967" s="12"/>
      <c r="N967" s="12"/>
      <c r="O967" s="16">
        <v>2.47986698150634</v>
      </c>
      <c r="P967" s="16">
        <v>2.52456450462341</v>
      </c>
      <c r="Q967" s="17" t="s">
        <v>26</v>
      </c>
      <c r="S967" s="14">
        <v>1.26504</v>
      </c>
      <c r="T967" s="14">
        <v>0.782</v>
      </c>
      <c r="U967" s="14">
        <v>0.742</v>
      </c>
    </row>
    <row r="968">
      <c r="A968" s="10" t="s">
        <v>147</v>
      </c>
      <c r="B968" s="11">
        <v>2019.0</v>
      </c>
      <c r="C968" s="11">
        <v>38.0</v>
      </c>
      <c r="D968" s="11">
        <v>6.198</v>
      </c>
      <c r="E968" s="11">
        <v>1.246</v>
      </c>
      <c r="F968" s="11">
        <v>1.504</v>
      </c>
      <c r="G968" s="11">
        <v>0.881</v>
      </c>
      <c r="H968" s="11">
        <v>0.334</v>
      </c>
      <c r="I968" s="11">
        <v>0.121</v>
      </c>
      <c r="J968" s="11">
        <v>0.014</v>
      </c>
      <c r="K968" s="12"/>
      <c r="L968" s="12"/>
      <c r="M968" s="12"/>
      <c r="N968" s="12"/>
      <c r="O968" s="11">
        <v>1.92091810703277</v>
      </c>
      <c r="P968" s="11">
        <v>1.90879333019256</v>
      </c>
      <c r="Q968" s="13" t="s">
        <v>26</v>
      </c>
      <c r="S968" s="14">
        <v>1.266</v>
      </c>
      <c r="T968" s="14">
        <v>0.782</v>
      </c>
      <c r="U968" s="14">
        <v>0.742</v>
      </c>
    </row>
    <row r="969">
      <c r="A969" s="15" t="s">
        <v>147</v>
      </c>
      <c r="B969" s="16">
        <v>2020.0</v>
      </c>
      <c r="C969" s="16">
        <v>37.0</v>
      </c>
      <c r="D969" s="16">
        <v>6.280600071</v>
      </c>
      <c r="E969" s="16">
        <v>1.194837689</v>
      </c>
      <c r="F969" s="16">
        <v>0.922493756</v>
      </c>
      <c r="G969" s="16">
        <v>68.90634155</v>
      </c>
      <c r="H969" s="16">
        <v>0.749952674</v>
      </c>
      <c r="I969" s="16">
        <v>-0.124409303</v>
      </c>
      <c r="J969" s="16">
        <v>0.918096125</v>
      </c>
      <c r="K969" s="12"/>
      <c r="L969" s="12"/>
      <c r="M969" s="12"/>
      <c r="N969" s="12"/>
      <c r="O969" s="16">
        <v>2.162978</v>
      </c>
      <c r="P969" s="16">
        <v>-1.52264393618635</v>
      </c>
      <c r="Q969" s="17" t="s">
        <v>26</v>
      </c>
      <c r="S969" s="14">
        <v>1.266410232</v>
      </c>
      <c r="T969" s="14">
        <v>0.783</v>
      </c>
      <c r="U969" s="14">
        <v>0.745</v>
      </c>
    </row>
    <row r="970">
      <c r="A970" s="10" t="s">
        <v>147</v>
      </c>
      <c r="B970" s="11">
        <v>2021.0</v>
      </c>
      <c r="C970" s="11">
        <v>34.0</v>
      </c>
      <c r="D970" s="11">
        <v>6.331</v>
      </c>
      <c r="E970" s="11">
        <v>10.369</v>
      </c>
      <c r="F970" s="11">
        <v>0.936</v>
      </c>
      <c r="G970" s="11">
        <v>69.201</v>
      </c>
      <c r="H970" s="11">
        <v>0.766</v>
      </c>
      <c r="I970" s="11">
        <v>-0.124</v>
      </c>
      <c r="J970" s="11">
        <v>0.911</v>
      </c>
      <c r="K970" s="12"/>
      <c r="L970" s="12"/>
      <c r="M970" s="12"/>
      <c r="N970" s="12"/>
      <c r="O970" s="11">
        <v>4.10942395758014</v>
      </c>
      <c r="P970" s="11">
        <v>6.80022803159926</v>
      </c>
      <c r="Q970" s="13" t="s">
        <v>26</v>
      </c>
      <c r="S970" s="14">
        <v>1.268</v>
      </c>
      <c r="T970" s="14">
        <v>0.783</v>
      </c>
      <c r="U970" s="14">
        <v>0.745705426</v>
      </c>
    </row>
    <row r="971">
      <c r="A971" s="15" t="s">
        <v>147</v>
      </c>
      <c r="B971" s="16">
        <v>2022.0</v>
      </c>
      <c r="C971" s="16">
        <v>35.0</v>
      </c>
      <c r="D971" s="16">
        <v>6.391</v>
      </c>
      <c r="E971" s="16">
        <v>1.736</v>
      </c>
      <c r="F971" s="16">
        <v>1.232</v>
      </c>
      <c r="G971" s="16">
        <v>0.707</v>
      </c>
      <c r="H971" s="16">
        <v>0.479</v>
      </c>
      <c r="I971" s="16">
        <v>0.118</v>
      </c>
      <c r="J971" s="16">
        <v>0.025</v>
      </c>
      <c r="K971" s="12"/>
      <c r="L971" s="12"/>
      <c r="M971" s="12"/>
      <c r="N971" s="12"/>
      <c r="O971" s="16">
        <v>9.67282252899341</v>
      </c>
      <c r="P971" s="16">
        <v>29.4951959737682</v>
      </c>
      <c r="Q971" s="17" t="s">
        <v>26</v>
      </c>
      <c r="S971" s="14">
        <v>1.269</v>
      </c>
      <c r="T971" s="14">
        <v>0.784</v>
      </c>
      <c r="U971" s="14">
        <v>0.746223509</v>
      </c>
    </row>
    <row r="972">
      <c r="A972" s="10" t="s">
        <v>147</v>
      </c>
      <c r="B972" s="11">
        <v>2023.0</v>
      </c>
      <c r="C972" s="11">
        <v>29.0</v>
      </c>
      <c r="D972" s="11">
        <v>6.469</v>
      </c>
      <c r="E972" s="11">
        <v>10.353</v>
      </c>
      <c r="F972" s="11">
        <v>0.953</v>
      </c>
      <c r="G972" s="11">
        <v>68.838</v>
      </c>
      <c r="H972" s="11">
        <v>0.753</v>
      </c>
      <c r="I972" s="11">
        <v>-0.016</v>
      </c>
      <c r="J972" s="11">
        <v>0.898</v>
      </c>
      <c r="K972" s="12"/>
      <c r="L972" s="12"/>
      <c r="M972" s="12"/>
      <c r="N972" s="12"/>
      <c r="O972" s="11">
        <v>9.42873569225946</v>
      </c>
      <c r="P972" s="11">
        <v>8.81521611117636</v>
      </c>
      <c r="Q972" s="13" t="s">
        <v>26</v>
      </c>
      <c r="S972" s="14">
        <v>1.26999</v>
      </c>
      <c r="T972" s="14">
        <v>0.785</v>
      </c>
      <c r="U972" s="14">
        <v>0.748</v>
      </c>
    </row>
    <row r="973">
      <c r="A973" s="15" t="s">
        <v>148</v>
      </c>
      <c r="B973" s="16">
        <v>2015.0</v>
      </c>
      <c r="C973" s="16">
        <v>55.0</v>
      </c>
      <c r="D973" s="16">
        <v>5.848</v>
      </c>
      <c r="E973" s="16">
        <v>1.18498</v>
      </c>
      <c r="F973" s="16">
        <v>1.27385</v>
      </c>
      <c r="G973" s="16">
        <v>0.87337</v>
      </c>
      <c r="H973" s="16">
        <v>0.60855</v>
      </c>
      <c r="I973" s="16">
        <v>0.25328</v>
      </c>
      <c r="J973" s="16">
        <v>0.03787</v>
      </c>
      <c r="K973" s="16">
        <v>-2.55466151237487</v>
      </c>
      <c r="L973" s="16">
        <v>0.832719981670379</v>
      </c>
      <c r="M973" s="16">
        <v>1.00560707978266</v>
      </c>
      <c r="N973" s="16">
        <v>-0.525554537773132</v>
      </c>
      <c r="O973" s="16">
        <v>0.453715950250625</v>
      </c>
      <c r="P973" s="16">
        <v>-0.224519744515419</v>
      </c>
      <c r="Q973" s="17" t="s">
        <v>26</v>
      </c>
      <c r="S973" s="14">
        <v>1.271463275</v>
      </c>
      <c r="T973" s="14">
        <v>0.786</v>
      </c>
      <c r="U973" s="14">
        <v>0.748197377</v>
      </c>
    </row>
    <row r="974">
      <c r="A974" s="10" t="s">
        <v>148</v>
      </c>
      <c r="B974" s="11">
        <v>2016.0</v>
      </c>
      <c r="C974" s="11">
        <v>63.0</v>
      </c>
      <c r="D974" s="11">
        <v>5.768</v>
      </c>
      <c r="E974" s="11">
        <v>1.29947</v>
      </c>
      <c r="F974" s="11">
        <v>1.05613</v>
      </c>
      <c r="G974" s="11">
        <v>0.79151</v>
      </c>
      <c r="H974" s="11">
        <v>0.53164</v>
      </c>
      <c r="I974" s="11">
        <v>0.25738</v>
      </c>
      <c r="J974" s="11">
        <v>0.03635</v>
      </c>
      <c r="K974" s="11">
        <v>0.851926386356353</v>
      </c>
      <c r="L974" s="11">
        <v>0.919174194335937</v>
      </c>
      <c r="M974" s="11">
        <v>0.873295687983108</v>
      </c>
      <c r="N974" s="11">
        <v>-0.0549998469650745</v>
      </c>
      <c r="O974" s="11">
        <v>0.622500002384185</v>
      </c>
      <c r="P974" s="11">
        <v>-1.35845243930816</v>
      </c>
      <c r="Q974" s="13" t="s">
        <v>26</v>
      </c>
      <c r="S974" s="14">
        <v>1.27203083</v>
      </c>
      <c r="T974" s="14">
        <v>0.786824107</v>
      </c>
      <c r="U974" s="14">
        <v>0.749</v>
      </c>
    </row>
    <row r="975">
      <c r="A975" s="15" t="s">
        <v>148</v>
      </c>
      <c r="B975" s="16">
        <v>2017.0</v>
      </c>
      <c r="C975" s="16">
        <v>62.0</v>
      </c>
      <c r="D975" s="16">
        <v>5.757999897</v>
      </c>
      <c r="E975" s="16">
        <v>1.341205955</v>
      </c>
      <c r="F975" s="16">
        <v>1.452518821</v>
      </c>
      <c r="G975" s="16">
        <v>0.790828228</v>
      </c>
      <c r="H975" s="16">
        <v>0.572575808</v>
      </c>
      <c r="I975" s="16">
        <v>0.242649093</v>
      </c>
      <c r="J975" s="16">
        <v>0.045128979</v>
      </c>
      <c r="K975" s="16">
        <v>2.47966289520263</v>
      </c>
      <c r="L975" s="16">
        <v>2.22456622123718</v>
      </c>
      <c r="M975" s="16">
        <v>1.4804641250296</v>
      </c>
      <c r="N975" s="16">
        <v>1.432</v>
      </c>
      <c r="O975" s="16">
        <v>1.05841135978698</v>
      </c>
      <c r="P975" s="16">
        <v>2.14598536491394</v>
      </c>
      <c r="Q975" s="17" t="s">
        <v>26</v>
      </c>
      <c r="S975" s="14">
        <v>1.27385</v>
      </c>
      <c r="T975" s="14">
        <v>0.787</v>
      </c>
      <c r="U975" s="14">
        <v>0.752</v>
      </c>
    </row>
    <row r="976">
      <c r="A976" s="10" t="s">
        <v>148</v>
      </c>
      <c r="B976" s="11">
        <v>2018.0</v>
      </c>
      <c r="C976" s="11">
        <v>51.0</v>
      </c>
      <c r="D976" s="11">
        <v>5.948</v>
      </c>
      <c r="E976" s="11">
        <v>1.219</v>
      </c>
      <c r="F976" s="11">
        <v>1.506</v>
      </c>
      <c r="G976" s="11">
        <v>0.856</v>
      </c>
      <c r="H976" s="11">
        <v>0.633</v>
      </c>
      <c r="I976" s="11">
        <v>0.16</v>
      </c>
      <c r="J976" s="11">
        <v>0.051</v>
      </c>
      <c r="K976" s="11">
        <v>3.7243366241455</v>
      </c>
      <c r="L976" s="11">
        <v>2.67456531524658</v>
      </c>
      <c r="M976" s="11">
        <v>2.15516436745132</v>
      </c>
      <c r="N976" s="11">
        <v>1.74</v>
      </c>
      <c r="O976" s="11">
        <v>1.19729566574096</v>
      </c>
      <c r="P976" s="11">
        <v>2.06782889366149</v>
      </c>
      <c r="Q976" s="13" t="s">
        <v>26</v>
      </c>
      <c r="S976" s="14">
        <v>1.274</v>
      </c>
      <c r="T976" s="14">
        <v>0.787</v>
      </c>
      <c r="U976" s="14">
        <v>0.753</v>
      </c>
    </row>
    <row r="977">
      <c r="A977" s="15" t="s">
        <v>148</v>
      </c>
      <c r="B977" s="16">
        <v>2019.0</v>
      </c>
      <c r="C977" s="16">
        <v>44.0</v>
      </c>
      <c r="D977" s="16">
        <v>6.118</v>
      </c>
      <c r="E977" s="16">
        <v>1.258</v>
      </c>
      <c r="F977" s="16">
        <v>1.523</v>
      </c>
      <c r="G977" s="16">
        <v>0.953</v>
      </c>
      <c r="H977" s="16">
        <v>0.564</v>
      </c>
      <c r="I977" s="16">
        <v>0.144</v>
      </c>
      <c r="J977" s="16">
        <v>0.057</v>
      </c>
      <c r="K977" s="16">
        <v>3.11125993728637</v>
      </c>
      <c r="L977" s="16">
        <v>1.600226521492</v>
      </c>
      <c r="M977" s="16">
        <v>2.26045483201915</v>
      </c>
      <c r="N977" s="16">
        <v>1.62800002098083</v>
      </c>
      <c r="O977" s="16">
        <v>1.69249951839447</v>
      </c>
      <c r="P977" s="16">
        <v>0.680740594863891</v>
      </c>
      <c r="Q977" s="17" t="s">
        <v>26</v>
      </c>
      <c r="S977" s="14">
        <v>1.27429688</v>
      </c>
      <c r="T977" s="14">
        <v>0.788</v>
      </c>
      <c r="U977" s="14">
        <v>0.753690004</v>
      </c>
    </row>
    <row r="978">
      <c r="A978" s="10" t="s">
        <v>148</v>
      </c>
      <c r="B978" s="11">
        <v>2020.0</v>
      </c>
      <c r="C978" s="11">
        <v>33.0</v>
      </c>
      <c r="D978" s="11">
        <v>6.363399982</v>
      </c>
      <c r="E978" s="11">
        <v>1.208652496</v>
      </c>
      <c r="F978" s="11">
        <v>0.939575672</v>
      </c>
      <c r="G978" s="11">
        <v>71.1029892</v>
      </c>
      <c r="H978" s="11">
        <v>0.936142623</v>
      </c>
      <c r="I978" s="11">
        <v>-0.080603383</v>
      </c>
      <c r="J978" s="11">
        <v>0.817071021</v>
      </c>
      <c r="K978" s="11">
        <v>-1.11389796088475</v>
      </c>
      <c r="L978" s="11">
        <v>3.51940894126892</v>
      </c>
      <c r="M978" s="11">
        <v>1.27232601567176</v>
      </c>
      <c r="N978" s="11">
        <v>-0.0548568157605172</v>
      </c>
      <c r="O978" s="11">
        <v>0.6879686</v>
      </c>
      <c r="P978" s="11">
        <v>-0.242269411683082</v>
      </c>
      <c r="Q978" s="13" t="s">
        <v>26</v>
      </c>
      <c r="S978" s="14">
        <v>1.274444699</v>
      </c>
      <c r="T978" s="14">
        <v>0.788</v>
      </c>
      <c r="U978" s="14">
        <v>0.7539711</v>
      </c>
    </row>
    <row r="979">
      <c r="A979" s="15" t="s">
        <v>148</v>
      </c>
      <c r="B979" s="16">
        <v>2021.0</v>
      </c>
      <c r="C979" s="16">
        <v>29.0</v>
      </c>
      <c r="D979" s="16">
        <v>6.461</v>
      </c>
      <c r="E979" s="16">
        <v>10.529</v>
      </c>
      <c r="F979" s="16">
        <v>0.948</v>
      </c>
      <c r="G979" s="16">
        <v>71.4</v>
      </c>
      <c r="H979" s="16">
        <v>0.949</v>
      </c>
      <c r="I979" s="16">
        <v>-0.101</v>
      </c>
      <c r="J979" s="16">
        <v>0.806</v>
      </c>
      <c r="K979" s="16">
        <v>11.07685</v>
      </c>
      <c r="L979" s="16">
        <v>-0.198</v>
      </c>
      <c r="M979" s="16">
        <v>2.60708736010701</v>
      </c>
      <c r="N979" s="16">
        <v>1.917065</v>
      </c>
      <c r="O979" s="16">
        <v>1.083</v>
      </c>
      <c r="P979" s="16">
        <v>5.54345194868085</v>
      </c>
      <c r="Q979" s="17" t="s">
        <v>26</v>
      </c>
      <c r="S979" s="14">
        <v>1.277491331</v>
      </c>
      <c r="T979" s="14">
        <v>0.791</v>
      </c>
      <c r="U979" s="14">
        <v>0.754319906</v>
      </c>
    </row>
    <row r="980">
      <c r="A980" s="10" t="s">
        <v>148</v>
      </c>
      <c r="B980" s="11">
        <v>2022.0</v>
      </c>
      <c r="C980" s="11">
        <v>22.0</v>
      </c>
      <c r="D980" s="11">
        <v>6.63</v>
      </c>
      <c r="E980" s="11">
        <v>1.81</v>
      </c>
      <c r="F980" s="11">
        <v>1.249</v>
      </c>
      <c r="G980" s="11">
        <v>0.769</v>
      </c>
      <c r="H980" s="11">
        <v>0.685</v>
      </c>
      <c r="I980" s="11">
        <v>0.118</v>
      </c>
      <c r="J980" s="11">
        <v>0.115</v>
      </c>
      <c r="K980" s="11">
        <v>23.1229833806247</v>
      </c>
      <c r="L980" s="11">
        <v>12.2492</v>
      </c>
      <c r="M980" s="11">
        <v>6.73773515290167</v>
      </c>
      <c r="N980" s="11">
        <v>8.833699</v>
      </c>
      <c r="O980" s="11">
        <v>5.81422831481919</v>
      </c>
      <c r="P980" s="11">
        <v>19.5871559633024</v>
      </c>
      <c r="Q980" s="13" t="s">
        <v>26</v>
      </c>
      <c r="S980" s="14">
        <v>1.279</v>
      </c>
      <c r="T980" s="14">
        <v>0.792</v>
      </c>
      <c r="U980" s="14">
        <v>0.755</v>
      </c>
    </row>
    <row r="981">
      <c r="A981" s="15" t="s">
        <v>148</v>
      </c>
      <c r="B981" s="16">
        <v>2023.0</v>
      </c>
      <c r="C981" s="16">
        <v>22.0</v>
      </c>
      <c r="D981" s="16">
        <v>6.65</v>
      </c>
      <c r="E981" s="16">
        <v>10.588</v>
      </c>
      <c r="F981" s="16">
        <v>0.951</v>
      </c>
      <c r="G981" s="16">
        <v>71.052</v>
      </c>
      <c r="H981" s="16">
        <v>0.913</v>
      </c>
      <c r="I981" s="16">
        <v>0.014</v>
      </c>
      <c r="J981" s="16">
        <v>0.771</v>
      </c>
      <c r="K981" s="16">
        <v>2.68984691086043</v>
      </c>
      <c r="L981" s="16">
        <v>12.1378200736679</v>
      </c>
      <c r="M981" s="16">
        <v>9.01836184187824</v>
      </c>
      <c r="N981" s="16">
        <v>7.44687717385838</v>
      </c>
      <c r="O981" s="16">
        <v>7.25089564106458</v>
      </c>
      <c r="P981" s="16">
        <v>6.06060606060624</v>
      </c>
      <c r="Q981" s="17" t="s">
        <v>26</v>
      </c>
      <c r="S981" s="14">
        <v>1.27948</v>
      </c>
      <c r="T981" s="14">
        <v>0.794</v>
      </c>
      <c r="U981" s="14">
        <v>0.755999923</v>
      </c>
    </row>
    <row r="982">
      <c r="A982" s="10" t="s">
        <v>149</v>
      </c>
      <c r="B982" s="11">
        <v>2016.0</v>
      </c>
      <c r="C982" s="11">
        <v>76.0</v>
      </c>
      <c r="D982" s="11">
        <v>5.44</v>
      </c>
      <c r="E982" s="11">
        <v>0.0</v>
      </c>
      <c r="F982" s="11">
        <v>0.33613</v>
      </c>
      <c r="G982" s="11">
        <v>0.11466</v>
      </c>
      <c r="H982" s="11">
        <v>0.56778</v>
      </c>
      <c r="I982" s="11">
        <v>0.27225</v>
      </c>
      <c r="J982" s="11">
        <v>0.3118</v>
      </c>
      <c r="K982" s="12"/>
      <c r="L982" s="12"/>
      <c r="M982" s="11">
        <v>0.778792413645665</v>
      </c>
      <c r="N982" s="12"/>
      <c r="O982" s="12"/>
      <c r="P982" s="12"/>
      <c r="Q982" s="13" t="s">
        <v>28</v>
      </c>
      <c r="S982" s="14">
        <v>1.28017</v>
      </c>
      <c r="T982" s="14">
        <v>0.794</v>
      </c>
      <c r="U982" s="14">
        <v>0.756</v>
      </c>
    </row>
    <row r="983">
      <c r="A983" s="15" t="s">
        <v>149</v>
      </c>
      <c r="B983" s="16">
        <v>2017.0</v>
      </c>
      <c r="C983" s="16">
        <v>93.0</v>
      </c>
      <c r="D983" s="16">
        <v>5.151000023</v>
      </c>
      <c r="E983" s="16">
        <v>0.022643184</v>
      </c>
      <c r="F983" s="16">
        <v>0.721151352</v>
      </c>
      <c r="G983" s="16">
        <v>0.113989137</v>
      </c>
      <c r="H983" s="16">
        <v>0.602126956</v>
      </c>
      <c r="I983" s="16">
        <v>0.291631311</v>
      </c>
      <c r="J983" s="16">
        <v>0.282410324</v>
      </c>
      <c r="K983" s="12"/>
      <c r="L983" s="12"/>
      <c r="M983" s="16">
        <v>5.92460149099945</v>
      </c>
      <c r="N983" s="12"/>
      <c r="O983" s="12"/>
      <c r="P983" s="12"/>
      <c r="Q983" s="17" t="s">
        <v>28</v>
      </c>
      <c r="S983" s="14">
        <v>1.281</v>
      </c>
      <c r="T983" s="14">
        <v>0.794796526</v>
      </c>
      <c r="U983" s="14">
        <v>0.757733464</v>
      </c>
    </row>
    <row r="984">
      <c r="A984" s="10" t="s">
        <v>149</v>
      </c>
      <c r="B984" s="11">
        <v>2018.0</v>
      </c>
      <c r="C984" s="11">
        <v>98.0</v>
      </c>
      <c r="D984" s="11">
        <v>4.982</v>
      </c>
      <c r="E984" s="11">
        <v>0.0</v>
      </c>
      <c r="F984" s="11">
        <v>0.712</v>
      </c>
      <c r="G984" s="11">
        <v>0.115</v>
      </c>
      <c r="H984" s="11">
        <v>0.674</v>
      </c>
      <c r="I984" s="11">
        <v>0.238</v>
      </c>
      <c r="J984" s="11">
        <v>0.282</v>
      </c>
      <c r="K984" s="12"/>
      <c r="L984" s="12"/>
      <c r="M984" s="11">
        <v>1.84819614911452</v>
      </c>
      <c r="N984" s="12"/>
      <c r="O984" s="12"/>
      <c r="P984" s="12"/>
      <c r="Q984" s="13" t="s">
        <v>28</v>
      </c>
      <c r="S984" s="14">
        <v>1.281473398</v>
      </c>
      <c r="T984" s="14">
        <v>0.795</v>
      </c>
      <c r="U984" s="14">
        <v>0.758</v>
      </c>
    </row>
    <row r="985">
      <c r="A985" s="15" t="s">
        <v>149</v>
      </c>
      <c r="B985" s="16">
        <v>2019.0</v>
      </c>
      <c r="C985" s="16">
        <v>112.0</v>
      </c>
      <c r="D985" s="16">
        <v>4.668</v>
      </c>
      <c r="E985" s="16">
        <v>0.0</v>
      </c>
      <c r="F985" s="16">
        <v>0.698</v>
      </c>
      <c r="G985" s="16">
        <v>0.268</v>
      </c>
      <c r="H985" s="16">
        <v>0.559</v>
      </c>
      <c r="I985" s="16">
        <v>0.243</v>
      </c>
      <c r="J985" s="16">
        <v>0.27</v>
      </c>
      <c r="K985" s="12"/>
      <c r="L985" s="12"/>
      <c r="M985" s="16">
        <v>1.78469432661966</v>
      </c>
      <c r="N985" s="12"/>
      <c r="O985" s="12"/>
      <c r="P985" s="12"/>
      <c r="Q985" s="17" t="s">
        <v>28</v>
      </c>
      <c r="S985" s="14">
        <v>1.284024954</v>
      </c>
      <c r="T985" s="14">
        <v>0.796</v>
      </c>
      <c r="U985" s="14">
        <v>0.759</v>
      </c>
    </row>
    <row r="986">
      <c r="A986" s="10" t="s">
        <v>150</v>
      </c>
      <c r="B986" s="11">
        <v>2015.0</v>
      </c>
      <c r="C986" s="11">
        <v>113.0</v>
      </c>
      <c r="D986" s="11">
        <v>4.642</v>
      </c>
      <c r="E986" s="11">
        <v>0.92049</v>
      </c>
      <c r="F986" s="11">
        <v>1.18468</v>
      </c>
      <c r="G986" s="11">
        <v>0.27688</v>
      </c>
      <c r="H986" s="11">
        <v>0.33207</v>
      </c>
      <c r="I986" s="11">
        <v>0.11973</v>
      </c>
      <c r="J986" s="11">
        <v>0.08884</v>
      </c>
      <c r="K986" s="11">
        <v>5.99312257766723</v>
      </c>
      <c r="L986" s="11">
        <v>5.12230014801025</v>
      </c>
      <c r="M986" s="11">
        <v>5.17076741891331</v>
      </c>
      <c r="N986" s="11">
        <v>4.50920820236206</v>
      </c>
      <c r="O986" s="11">
        <v>5.4652042388916</v>
      </c>
      <c r="P986" s="11">
        <v>3.61229300498962</v>
      </c>
      <c r="Q986" s="13" t="s">
        <v>28</v>
      </c>
      <c r="S986" s="14">
        <v>1.284646034</v>
      </c>
      <c r="T986" s="14">
        <v>0.796</v>
      </c>
      <c r="U986" s="14">
        <v>0.760849059</v>
      </c>
    </row>
    <row r="987">
      <c r="A987" s="15" t="s">
        <v>150</v>
      </c>
      <c r="B987" s="16">
        <v>2016.0</v>
      </c>
      <c r="C987" s="16">
        <v>116.0</v>
      </c>
      <c r="D987" s="16">
        <v>4.459</v>
      </c>
      <c r="E987" s="16">
        <v>1.02416</v>
      </c>
      <c r="F987" s="16">
        <v>0.96053</v>
      </c>
      <c r="G987" s="16">
        <v>0.18611</v>
      </c>
      <c r="H987" s="16">
        <v>0.42483</v>
      </c>
      <c r="I987" s="16">
        <v>0.13656</v>
      </c>
      <c r="J987" s="16">
        <v>0.08415</v>
      </c>
      <c r="K987" s="16">
        <v>6.04884147644043</v>
      </c>
      <c r="L987" s="16">
        <v>10.5273160934448</v>
      </c>
      <c r="M987" s="16">
        <v>7.20608931192591</v>
      </c>
      <c r="N987" s="16">
        <v>6.5946044921875</v>
      </c>
      <c r="O987" s="16">
        <v>5.60337114334106</v>
      </c>
      <c r="P987" s="16">
        <v>7.08223104476928</v>
      </c>
      <c r="Q987" s="17" t="s">
        <v>28</v>
      </c>
      <c r="S987" s="14">
        <v>1.28548</v>
      </c>
      <c r="T987" s="14">
        <v>0.797565043</v>
      </c>
      <c r="U987" s="14">
        <v>0.761</v>
      </c>
    </row>
    <row r="988">
      <c r="A988" s="10" t="s">
        <v>150</v>
      </c>
      <c r="B988" s="11">
        <v>2017.0</v>
      </c>
      <c r="C988" s="11">
        <v>101.0</v>
      </c>
      <c r="D988" s="11">
        <v>4.828999996</v>
      </c>
      <c r="E988" s="11">
        <v>1.054698706</v>
      </c>
      <c r="F988" s="11">
        <v>1.384788632</v>
      </c>
      <c r="G988" s="11">
        <v>0.18708007</v>
      </c>
      <c r="H988" s="11">
        <v>0.479246736</v>
      </c>
      <c r="I988" s="11">
        <v>0.13936238</v>
      </c>
      <c r="J988" s="11">
        <v>0.072509497</v>
      </c>
      <c r="K988" s="11">
        <v>5.17741823196411</v>
      </c>
      <c r="L988" s="11">
        <v>6.94504594802856</v>
      </c>
      <c r="M988" s="11">
        <v>5.26783823840779</v>
      </c>
      <c r="N988" s="11">
        <v>5.273</v>
      </c>
      <c r="O988" s="11">
        <v>4.74573373794555</v>
      </c>
      <c r="P988" s="11">
        <v>4.87513828277587</v>
      </c>
      <c r="Q988" s="13" t="s">
        <v>28</v>
      </c>
      <c r="S988" s="14">
        <v>1.28566</v>
      </c>
      <c r="T988" s="14">
        <v>0.799</v>
      </c>
      <c r="U988" s="14">
        <v>0.761794448</v>
      </c>
    </row>
    <row r="989">
      <c r="A989" s="15" t="s">
        <v>150</v>
      </c>
      <c r="B989" s="16">
        <v>2018.0</v>
      </c>
      <c r="C989" s="16">
        <v>105.0</v>
      </c>
      <c r="D989" s="16">
        <v>4.724</v>
      </c>
      <c r="E989" s="16">
        <v>0.94</v>
      </c>
      <c r="F989" s="16">
        <v>1.41</v>
      </c>
      <c r="G989" s="16">
        <v>0.33</v>
      </c>
      <c r="H989" s="16">
        <v>0.516</v>
      </c>
      <c r="I989" s="16">
        <v>0.103</v>
      </c>
      <c r="J989" s="16">
        <v>0.056</v>
      </c>
      <c r="K989" s="16">
        <v>4.89403390884399</v>
      </c>
      <c r="L989" s="16">
        <v>3.58179759979248</v>
      </c>
      <c r="M989" s="16">
        <v>3.91675717714577</v>
      </c>
      <c r="N989" s="16">
        <v>4.5</v>
      </c>
      <c r="O989" s="16">
        <v>4.26325178146362</v>
      </c>
      <c r="P989" s="16">
        <v>5.45306634902954</v>
      </c>
      <c r="Q989" s="17" t="s">
        <v>28</v>
      </c>
      <c r="S989" s="14">
        <v>1.286168814</v>
      </c>
      <c r="T989" s="14">
        <v>0.799804807</v>
      </c>
      <c r="U989" s="14">
        <v>0.763417304</v>
      </c>
    </row>
    <row r="990">
      <c r="A990" s="10" t="s">
        <v>150</v>
      </c>
      <c r="B990" s="11">
        <v>2019.0</v>
      </c>
      <c r="C990" s="11">
        <v>106.0</v>
      </c>
      <c r="D990" s="11">
        <v>4.722</v>
      </c>
      <c r="E990" s="11">
        <v>0.96</v>
      </c>
      <c r="F990" s="11">
        <v>1.351</v>
      </c>
      <c r="G990" s="11">
        <v>0.469</v>
      </c>
      <c r="H990" s="11">
        <v>0.389</v>
      </c>
      <c r="I990" s="11">
        <v>0.13</v>
      </c>
      <c r="J990" s="11">
        <v>0.055</v>
      </c>
      <c r="K990" s="11">
        <v>5.21274280548095</v>
      </c>
      <c r="L990" s="11">
        <v>3.55433511734008</v>
      </c>
      <c r="M990" s="11">
        <v>4.02074892255284</v>
      </c>
      <c r="N990" s="11">
        <v>4.13000011444091</v>
      </c>
      <c r="O990" s="11">
        <v>4.1433458328247</v>
      </c>
      <c r="P990" s="11">
        <v>4.6239218711853</v>
      </c>
      <c r="Q990" s="13" t="s">
        <v>28</v>
      </c>
      <c r="S990" s="14">
        <v>1.286677599</v>
      </c>
      <c r="T990" s="14">
        <v>0.8</v>
      </c>
      <c r="U990" s="14">
        <v>0.764490843</v>
      </c>
    </row>
    <row r="991">
      <c r="A991" s="15" t="s">
        <v>150</v>
      </c>
      <c r="B991" s="16">
        <v>2020.0</v>
      </c>
      <c r="C991" s="16">
        <v>109.0</v>
      </c>
      <c r="D991" s="16">
        <v>4.814099789</v>
      </c>
      <c r="E991" s="16">
        <v>0.902140439</v>
      </c>
      <c r="F991" s="16">
        <v>0.852532268</v>
      </c>
      <c r="G991" s="16">
        <v>56.50601196</v>
      </c>
      <c r="H991" s="16">
        <v>0.759330094</v>
      </c>
      <c r="I991" s="16">
        <v>-0.109777324</v>
      </c>
      <c r="J991" s="16">
        <v>0.843423843</v>
      </c>
      <c r="K991" s="16">
        <v>3.74212671359762</v>
      </c>
      <c r="L991" s="16">
        <v>4.39460515975952</v>
      </c>
      <c r="M991" s="16">
        <v>5.2863026273352</v>
      </c>
      <c r="N991" s="16">
        <v>3.22388504206676</v>
      </c>
      <c r="O991" s="16">
        <v>3.34403228759765</v>
      </c>
      <c r="P991" s="16">
        <v>2.4896867275238</v>
      </c>
      <c r="Q991" s="17" t="s">
        <v>28</v>
      </c>
      <c r="S991" s="14">
        <v>1.28721571</v>
      </c>
      <c r="T991" s="14">
        <v>0.8</v>
      </c>
      <c r="U991" s="14">
        <v>0.765859902</v>
      </c>
    </row>
    <row r="992">
      <c r="A992" s="10" t="s">
        <v>150</v>
      </c>
      <c r="B992" s="11">
        <v>2021.0</v>
      </c>
      <c r="C992" s="11">
        <v>103.0</v>
      </c>
      <c r="D992" s="11">
        <v>4.956</v>
      </c>
      <c r="E992" s="11">
        <v>9.403</v>
      </c>
      <c r="F992" s="11">
        <v>0.86</v>
      </c>
      <c r="G992" s="11">
        <v>56.904</v>
      </c>
      <c r="H992" s="11">
        <v>0.749</v>
      </c>
      <c r="I992" s="11">
        <v>-0.067</v>
      </c>
      <c r="J992" s="11">
        <v>0.86</v>
      </c>
      <c r="K992" s="11">
        <v>14.31061</v>
      </c>
      <c r="L992" s="11">
        <v>6.098</v>
      </c>
      <c r="M992" s="11">
        <v>6.21901712425921</v>
      </c>
      <c r="N992" s="11">
        <v>4.609059</v>
      </c>
      <c r="O992" s="11">
        <v>3.12</v>
      </c>
      <c r="P992" s="11">
        <v>7.1180408439963</v>
      </c>
      <c r="Q992" s="13" t="s">
        <v>28</v>
      </c>
      <c r="S992" s="14">
        <v>1.28907</v>
      </c>
      <c r="T992" s="14">
        <v>0.801</v>
      </c>
      <c r="U992" s="14">
        <v>0.766</v>
      </c>
    </row>
    <row r="993">
      <c r="A993" s="15" t="s">
        <v>150</v>
      </c>
      <c r="B993" s="16">
        <v>2022.0</v>
      </c>
      <c r="C993" s="16">
        <v>91.0</v>
      </c>
      <c r="D993" s="16">
        <v>5.194</v>
      </c>
      <c r="E993" s="16">
        <v>1.425</v>
      </c>
      <c r="F993" s="16">
        <v>1.088</v>
      </c>
      <c r="G993" s="16">
        <v>0.361</v>
      </c>
      <c r="H993" s="16">
        <v>0.442</v>
      </c>
      <c r="I993" s="16">
        <v>0.089</v>
      </c>
      <c r="J993" s="16">
        <v>0.046</v>
      </c>
      <c r="K993" s="16">
        <v>23.6952939827214</v>
      </c>
      <c r="L993" s="16">
        <v>9.284925</v>
      </c>
      <c r="M993" s="16">
        <v>4.81112360869993</v>
      </c>
      <c r="N993" s="16">
        <v>7.039727</v>
      </c>
      <c r="O993" s="16">
        <v>4.31843150511282</v>
      </c>
      <c r="P993" s="16">
        <v>14.3817735938612</v>
      </c>
      <c r="Q993" s="17" t="s">
        <v>28</v>
      </c>
      <c r="S993" s="14">
        <v>1.293</v>
      </c>
      <c r="T993" s="14">
        <v>0.801</v>
      </c>
      <c r="U993" s="14">
        <v>0.766</v>
      </c>
    </row>
    <row r="994">
      <c r="A994" s="10" t="s">
        <v>150</v>
      </c>
      <c r="B994" s="11">
        <v>2023.0</v>
      </c>
      <c r="C994" s="11">
        <v>85.0</v>
      </c>
      <c r="D994" s="11">
        <v>5.275</v>
      </c>
      <c r="E994" s="11">
        <v>9.478</v>
      </c>
      <c r="F994" s="11">
        <v>0.907</v>
      </c>
      <c r="G994" s="11">
        <v>56.989</v>
      </c>
      <c r="H994" s="11">
        <v>0.73</v>
      </c>
      <c r="I994" s="11">
        <v>-0.087</v>
      </c>
      <c r="J994" s="11">
        <v>0.902</v>
      </c>
      <c r="K994" s="11">
        <v>5.29663191702721</v>
      </c>
      <c r="L994" s="11">
        <v>10.8223760989655</v>
      </c>
      <c r="M994" s="11">
        <v>4.44508332906069</v>
      </c>
      <c r="N994" s="11">
        <v>6.0739085322053</v>
      </c>
      <c r="O994" s="11">
        <v>4.84445884640308</v>
      </c>
      <c r="P994" s="12"/>
      <c r="Q994" s="13" t="s">
        <v>28</v>
      </c>
      <c r="S994" s="14">
        <v>1.294</v>
      </c>
      <c r="T994" s="14">
        <v>0.801641524</v>
      </c>
      <c r="U994" s="14">
        <v>0.768</v>
      </c>
    </row>
    <row r="995">
      <c r="A995" s="15" t="s">
        <v>151</v>
      </c>
      <c r="B995" s="16">
        <v>2016.0</v>
      </c>
      <c r="C995" s="16">
        <v>143.0</v>
      </c>
      <c r="D995" s="16">
        <v>3.832</v>
      </c>
      <c r="E995" s="16">
        <v>0.39394</v>
      </c>
      <c r="F995" s="16">
        <v>0.18519</v>
      </c>
      <c r="G995" s="16">
        <v>0.15781</v>
      </c>
      <c r="H995" s="16">
        <v>0.19662</v>
      </c>
      <c r="I995" s="16">
        <v>0.25899</v>
      </c>
      <c r="J995" s="16">
        <v>0.13015</v>
      </c>
      <c r="K995" s="12"/>
      <c r="L995" s="12"/>
      <c r="M995" s="16">
        <v>259.278873239436</v>
      </c>
      <c r="N995" s="16">
        <v>379.848999023437</v>
      </c>
      <c r="O995" s="12"/>
      <c r="P995" s="12"/>
      <c r="Q995" s="17" t="s">
        <v>28</v>
      </c>
      <c r="S995" s="14">
        <v>1.29704</v>
      </c>
      <c r="T995" s="14">
        <v>0.802</v>
      </c>
      <c r="U995" s="14">
        <v>0.768</v>
      </c>
    </row>
    <row r="996">
      <c r="A996" s="10" t="s">
        <v>151</v>
      </c>
      <c r="B996" s="11">
        <v>2017.0</v>
      </c>
      <c r="C996" s="11">
        <v>147.0</v>
      </c>
      <c r="D996" s="11">
        <v>3.59100008</v>
      </c>
      <c r="E996" s="11">
        <v>0.397248626</v>
      </c>
      <c r="F996" s="11">
        <v>0.601323128</v>
      </c>
      <c r="G996" s="11">
        <v>0.163486004</v>
      </c>
      <c r="H996" s="11">
        <v>0.147062436</v>
      </c>
      <c r="I996" s="11">
        <v>0.285670817</v>
      </c>
      <c r="J996" s="11">
        <v>0.116793513</v>
      </c>
      <c r="K996" s="12"/>
      <c r="L996" s="12"/>
      <c r="M996" s="11">
        <v>156.387518465568</v>
      </c>
      <c r="N996" s="11">
        <v>187.867</v>
      </c>
      <c r="O996" s="12"/>
      <c r="P996" s="12"/>
      <c r="Q996" s="13" t="s">
        <v>28</v>
      </c>
      <c r="S996" s="14">
        <v>1.29937</v>
      </c>
      <c r="T996" s="14">
        <v>0.803223193</v>
      </c>
      <c r="U996" s="14">
        <v>0.770601273</v>
      </c>
    </row>
    <row r="997">
      <c r="A997" s="15" t="s">
        <v>151</v>
      </c>
      <c r="B997" s="16">
        <v>2018.0</v>
      </c>
      <c r="C997" s="16">
        <v>154.0</v>
      </c>
      <c r="D997" s="16">
        <v>3.254</v>
      </c>
      <c r="E997" s="16">
        <v>0.337</v>
      </c>
      <c r="F997" s="16">
        <v>0.608</v>
      </c>
      <c r="G997" s="16">
        <v>0.177</v>
      </c>
      <c r="H997" s="16">
        <v>0.112</v>
      </c>
      <c r="I997" s="16">
        <v>0.224</v>
      </c>
      <c r="J997" s="16">
        <v>0.106</v>
      </c>
      <c r="K997" s="12"/>
      <c r="L997" s="12"/>
      <c r="M997" s="16">
        <v>69.5427703728699</v>
      </c>
      <c r="N997" s="16">
        <v>83.49</v>
      </c>
      <c r="O997" s="12"/>
      <c r="P997" s="12"/>
      <c r="Q997" s="17" t="s">
        <v>28</v>
      </c>
      <c r="S997" s="14">
        <v>1.3006</v>
      </c>
      <c r="T997" s="14">
        <v>0.804</v>
      </c>
      <c r="U997" s="14">
        <v>0.771</v>
      </c>
    </row>
    <row r="998">
      <c r="A998" s="10" t="s">
        <v>151</v>
      </c>
      <c r="B998" s="11">
        <v>2019.0</v>
      </c>
      <c r="C998" s="11">
        <v>156.0</v>
      </c>
      <c r="D998" s="11">
        <v>2.853</v>
      </c>
      <c r="E998" s="11">
        <v>0.306</v>
      </c>
      <c r="F998" s="11">
        <v>0.575</v>
      </c>
      <c r="G998" s="11">
        <v>0.295</v>
      </c>
      <c r="H998" s="11">
        <v>0.01</v>
      </c>
      <c r="I998" s="11">
        <v>0.202</v>
      </c>
      <c r="J998" s="11">
        <v>0.091</v>
      </c>
      <c r="K998" s="12"/>
      <c r="L998" s="12"/>
      <c r="M998" s="11">
        <v>-1.68278799458641</v>
      </c>
      <c r="N998" s="11">
        <v>51.1870002746582</v>
      </c>
      <c r="O998" s="12"/>
      <c r="P998" s="12"/>
      <c r="Q998" s="13" t="s">
        <v>28</v>
      </c>
      <c r="S998" s="14">
        <v>1.301</v>
      </c>
      <c r="T998" s="14">
        <v>0.804</v>
      </c>
      <c r="U998" s="14">
        <v>0.771</v>
      </c>
    </row>
    <row r="999">
      <c r="A999" s="15" t="s">
        <v>151</v>
      </c>
      <c r="B999" s="16">
        <v>2020.0</v>
      </c>
      <c r="C999" s="16">
        <v>152.0</v>
      </c>
      <c r="D999" s="16">
        <v>2.816600084</v>
      </c>
      <c r="E999" s="16">
        <v>0.289082974</v>
      </c>
      <c r="F999" s="16">
        <v>0.553707123</v>
      </c>
      <c r="G999" s="16">
        <v>51.0</v>
      </c>
      <c r="H999" s="16">
        <v>0.451313615</v>
      </c>
      <c r="I999" s="16">
        <v>0.016518548</v>
      </c>
      <c r="J999" s="16">
        <v>0.763417304</v>
      </c>
      <c r="K999" s="12"/>
      <c r="L999" s="12"/>
      <c r="M999" s="16">
        <v>16.1065113313157</v>
      </c>
      <c r="N999" s="16">
        <v>29.675843553857</v>
      </c>
      <c r="O999" s="12"/>
      <c r="P999" s="12"/>
      <c r="Q999" s="17" t="s">
        <v>28</v>
      </c>
      <c r="S999" s="14">
        <v>1.301</v>
      </c>
      <c r="T999" s="14">
        <v>0.804</v>
      </c>
      <c r="U999" s="14">
        <v>0.772</v>
      </c>
    </row>
    <row r="1000">
      <c r="A1000" s="10" t="s">
        <v>152</v>
      </c>
      <c r="B1000" s="11">
        <v>2015.0</v>
      </c>
      <c r="C1000" s="11">
        <v>36.0</v>
      </c>
      <c r="D1000" s="11">
        <v>6.329</v>
      </c>
      <c r="E1000" s="11">
        <v>1.23011</v>
      </c>
      <c r="F1000" s="11">
        <v>1.31379</v>
      </c>
      <c r="G1000" s="11">
        <v>0.95562</v>
      </c>
      <c r="H1000" s="11">
        <v>0.45951</v>
      </c>
      <c r="I1000" s="11">
        <v>0.18227</v>
      </c>
      <c r="J1000" s="11">
        <v>0.06398</v>
      </c>
      <c r="K1000" s="11">
        <v>-2.10350799560546</v>
      </c>
      <c r="L1000" s="11">
        <v>1.17338097095489</v>
      </c>
      <c r="M1000" s="11">
        <v>0.543942730170217</v>
      </c>
      <c r="N1000" s="11">
        <v>-0.500458300113678</v>
      </c>
      <c r="O1000" s="11">
        <v>0.5160497</v>
      </c>
      <c r="P1000" s="11">
        <v>-1.47783251231528</v>
      </c>
      <c r="Q1000" s="13" t="s">
        <v>26</v>
      </c>
      <c r="S1000" s="14">
        <v>1.30203</v>
      </c>
      <c r="T1000" s="14">
        <v>0.805</v>
      </c>
      <c r="U1000" s="14">
        <v>0.772042692</v>
      </c>
    </row>
    <row r="1001">
      <c r="A1001" s="15" t="s">
        <v>152</v>
      </c>
      <c r="B1001" s="16">
        <v>2016.0</v>
      </c>
      <c r="C1001" s="16">
        <v>37.0</v>
      </c>
      <c r="D1001" s="16">
        <v>6.361</v>
      </c>
      <c r="E1001" s="16">
        <v>1.34253</v>
      </c>
      <c r="F1001" s="16">
        <v>1.12945</v>
      </c>
      <c r="G1001" s="16">
        <v>0.87896</v>
      </c>
      <c r="H1001" s="16">
        <v>0.37545</v>
      </c>
      <c r="I1001" s="16">
        <v>0.17665</v>
      </c>
      <c r="J1001" s="16">
        <v>0.06137</v>
      </c>
      <c r="K1001" s="16">
        <v>-4.23803329467773</v>
      </c>
      <c r="L1001" s="16">
        <v>1.40059411525726</v>
      </c>
      <c r="M1001" s="16">
        <v>0.326999999999998</v>
      </c>
      <c r="N1001" s="16">
        <v>-0.202674865722656</v>
      </c>
      <c r="O1001" s="16">
        <v>0.8428804</v>
      </c>
      <c r="P1001" s="16">
        <v>-2.72499999999978</v>
      </c>
      <c r="Q1001" s="17" t="s">
        <v>26</v>
      </c>
      <c r="S1001" s="14">
        <v>1.303</v>
      </c>
      <c r="T1001" s="14">
        <v>0.806</v>
      </c>
      <c r="U1001" s="14">
        <v>0.773544788</v>
      </c>
    </row>
    <row r="1002">
      <c r="A1002" s="10" t="s">
        <v>152</v>
      </c>
      <c r="B1002" s="11">
        <v>2017.0</v>
      </c>
      <c r="C1002" s="11">
        <v>34.0</v>
      </c>
      <c r="D1002" s="11">
        <v>6.402999878</v>
      </c>
      <c r="E1002" s="11">
        <v>1.384397864</v>
      </c>
      <c r="F1002" s="11">
        <v>1.532090902</v>
      </c>
      <c r="G1002" s="11">
        <v>0.8889606</v>
      </c>
      <c r="H1002" s="11">
        <v>0.40878123</v>
      </c>
      <c r="I1002" s="11">
        <v>0.190133572</v>
      </c>
      <c r="J1002" s="11">
        <v>0.070914097</v>
      </c>
      <c r="K1002" s="11">
        <v>3.93067169189453</v>
      </c>
      <c r="L1002" s="11">
        <v>1.22958374023437</v>
      </c>
      <c r="M1002" s="11">
        <v>1.29576285546263</v>
      </c>
      <c r="N1002" s="11">
        <v>1.956</v>
      </c>
      <c r="O1002" s="11">
        <v>1.129472</v>
      </c>
      <c r="P1002" s="11">
        <v>4.15488734686911</v>
      </c>
      <c r="Q1002" s="13" t="s">
        <v>26</v>
      </c>
      <c r="S1002" s="14">
        <v>1.303</v>
      </c>
      <c r="T1002" s="14">
        <v>0.806500256</v>
      </c>
      <c r="U1002" s="14">
        <v>0.774</v>
      </c>
    </row>
    <row r="1003">
      <c r="A1003" s="15" t="s">
        <v>152</v>
      </c>
      <c r="B1003" s="16">
        <v>2018.0</v>
      </c>
      <c r="C1003" s="16">
        <v>36.0</v>
      </c>
      <c r="D1003" s="16">
        <v>6.31</v>
      </c>
      <c r="E1003" s="16">
        <v>1.251</v>
      </c>
      <c r="F1003" s="16">
        <v>1.538</v>
      </c>
      <c r="G1003" s="16">
        <v>0.965</v>
      </c>
      <c r="H1003" s="16">
        <v>0.449</v>
      </c>
      <c r="I1003" s="16">
        <v>0.142</v>
      </c>
      <c r="J1003" s="16">
        <v>0.074</v>
      </c>
      <c r="K1003" s="16">
        <v>2.3656039237976</v>
      </c>
      <c r="L1003" s="16">
        <v>1.64732444286346</v>
      </c>
      <c r="M1003" s="16">
        <v>1.18866049376641</v>
      </c>
      <c r="N1003" s="16">
        <v>1.68</v>
      </c>
      <c r="O1003" s="16">
        <v>0.9260341</v>
      </c>
      <c r="P1003" s="16">
        <v>2.40993584471154</v>
      </c>
      <c r="Q1003" s="17" t="s">
        <v>26</v>
      </c>
      <c r="S1003" s="14">
        <v>1.30477</v>
      </c>
      <c r="T1003" s="14">
        <v>0.807</v>
      </c>
      <c r="U1003" s="14">
        <v>0.774</v>
      </c>
    </row>
    <row r="1004">
      <c r="A1004" s="10" t="s">
        <v>152</v>
      </c>
      <c r="B1004" s="11">
        <v>2019.0</v>
      </c>
      <c r="C1004" s="11">
        <v>30.0</v>
      </c>
      <c r="D1004" s="11">
        <v>6.354</v>
      </c>
      <c r="E1004" s="11">
        <v>1.286</v>
      </c>
      <c r="F1004" s="11">
        <v>1.484</v>
      </c>
      <c r="G1004" s="11">
        <v>1.062</v>
      </c>
      <c r="H1004" s="11">
        <v>0.362</v>
      </c>
      <c r="I1004" s="11">
        <v>0.153</v>
      </c>
      <c r="J1004" s="11">
        <v>0.079</v>
      </c>
      <c r="K1004" s="11">
        <v>-1.23779797554016</v>
      </c>
      <c r="L1004" s="11">
        <v>1.03428494930267</v>
      </c>
      <c r="M1004" s="11">
        <v>1.38571498030827</v>
      </c>
      <c r="N1004" s="11">
        <v>0.699999988079071</v>
      </c>
      <c r="O1004" s="11">
        <v>0.9561687</v>
      </c>
      <c r="P1004" s="11">
        <v>-0.305196369769946</v>
      </c>
      <c r="Q1004" s="13" t="s">
        <v>26</v>
      </c>
      <c r="S1004" s="14">
        <v>1.30923</v>
      </c>
      <c r="T1004" s="14">
        <v>0.808</v>
      </c>
      <c r="U1004" s="14">
        <v>0.775</v>
      </c>
    </row>
    <row r="1005">
      <c r="A1005" s="15" t="s">
        <v>152</v>
      </c>
      <c r="B1005" s="16">
        <v>2020.0</v>
      </c>
      <c r="C1005" s="16">
        <v>28.0</v>
      </c>
      <c r="D1005" s="16">
        <v>6.400899887</v>
      </c>
      <c r="E1005" s="16">
        <v>1.230535269</v>
      </c>
      <c r="F1005" s="16">
        <v>0.921125412</v>
      </c>
      <c r="G1005" s="16">
        <v>74.40270996</v>
      </c>
      <c r="H1005" s="16">
        <v>0.751989543</v>
      </c>
      <c r="I1005" s="16">
        <v>-0.050961714</v>
      </c>
      <c r="J1005" s="16">
        <v>0.765859902</v>
      </c>
      <c r="K1005" s="16">
        <v>-3.54274492967936</v>
      </c>
      <c r="L1005" s="16">
        <v>2.35504007339477</v>
      </c>
      <c r="M1005" s="16">
        <v>1.05313638979474</v>
      </c>
      <c r="N1005" s="16">
        <v>-0.322671032811197</v>
      </c>
      <c r="O1005" s="16">
        <v>0.5682508</v>
      </c>
      <c r="P1005" s="16">
        <v>-3.55272697977952</v>
      </c>
      <c r="Q1005" s="17" t="s">
        <v>26</v>
      </c>
      <c r="S1005" s="14">
        <v>1.31</v>
      </c>
      <c r="T1005" s="14">
        <v>0.809</v>
      </c>
      <c r="U1005" s="14">
        <v>0.775</v>
      </c>
    </row>
    <row r="1006">
      <c r="A1006" s="10" t="s">
        <v>152</v>
      </c>
      <c r="B1006" s="11">
        <v>2021.0</v>
      </c>
      <c r="C1006" s="11">
        <v>27.0</v>
      </c>
      <c r="D1006" s="11">
        <v>6.491</v>
      </c>
      <c r="E1006" s="11">
        <v>10.571</v>
      </c>
      <c r="F1006" s="11">
        <v>0.932</v>
      </c>
      <c r="G1006" s="11">
        <v>74.7</v>
      </c>
      <c r="H1006" s="11">
        <v>0.761</v>
      </c>
      <c r="I1006" s="11">
        <v>-0.081</v>
      </c>
      <c r="J1006" s="11">
        <v>0.745</v>
      </c>
      <c r="K1006" s="11">
        <v>21.23588</v>
      </c>
      <c r="L1006" s="11">
        <v>1.847</v>
      </c>
      <c r="M1006" s="11">
        <v>2.30097428940912</v>
      </c>
      <c r="N1006" s="11">
        <v>3.093135</v>
      </c>
      <c r="O1006" s="11">
        <v>0.570739</v>
      </c>
      <c r="P1006" s="11">
        <v>14.8262612763122</v>
      </c>
      <c r="Q1006" s="13" t="s">
        <v>26</v>
      </c>
      <c r="S1006" s="14">
        <v>1.312</v>
      </c>
      <c r="T1006" s="14">
        <v>0.809961379</v>
      </c>
      <c r="U1006" s="14">
        <v>0.776</v>
      </c>
    </row>
    <row r="1007">
      <c r="A1007" s="15" t="s">
        <v>152</v>
      </c>
      <c r="B1007" s="16">
        <v>2022.0</v>
      </c>
      <c r="C1007" s="16">
        <v>29.0</v>
      </c>
      <c r="D1007" s="16">
        <v>6.476</v>
      </c>
      <c r="E1007" s="16">
        <v>1.808</v>
      </c>
      <c r="F1007" s="16">
        <v>1.211</v>
      </c>
      <c r="G1007" s="16">
        <v>0.808</v>
      </c>
      <c r="H1007" s="16">
        <v>0.505</v>
      </c>
      <c r="I1007" s="16">
        <v>0.101</v>
      </c>
      <c r="J1007" s="16">
        <v>0.149</v>
      </c>
      <c r="K1007" s="16">
        <v>29.4164652045083</v>
      </c>
      <c r="L1007" s="16">
        <v>11.63969</v>
      </c>
      <c r="M1007" s="16">
        <v>4.21155862311718</v>
      </c>
      <c r="N1007" s="16">
        <v>8.390576</v>
      </c>
      <c r="O1007" s="16">
        <v>3.69075</v>
      </c>
      <c r="P1007" s="16">
        <v>34.6169346349521</v>
      </c>
      <c r="Q1007" s="17" t="s">
        <v>26</v>
      </c>
      <c r="S1007" s="14">
        <v>1.312</v>
      </c>
      <c r="T1007" s="14">
        <v>0.811601937</v>
      </c>
      <c r="U1007" s="14">
        <v>0.777930915</v>
      </c>
    </row>
    <row r="1008">
      <c r="A1008" s="10" t="s">
        <v>152</v>
      </c>
      <c r="B1008" s="11">
        <v>2023.0</v>
      </c>
      <c r="C1008" s="11">
        <v>32.0</v>
      </c>
      <c r="D1008" s="11">
        <v>6.436</v>
      </c>
      <c r="E1008" s="11">
        <v>10.54</v>
      </c>
      <c r="F1008" s="11">
        <v>0.932</v>
      </c>
      <c r="G1008" s="11">
        <v>72.35</v>
      </c>
      <c r="H1008" s="11">
        <v>0.782</v>
      </c>
      <c r="I1008" s="11">
        <v>-0.066</v>
      </c>
      <c r="J1008" s="11">
        <v>0.711</v>
      </c>
      <c r="K1008" s="11">
        <v>-15.7845627591142</v>
      </c>
      <c r="L1008" s="11">
        <v>11.6619309150841</v>
      </c>
      <c r="M1008" s="11">
        <v>5.95955349590973</v>
      </c>
      <c r="N1008" s="11">
        <v>3.53236133492433</v>
      </c>
      <c r="O1008" s="11">
        <v>4.408542</v>
      </c>
      <c r="P1008" s="11">
        <v>-3.14761824608607</v>
      </c>
      <c r="Q1008" s="13" t="s">
        <v>26</v>
      </c>
      <c r="S1008" s="14">
        <v>1.313</v>
      </c>
      <c r="T1008" s="14">
        <v>0.813</v>
      </c>
      <c r="U1008" s="14">
        <v>0.780622602</v>
      </c>
    </row>
    <row r="1009">
      <c r="A1009" s="15" t="s">
        <v>153</v>
      </c>
      <c r="B1009" s="16">
        <v>2015.0</v>
      </c>
      <c r="C1009" s="16">
        <v>132.0</v>
      </c>
      <c r="D1009" s="16">
        <v>4.271</v>
      </c>
      <c r="E1009" s="16">
        <v>0.83524</v>
      </c>
      <c r="F1009" s="16">
        <v>1.01905</v>
      </c>
      <c r="G1009" s="16">
        <v>0.70806</v>
      </c>
      <c r="H1009" s="16">
        <v>0.53726</v>
      </c>
      <c r="I1009" s="16">
        <v>0.40828</v>
      </c>
      <c r="J1009" s="16">
        <v>0.09179</v>
      </c>
      <c r="K1009" s="16">
        <v>4.17999982833862</v>
      </c>
      <c r="L1009" s="16">
        <v>5.23999977111816</v>
      </c>
      <c r="M1009" s="16">
        <v>0.648586780275333</v>
      </c>
      <c r="N1009" s="16">
        <v>3.75257015228271</v>
      </c>
      <c r="O1009" s="16">
        <v>0.76757871</v>
      </c>
      <c r="P1009" s="16">
        <v>3.60072135925292</v>
      </c>
      <c r="Q1009" s="17" t="s">
        <v>24</v>
      </c>
      <c r="S1009" s="14">
        <v>1.313</v>
      </c>
      <c r="T1009" s="14">
        <v>0.813582063</v>
      </c>
      <c r="U1009" s="14">
        <v>0.78085506</v>
      </c>
    </row>
    <row r="1010">
      <c r="A1010" s="10" t="s">
        <v>153</v>
      </c>
      <c r="B1010" s="11">
        <v>2016.0</v>
      </c>
      <c r="C1010" s="11">
        <v>117.0</v>
      </c>
      <c r="D1010" s="11">
        <v>4.415</v>
      </c>
      <c r="E1010" s="11">
        <v>0.97318</v>
      </c>
      <c r="F1010" s="11">
        <v>0.84783</v>
      </c>
      <c r="G1010" s="11">
        <v>0.62007</v>
      </c>
      <c r="H1010" s="11">
        <v>0.50817</v>
      </c>
      <c r="I1010" s="11">
        <v>0.46978</v>
      </c>
      <c r="J1010" s="11">
        <v>0.07964</v>
      </c>
      <c r="K1010" s="11">
        <v>0.11999999731779</v>
      </c>
      <c r="L1010" s="11">
        <v>3.06999993324279</v>
      </c>
      <c r="M1010" s="11">
        <v>4.84332059260194</v>
      </c>
      <c r="N1010" s="11">
        <v>3.9747188091278</v>
      </c>
      <c r="O1010" s="11">
        <v>1.81840871</v>
      </c>
      <c r="P1010" s="11">
        <v>1.71008133888244</v>
      </c>
      <c r="Q1010" s="13" t="s">
        <v>24</v>
      </c>
      <c r="S1010" s="14">
        <v>1.31379</v>
      </c>
      <c r="T1010" s="14">
        <v>0.814</v>
      </c>
      <c r="U1010" s="14">
        <v>0.781</v>
      </c>
    </row>
    <row r="1011">
      <c r="A1011" s="15" t="s">
        <v>153</v>
      </c>
      <c r="B1011" s="16">
        <v>2017.0</v>
      </c>
      <c r="C1011" s="16">
        <v>120.0</v>
      </c>
      <c r="D1011" s="16">
        <v>4.440000057</v>
      </c>
      <c r="E1011" s="16">
        <v>1.009850144</v>
      </c>
      <c r="F1011" s="16">
        <v>1.259976387</v>
      </c>
      <c r="G1011" s="16">
        <v>0.625130832</v>
      </c>
      <c r="H1011" s="16">
        <v>0.561213255</v>
      </c>
      <c r="I1011" s="16">
        <v>0.490863562</v>
      </c>
      <c r="J1011" s="16">
        <v>0.073653966</v>
      </c>
      <c r="K1011" s="16">
        <v>0.860000014305114</v>
      </c>
      <c r="L1011" s="16">
        <v>11.3400001525878</v>
      </c>
      <c r="M1011" s="16">
        <v>7.26568796559231</v>
      </c>
      <c r="N1011" s="16">
        <v>6.581</v>
      </c>
      <c r="O1011" s="16">
        <v>3.10578047</v>
      </c>
      <c r="P1011" s="16">
        <v>17.0000743865966</v>
      </c>
      <c r="Q1011" s="17" t="s">
        <v>24</v>
      </c>
      <c r="S1011" s="14">
        <v>1.314</v>
      </c>
      <c r="T1011" s="14">
        <v>0.818</v>
      </c>
      <c r="U1011" s="14">
        <v>0.783</v>
      </c>
    </row>
    <row r="1012">
      <c r="A1012" s="10" t="s">
        <v>153</v>
      </c>
      <c r="B1012" s="11">
        <v>2018.0</v>
      </c>
      <c r="C1012" s="11">
        <v>116.0</v>
      </c>
      <c r="D1012" s="11">
        <v>4.471</v>
      </c>
      <c r="E1012" s="11">
        <v>0.918</v>
      </c>
      <c r="F1012" s="11">
        <v>1.314</v>
      </c>
      <c r="G1012" s="11">
        <v>0.672</v>
      </c>
      <c r="H1012" s="11">
        <v>0.585</v>
      </c>
      <c r="I1012" s="11">
        <v>0.307</v>
      </c>
      <c r="J1012" s="11">
        <v>0.05</v>
      </c>
      <c r="K1012" s="11">
        <v>1.28103983402252</v>
      </c>
      <c r="L1012" s="11">
        <v>-0.223023548722267</v>
      </c>
      <c r="M1012" s="11">
        <v>3.82705906310784</v>
      </c>
      <c r="N1012" s="11">
        <v>2.14</v>
      </c>
      <c r="O1012" s="11">
        <v>3.37924259</v>
      </c>
      <c r="P1012" s="11">
        <v>6.34688091278076</v>
      </c>
      <c r="Q1012" s="13" t="s">
        <v>24</v>
      </c>
      <c r="S1012" s="14">
        <v>1.31826</v>
      </c>
      <c r="T1012" s="14">
        <v>0.818537354</v>
      </c>
      <c r="U1012" s="14">
        <v>0.783121586</v>
      </c>
    </row>
    <row r="1013">
      <c r="A1013" s="15" t="s">
        <v>153</v>
      </c>
      <c r="B1013" s="16">
        <v>2019.0</v>
      </c>
      <c r="C1013" s="16">
        <v>130.0</v>
      </c>
      <c r="D1013" s="16">
        <v>4.366</v>
      </c>
      <c r="E1013" s="16">
        <v>0.949</v>
      </c>
      <c r="F1013" s="16">
        <v>1.265</v>
      </c>
      <c r="G1013" s="16">
        <v>0.831</v>
      </c>
      <c r="H1013" s="16">
        <v>0.47</v>
      </c>
      <c r="I1013" s="16">
        <v>0.244</v>
      </c>
      <c r="J1013" s="16">
        <v>0.047</v>
      </c>
      <c r="K1013" s="16">
        <v>8.0082426071167</v>
      </c>
      <c r="L1013" s="16">
        <v>0.663993179798126</v>
      </c>
      <c r="M1013" s="16">
        <v>2.73507510635276</v>
      </c>
      <c r="N1013" s="16">
        <v>4.30299997329711</v>
      </c>
      <c r="O1013" s="16">
        <v>3.68224008</v>
      </c>
      <c r="P1013" s="16">
        <v>2.92775177955627</v>
      </c>
      <c r="Q1013" s="17" t="s">
        <v>24</v>
      </c>
      <c r="S1013" s="14">
        <v>1.319</v>
      </c>
      <c r="T1013" s="14">
        <v>0.819</v>
      </c>
      <c r="U1013" s="14">
        <v>0.783237457</v>
      </c>
    </row>
    <row r="1014">
      <c r="A1014" s="10" t="s">
        <v>153</v>
      </c>
      <c r="B1014" s="11">
        <v>2020.0</v>
      </c>
      <c r="C1014" s="11">
        <v>130.0</v>
      </c>
      <c r="D1014" s="11">
        <v>4.327000141</v>
      </c>
      <c r="E1014" s="11">
        <v>0.897986948</v>
      </c>
      <c r="F1014" s="11">
        <v>0.825374067</v>
      </c>
      <c r="G1014" s="11">
        <v>67.20006561</v>
      </c>
      <c r="H1014" s="11">
        <v>0.837633669</v>
      </c>
      <c r="I1014" s="11">
        <v>0.081129618</v>
      </c>
      <c r="J1014" s="11">
        <v>0.859001756</v>
      </c>
      <c r="K1014" s="11">
        <v>0.822368421052624</v>
      </c>
      <c r="L1014" s="11">
        <v>12.1799898147583</v>
      </c>
      <c r="M1014" s="11">
        <v>3.42525723991284</v>
      </c>
      <c r="N1014" s="11">
        <v>6.15394508391745</v>
      </c>
      <c r="O1014" s="11">
        <v>4.14503633895058</v>
      </c>
      <c r="P1014" s="11">
        <v>5.72539281845092</v>
      </c>
      <c r="Q1014" s="13" t="s">
        <v>24</v>
      </c>
      <c r="S1014" s="14">
        <v>1.319</v>
      </c>
      <c r="T1014" s="14">
        <v>0.821328104</v>
      </c>
      <c r="U1014" s="14">
        <v>0.786</v>
      </c>
    </row>
    <row r="1015">
      <c r="A1015" s="15" t="s">
        <v>153</v>
      </c>
      <c r="B1015" s="16">
        <v>2021.0</v>
      </c>
      <c r="C1015" s="16">
        <v>129.0</v>
      </c>
      <c r="D1015" s="16">
        <v>4.325</v>
      </c>
      <c r="E1015" s="16">
        <v>9.47</v>
      </c>
      <c r="F1015" s="16">
        <v>0.827</v>
      </c>
      <c r="G1015" s="16">
        <v>67.299</v>
      </c>
      <c r="H1015" s="16">
        <v>0.841</v>
      </c>
      <c r="I1015" s="16">
        <v>0.079</v>
      </c>
      <c r="J1015" s="16">
        <v>0.863</v>
      </c>
      <c r="K1015" s="16">
        <v>1.12</v>
      </c>
      <c r="L1015" s="16">
        <v>11.2</v>
      </c>
      <c r="M1015" s="16">
        <v>8.057160082596</v>
      </c>
      <c r="N1015" s="16">
        <v>7.01478071238188</v>
      </c>
      <c r="O1015" s="16">
        <v>5.49079754601227</v>
      </c>
      <c r="P1015" s="16">
        <v>10.8762232016135</v>
      </c>
      <c r="Q1015" s="17" t="s">
        <v>24</v>
      </c>
      <c r="S1015" s="14">
        <v>1.31967</v>
      </c>
      <c r="T1015" s="14">
        <v>0.82153976</v>
      </c>
      <c r="U1015" s="14">
        <v>0.786332428</v>
      </c>
    </row>
    <row r="1016">
      <c r="A1016" s="10" t="s">
        <v>153</v>
      </c>
      <c r="B1016" s="11">
        <v>2022.0</v>
      </c>
      <c r="C1016" s="11">
        <v>127.0</v>
      </c>
      <c r="D1016" s="11">
        <v>4.362</v>
      </c>
      <c r="E1016" s="11">
        <v>1.415</v>
      </c>
      <c r="F1016" s="11">
        <v>0.934</v>
      </c>
      <c r="G1016" s="11">
        <v>0.66</v>
      </c>
      <c r="H1016" s="11">
        <v>0.529</v>
      </c>
      <c r="I1016" s="11">
        <v>0.15</v>
      </c>
      <c r="J1016" s="11">
        <v>0.079</v>
      </c>
      <c r="K1016" s="11">
        <v>17.4567962422819</v>
      </c>
      <c r="L1016" s="11">
        <v>60.2187302195318</v>
      </c>
      <c r="M1016" s="11">
        <v>16.8341708542713</v>
      </c>
      <c r="N1016" s="11">
        <v>44.9488505935577</v>
      </c>
      <c r="O1016" s="11">
        <v>42.0471067170689</v>
      </c>
      <c r="P1016" s="11">
        <v>73.2997355805145</v>
      </c>
      <c r="Q1016" s="13" t="s">
        <v>24</v>
      </c>
      <c r="S1016" s="14">
        <v>1.32</v>
      </c>
      <c r="T1016" s="14">
        <v>0.822</v>
      </c>
      <c r="U1016" s="14">
        <v>0.787</v>
      </c>
    </row>
    <row r="1017">
      <c r="A1017" s="15" t="s">
        <v>153</v>
      </c>
      <c r="B1017" s="16">
        <v>2023.0</v>
      </c>
      <c r="C1017" s="16">
        <v>112.0</v>
      </c>
      <c r="D1017" s="16">
        <v>4.442</v>
      </c>
      <c r="E1017" s="16">
        <v>9.491</v>
      </c>
      <c r="F1017" s="16">
        <v>0.826</v>
      </c>
      <c r="G1017" s="16">
        <v>67.15</v>
      </c>
      <c r="H1017" s="16">
        <v>0.787</v>
      </c>
      <c r="I1017" s="16">
        <v>-0.03</v>
      </c>
      <c r="J1017" s="16">
        <v>0.808</v>
      </c>
      <c r="K1017" s="16">
        <v>23.3060022682853</v>
      </c>
      <c r="L1017" s="16">
        <v>10.6938643091771</v>
      </c>
      <c r="M1017" s="16">
        <v>18.5742839507709</v>
      </c>
      <c r="N1017" s="16">
        <v>16.5411742279832</v>
      </c>
      <c r="O1017" s="16">
        <v>15.8495394063459</v>
      </c>
      <c r="P1017" s="16">
        <v>18.0648466676622</v>
      </c>
      <c r="Q1017" s="17" t="s">
        <v>24</v>
      </c>
      <c r="S1017" s="14">
        <v>1.321</v>
      </c>
      <c r="T1017" s="14">
        <v>0.822</v>
      </c>
      <c r="U1017" s="14">
        <v>0.787</v>
      </c>
    </row>
    <row r="1018">
      <c r="A1018" s="10" t="s">
        <v>154</v>
      </c>
      <c r="B1018" s="11">
        <v>2015.0</v>
      </c>
      <c r="C1018" s="11">
        <v>118.0</v>
      </c>
      <c r="D1018" s="11">
        <v>4.55</v>
      </c>
      <c r="E1018" s="11">
        <v>0.52107</v>
      </c>
      <c r="F1018" s="11">
        <v>1.01404</v>
      </c>
      <c r="G1018" s="11">
        <v>0.36878</v>
      </c>
      <c r="H1018" s="11">
        <v>0.10081</v>
      </c>
      <c r="I1018" s="11">
        <v>0.19062</v>
      </c>
      <c r="J1018" s="11">
        <v>0.1466</v>
      </c>
      <c r="K1018" s="11">
        <v>13.1521263122558</v>
      </c>
      <c r="L1018" s="11">
        <v>11.6512985229492</v>
      </c>
      <c r="M1018" s="11">
        <v>12.7506520458815</v>
      </c>
      <c r="N1018" s="11">
        <v>16.9099998474121</v>
      </c>
      <c r="O1018" s="11">
        <v>20.51939533</v>
      </c>
      <c r="P1018" s="12"/>
      <c r="Q1018" s="13" t="s">
        <v>28</v>
      </c>
      <c r="S1018" s="14">
        <v>1.32261</v>
      </c>
      <c r="T1018" s="14">
        <v>0.822</v>
      </c>
      <c r="U1018" s="14">
        <v>0.787</v>
      </c>
    </row>
    <row r="1019">
      <c r="A1019" s="15" t="s">
        <v>154</v>
      </c>
      <c r="B1019" s="16">
        <v>2016.0</v>
      </c>
      <c r="C1019" s="16">
        <v>133.0</v>
      </c>
      <c r="D1019" s="16">
        <v>4.139</v>
      </c>
      <c r="E1019" s="16">
        <v>0.63069</v>
      </c>
      <c r="F1019" s="16">
        <v>0.81928</v>
      </c>
      <c r="G1019" s="16">
        <v>0.29759</v>
      </c>
      <c r="H1019" s="16">
        <v>0.0</v>
      </c>
      <c r="I1019" s="16">
        <v>0.18077</v>
      </c>
      <c r="J1019" s="16">
        <v>0.10039</v>
      </c>
      <c r="K1019" s="16">
        <v>16.6938304901123</v>
      </c>
      <c r="L1019" s="16">
        <v>13.6539957357934</v>
      </c>
      <c r="M1019" s="16">
        <v>41.9897106802475</v>
      </c>
      <c r="N1019" s="16">
        <v>17.75</v>
      </c>
      <c r="O1019" s="16">
        <v>22.67944716</v>
      </c>
      <c r="P1019" s="12"/>
      <c r="Q1019" s="17" t="s">
        <v>28</v>
      </c>
      <c r="S1019" s="14">
        <v>1.323</v>
      </c>
      <c r="T1019" s="14">
        <v>0.822</v>
      </c>
      <c r="U1019" s="14">
        <v>0.789</v>
      </c>
    </row>
    <row r="1020">
      <c r="A1020" s="10" t="s">
        <v>154</v>
      </c>
      <c r="B1020" s="11">
        <v>2017.0</v>
      </c>
      <c r="C1020" s="11">
        <v>130.0</v>
      </c>
      <c r="D1020" s="11">
        <v>4.138999939</v>
      </c>
      <c r="E1020" s="11">
        <v>0.659516692</v>
      </c>
      <c r="F1020" s="11">
        <v>1.21400857</v>
      </c>
      <c r="G1020" s="11">
        <v>0.290920824</v>
      </c>
      <c r="H1020" s="11">
        <v>0.014995855</v>
      </c>
      <c r="I1020" s="11">
        <v>0.182317451</v>
      </c>
      <c r="J1020" s="11">
        <v>0.08984752</v>
      </c>
      <c r="K1020" s="11">
        <v>15.4791822433471</v>
      </c>
      <c r="L1020" s="11">
        <v>34.9221738073635</v>
      </c>
      <c r="M1020" s="11">
        <v>15.7207547830859</v>
      </c>
      <c r="N1020" s="11">
        <v>32.352</v>
      </c>
      <c r="O1020" s="11">
        <v>30.96879915</v>
      </c>
      <c r="P1020" s="12"/>
      <c r="Q1020" s="13" t="s">
        <v>28</v>
      </c>
      <c r="S1020" s="14">
        <v>1.323110461</v>
      </c>
      <c r="T1020" s="14">
        <v>0.823</v>
      </c>
      <c r="U1020" s="14">
        <v>0.789</v>
      </c>
    </row>
    <row r="1021">
      <c r="A1021" s="15" t="s">
        <v>154</v>
      </c>
      <c r="B1021" s="16">
        <v>2018.0</v>
      </c>
      <c r="C1021" s="16">
        <v>137.0</v>
      </c>
      <c r="D1021" s="16">
        <v>4.139</v>
      </c>
      <c r="E1021" s="16">
        <v>0.605</v>
      </c>
      <c r="F1021" s="16">
        <v>1.24</v>
      </c>
      <c r="G1021" s="16">
        <v>0.312</v>
      </c>
      <c r="H1021" s="16">
        <v>0.016</v>
      </c>
      <c r="I1021" s="16">
        <v>0.134</v>
      </c>
      <c r="J1021" s="16">
        <v>0.082</v>
      </c>
      <c r="K1021" s="16">
        <v>21.1017684936523</v>
      </c>
      <c r="L1021" s="16">
        <v>2.45817496317183</v>
      </c>
      <c r="M1021" s="16">
        <v>61.7596895704345</v>
      </c>
      <c r="N1021" s="16">
        <v>63.29</v>
      </c>
      <c r="O1021" s="16">
        <v>58.85186307</v>
      </c>
      <c r="P1021" s="12"/>
      <c r="Q1021" s="17" t="s">
        <v>28</v>
      </c>
      <c r="S1021" s="14">
        <v>1.325</v>
      </c>
      <c r="T1021" s="14">
        <v>0.824</v>
      </c>
      <c r="U1021" s="14">
        <v>0.793</v>
      </c>
    </row>
    <row r="1022">
      <c r="A1022" s="10" t="s">
        <v>155</v>
      </c>
      <c r="B1022" s="11">
        <v>2015.0</v>
      </c>
      <c r="C1022" s="11">
        <v>40.0</v>
      </c>
      <c r="D1022" s="11">
        <v>6.269</v>
      </c>
      <c r="E1022" s="11">
        <v>0.99534</v>
      </c>
      <c r="F1022" s="11">
        <v>0.972</v>
      </c>
      <c r="G1022" s="11">
        <v>0.6082</v>
      </c>
      <c r="H1022" s="11">
        <v>0.59657</v>
      </c>
      <c r="I1022" s="11">
        <v>0.16991</v>
      </c>
      <c r="J1022" s="11">
        <v>0.13633</v>
      </c>
      <c r="K1022" s="11">
        <v>-1.01417350769042</v>
      </c>
      <c r="L1022" s="12"/>
      <c r="M1022" s="11">
        <v>-2.07641440984409</v>
      </c>
      <c r="N1022" s="11">
        <v>6.89599990844726</v>
      </c>
      <c r="O1022" s="12"/>
      <c r="P1022" s="12"/>
      <c r="Q1022" s="13" t="s">
        <v>32</v>
      </c>
      <c r="S1022" s="14">
        <v>1.328</v>
      </c>
      <c r="T1022" s="14">
        <v>0.824766099</v>
      </c>
      <c r="U1022" s="14">
        <v>0.795580089</v>
      </c>
    </row>
    <row r="1023">
      <c r="A1023" s="15" t="s">
        <v>155</v>
      </c>
      <c r="B1023" s="16">
        <v>2016.0</v>
      </c>
      <c r="C1023" s="16">
        <v>40.0</v>
      </c>
      <c r="D1023" s="16">
        <v>6.269</v>
      </c>
      <c r="E1023" s="16">
        <v>1.09686</v>
      </c>
      <c r="F1023" s="16">
        <v>0.77866</v>
      </c>
      <c r="G1023" s="16">
        <v>0.50933</v>
      </c>
      <c r="H1023" s="16">
        <v>0.52234</v>
      </c>
      <c r="I1023" s="16">
        <v>0.16665</v>
      </c>
      <c r="J1023" s="16">
        <v>0.12692</v>
      </c>
      <c r="K1023" s="16">
        <v>-1.41092526912689</v>
      </c>
      <c r="L1023" s="16">
        <v>55.9539413452148</v>
      </c>
      <c r="M1023" s="16">
        <v>26.1633825894712</v>
      </c>
      <c r="N1023" s="16">
        <v>55.5009994506836</v>
      </c>
      <c r="O1023" s="12"/>
      <c r="P1023" s="12"/>
      <c r="Q1023" s="17" t="s">
        <v>32</v>
      </c>
      <c r="S1023" s="14">
        <v>1.33</v>
      </c>
      <c r="T1023" s="14">
        <v>0.825</v>
      </c>
      <c r="U1023" s="14">
        <v>0.796</v>
      </c>
    </row>
    <row r="1024">
      <c r="A1024" s="10" t="s">
        <v>156</v>
      </c>
      <c r="B1024" s="11">
        <v>2015.0</v>
      </c>
      <c r="C1024" s="11">
        <v>101.0</v>
      </c>
      <c r="D1024" s="11">
        <v>4.867</v>
      </c>
      <c r="E1024" s="11">
        <v>0.71206</v>
      </c>
      <c r="F1024" s="11">
        <v>1.07284</v>
      </c>
      <c r="G1024" s="11">
        <v>0.07566</v>
      </c>
      <c r="H1024" s="11">
        <v>0.30658</v>
      </c>
      <c r="I1024" s="11">
        <v>0.18259</v>
      </c>
      <c r="J1024" s="11">
        <v>0.0306</v>
      </c>
      <c r="K1024" s="11">
        <v>-1.92999994754791</v>
      </c>
      <c r="L1024" s="11">
        <v>4.15000009536743</v>
      </c>
      <c r="M1024" s="11">
        <v>5.57072769896318</v>
      </c>
      <c r="N1024" s="11">
        <v>4.95200014114379</v>
      </c>
      <c r="O1024" s="12"/>
      <c r="P1024" s="12"/>
      <c r="Q1024" s="13" t="s">
        <v>28</v>
      </c>
      <c r="S1024" s="14">
        <v>1.33095</v>
      </c>
      <c r="T1024" s="14">
        <v>0.825</v>
      </c>
      <c r="U1024" s="14">
        <v>0.79642123</v>
      </c>
    </row>
    <row r="1025">
      <c r="A1025" s="15" t="s">
        <v>156</v>
      </c>
      <c r="B1025" s="16">
        <v>2019.0</v>
      </c>
      <c r="C1025" s="16">
        <v>135.0</v>
      </c>
      <c r="D1025" s="16">
        <v>4.212</v>
      </c>
      <c r="E1025" s="16">
        <v>0.811</v>
      </c>
      <c r="F1025" s="16">
        <v>1.149</v>
      </c>
      <c r="G1025" s="16">
        <v>0.0</v>
      </c>
      <c r="H1025" s="16">
        <v>0.313</v>
      </c>
      <c r="I1025" s="16">
        <v>0.074</v>
      </c>
      <c r="J1025" s="16">
        <v>0.135</v>
      </c>
      <c r="K1025" s="16">
        <v>6.11323870304363</v>
      </c>
      <c r="L1025" s="16">
        <v>2.14970553576796</v>
      </c>
      <c r="M1025" s="16">
        <v>2.30823791670888</v>
      </c>
      <c r="N1025" s="16">
        <v>2.58400011062622</v>
      </c>
      <c r="O1025" s="12"/>
      <c r="P1025" s="12"/>
      <c r="Q1025" s="17" t="s">
        <v>28</v>
      </c>
      <c r="S1025" s="14">
        <v>1.331</v>
      </c>
      <c r="T1025" s="14">
        <v>0.825467646</v>
      </c>
      <c r="U1025" s="14">
        <v>0.799</v>
      </c>
    </row>
    <row r="1026">
      <c r="A1026" s="10" t="s">
        <v>156</v>
      </c>
      <c r="B1026" s="11">
        <v>2020.0</v>
      </c>
      <c r="C1026" s="11">
        <v>132.0</v>
      </c>
      <c r="D1026" s="11">
        <v>4.308100224</v>
      </c>
      <c r="E1026" s="11">
        <v>0.827539742</v>
      </c>
      <c r="F1026" s="11">
        <v>0.770290196</v>
      </c>
      <c r="G1026" s="11">
        <v>51.18823624</v>
      </c>
      <c r="H1026" s="11">
        <v>0.646822274</v>
      </c>
      <c r="I1026" s="11">
        <v>-0.19920142</v>
      </c>
      <c r="J1026" s="11">
        <v>0.708263338</v>
      </c>
      <c r="K1026" s="11">
        <v>14.7002331707205</v>
      </c>
      <c r="L1026" s="12"/>
      <c r="M1026" s="11">
        <v>4.10691176082191</v>
      </c>
      <c r="N1026" s="11">
        <v>4.11499977111816</v>
      </c>
      <c r="O1026" s="12"/>
      <c r="P1026" s="12"/>
      <c r="Q1026" s="13" t="s">
        <v>28</v>
      </c>
      <c r="S1026" s="14">
        <v>1.331</v>
      </c>
      <c r="T1026" s="14">
        <v>0.826457024</v>
      </c>
      <c r="U1026" s="14">
        <v>0.8</v>
      </c>
    </row>
    <row r="1027">
      <c r="A1027" s="15" t="s">
        <v>156</v>
      </c>
      <c r="B1027" s="16">
        <v>2021.0</v>
      </c>
      <c r="C1027" s="16">
        <v>130.0</v>
      </c>
      <c r="D1027" s="16">
        <v>4.308</v>
      </c>
      <c r="E1027" s="16">
        <v>9.065</v>
      </c>
      <c r="F1027" s="16">
        <v>0.77</v>
      </c>
      <c r="G1027" s="16">
        <v>50.833</v>
      </c>
      <c r="H1027" s="16">
        <v>0.647</v>
      </c>
      <c r="I1027" s="16">
        <v>-0.185</v>
      </c>
      <c r="J1027" s="16">
        <v>0.708</v>
      </c>
      <c r="K1027" s="12"/>
      <c r="L1027" s="12"/>
      <c r="M1027" s="16">
        <v>-0.899357001072054</v>
      </c>
      <c r="N1027" s="16">
        <v>3.719</v>
      </c>
      <c r="O1027" s="12"/>
      <c r="P1027" s="12"/>
      <c r="Q1027" s="17" t="s">
        <v>28</v>
      </c>
      <c r="S1027" s="14">
        <v>1.335</v>
      </c>
      <c r="T1027" s="14">
        <v>0.828</v>
      </c>
      <c r="U1027" s="14">
        <v>0.801</v>
      </c>
    </row>
    <row r="1028">
      <c r="A1028" s="10" t="s">
        <v>157</v>
      </c>
      <c r="B1028" s="11">
        <v>2015.0</v>
      </c>
      <c r="C1028" s="11">
        <v>8.0</v>
      </c>
      <c r="D1028" s="11">
        <v>7.364</v>
      </c>
      <c r="E1028" s="11">
        <v>1.33171</v>
      </c>
      <c r="F1028" s="11">
        <v>1.28907</v>
      </c>
      <c r="G1028" s="11">
        <v>0.91087</v>
      </c>
      <c r="H1028" s="11">
        <v>0.6598</v>
      </c>
      <c r="I1028" s="11">
        <v>0.36262</v>
      </c>
      <c r="J1028" s="11">
        <v>0.43844</v>
      </c>
      <c r="K1028" s="11">
        <v>4.59999990463256</v>
      </c>
      <c r="L1028" s="11">
        <v>2.33026552200317</v>
      </c>
      <c r="M1028" s="11">
        <v>2.12185645741258</v>
      </c>
      <c r="N1028" s="11">
        <v>-0.0467844381928443</v>
      </c>
      <c r="O1028" s="11">
        <v>0.02402181</v>
      </c>
      <c r="P1028" s="11">
        <v>0.0083419205620884</v>
      </c>
      <c r="Q1028" s="13" t="s">
        <v>26</v>
      </c>
      <c r="S1028" s="14">
        <v>1.337753177</v>
      </c>
      <c r="T1028" s="14">
        <v>0.829747558</v>
      </c>
      <c r="U1028" s="14">
        <v>0.801</v>
      </c>
    </row>
    <row r="1029">
      <c r="A1029" s="15" t="s">
        <v>157</v>
      </c>
      <c r="B1029" s="16">
        <v>2016.0</v>
      </c>
      <c r="C1029" s="16">
        <v>10.0</v>
      </c>
      <c r="D1029" s="16">
        <v>7.291</v>
      </c>
      <c r="E1029" s="16">
        <v>1.45181</v>
      </c>
      <c r="F1029" s="16">
        <v>1.08764</v>
      </c>
      <c r="G1029" s="16">
        <v>0.83121</v>
      </c>
      <c r="H1029" s="16">
        <v>0.58218</v>
      </c>
      <c r="I1029" s="16">
        <v>0.38254</v>
      </c>
      <c r="J1029" s="16">
        <v>0.40867</v>
      </c>
      <c r="K1029" s="16">
        <v>4.59000015258789</v>
      </c>
      <c r="L1029" s="16">
        <v>1.05433714389801</v>
      </c>
      <c r="M1029" s="16">
        <v>1.52507821612723</v>
      </c>
      <c r="N1029" s="16">
        <v>0.984268188476562</v>
      </c>
      <c r="O1029" s="16">
        <v>0.8972504</v>
      </c>
      <c r="P1029" s="16">
        <v>-0.92499166727066</v>
      </c>
      <c r="Q1029" s="17" t="s">
        <v>26</v>
      </c>
      <c r="S1029" s="14">
        <v>1.340126514</v>
      </c>
      <c r="T1029" s="14">
        <v>0.831132412</v>
      </c>
      <c r="U1029" s="14">
        <v>0.801</v>
      </c>
    </row>
    <row r="1030">
      <c r="A1030" s="10" t="s">
        <v>157</v>
      </c>
      <c r="B1030" s="11">
        <v>2017.0</v>
      </c>
      <c r="C1030" s="11">
        <v>9.0</v>
      </c>
      <c r="D1030" s="11">
        <v>7.28399992</v>
      </c>
      <c r="E1030" s="11">
        <v>1.494387269</v>
      </c>
      <c r="F1030" s="11">
        <v>1.478162169</v>
      </c>
      <c r="G1030" s="11">
        <v>0.830875158</v>
      </c>
      <c r="H1030" s="11">
        <v>0.612924099</v>
      </c>
      <c r="I1030" s="11">
        <v>0.385399252</v>
      </c>
      <c r="J1030" s="11">
        <v>0.384398729</v>
      </c>
      <c r="K1030" s="11">
        <v>6.73000001907348</v>
      </c>
      <c r="L1030" s="11">
        <v>2.14320230484008</v>
      </c>
      <c r="M1030" s="11">
        <v>2.13567839195978</v>
      </c>
      <c r="N1030" s="11">
        <v>1.867</v>
      </c>
      <c r="O1030" s="11">
        <v>1.372794</v>
      </c>
      <c r="P1030" s="11">
        <v>5.19808673858642</v>
      </c>
      <c r="Q1030" s="13" t="s">
        <v>26</v>
      </c>
      <c r="S1030" s="14">
        <v>1.34043</v>
      </c>
      <c r="T1030" s="14">
        <v>0.831383407</v>
      </c>
      <c r="U1030" s="14">
        <v>0.801131904</v>
      </c>
    </row>
    <row r="1031">
      <c r="A1031" s="15" t="s">
        <v>157</v>
      </c>
      <c r="B1031" s="16">
        <v>2018.0</v>
      </c>
      <c r="C1031" s="16">
        <v>9.0</v>
      </c>
      <c r="D1031" s="16">
        <v>7.314</v>
      </c>
      <c r="E1031" s="16">
        <v>1.355</v>
      </c>
      <c r="F1031" s="16">
        <v>1.501</v>
      </c>
      <c r="G1031" s="16">
        <v>0.913</v>
      </c>
      <c r="H1031" s="16">
        <v>0.659</v>
      </c>
      <c r="I1031" s="16">
        <v>0.285</v>
      </c>
      <c r="J1031" s="16">
        <v>0.383</v>
      </c>
      <c r="K1031" s="16">
        <v>3.72469044947315</v>
      </c>
      <c r="L1031" s="16">
        <v>2.37462472915649</v>
      </c>
      <c r="M1031" s="16">
        <v>2.39694704639354</v>
      </c>
      <c r="N1031" s="16">
        <v>1.95</v>
      </c>
      <c r="O1031" s="16">
        <v>1.092646</v>
      </c>
      <c r="P1031" s="16">
        <v>6.59628629684448</v>
      </c>
      <c r="Q1031" s="17" t="s">
        <v>26</v>
      </c>
      <c r="S1031" s="14">
        <v>1.343133092</v>
      </c>
      <c r="T1031" s="14">
        <v>0.832</v>
      </c>
      <c r="U1031" s="14">
        <v>0.801215112</v>
      </c>
    </row>
    <row r="1032">
      <c r="A1032" s="10" t="s">
        <v>157</v>
      </c>
      <c r="B1032" s="11">
        <v>2019.0</v>
      </c>
      <c r="C1032" s="11">
        <v>7.0</v>
      </c>
      <c r="D1032" s="11">
        <v>7.343</v>
      </c>
      <c r="E1032" s="11">
        <v>1.387</v>
      </c>
      <c r="F1032" s="11">
        <v>1.487</v>
      </c>
      <c r="G1032" s="11">
        <v>1.009</v>
      </c>
      <c r="H1032" s="11">
        <v>0.574</v>
      </c>
      <c r="I1032" s="11">
        <v>0.267</v>
      </c>
      <c r="J1032" s="11">
        <v>0.373</v>
      </c>
      <c r="K1032" s="11">
        <v>2.91784485736568</v>
      </c>
      <c r="L1032" s="11">
        <v>34.3610763549804</v>
      </c>
      <c r="M1032" s="11">
        <v>2.66835042761368</v>
      </c>
      <c r="N1032" s="11">
        <v>1.63900005817413</v>
      </c>
      <c r="O1032" s="11">
        <v>1.519436</v>
      </c>
      <c r="P1032" s="11">
        <v>2.9702935218811</v>
      </c>
      <c r="Q1032" s="13" t="s">
        <v>26</v>
      </c>
      <c r="S1032" s="14">
        <v>1.346</v>
      </c>
      <c r="T1032" s="14">
        <v>0.832</v>
      </c>
      <c r="U1032" s="14">
        <v>0.801289678</v>
      </c>
    </row>
    <row r="1033">
      <c r="A1033" s="15" t="s">
        <v>157</v>
      </c>
      <c r="B1033" s="16">
        <v>2020.0</v>
      </c>
      <c r="C1033" s="16">
        <v>7.0</v>
      </c>
      <c r="D1033" s="16">
        <v>7.353499889</v>
      </c>
      <c r="E1033" s="16">
        <v>1.322235227</v>
      </c>
      <c r="F1033" s="16">
        <v>0.926311195</v>
      </c>
      <c r="G1033" s="16">
        <v>72.60076904</v>
      </c>
      <c r="H1033" s="16">
        <v>0.939144194</v>
      </c>
      <c r="I1033" s="16">
        <v>0.111614622</v>
      </c>
      <c r="J1033" s="16">
        <v>0.250880182</v>
      </c>
      <c r="K1033" s="16">
        <v>-0.127425659990561</v>
      </c>
      <c r="L1033" s="16">
        <v>2.13572015177113</v>
      </c>
      <c r="M1033" s="16">
        <v>1.394</v>
      </c>
      <c r="N1033" s="16">
        <v>0.497367318854296</v>
      </c>
      <c r="O1033" s="16">
        <v>1.190226</v>
      </c>
      <c r="P1033" s="16">
        <v>-0.249517063747897</v>
      </c>
      <c r="Q1033" s="17" t="s">
        <v>26</v>
      </c>
      <c r="S1033" s="14">
        <v>1.34951</v>
      </c>
      <c r="T1033" s="14">
        <v>0.833</v>
      </c>
      <c r="U1033" s="14">
        <v>0.802760839</v>
      </c>
    </row>
    <row r="1034">
      <c r="A1034" s="10" t="s">
        <v>157</v>
      </c>
      <c r="B1034" s="11">
        <v>2021.0</v>
      </c>
      <c r="C1034" s="11">
        <v>7.0</v>
      </c>
      <c r="D1034" s="11">
        <v>7.363</v>
      </c>
      <c r="E1034" s="11">
        <v>10.867</v>
      </c>
      <c r="F1034" s="11">
        <v>0.934</v>
      </c>
      <c r="G1034" s="11">
        <v>72.7</v>
      </c>
      <c r="H1034" s="11">
        <v>0.945</v>
      </c>
      <c r="I1034" s="11">
        <v>0.086</v>
      </c>
      <c r="J1034" s="11">
        <v>0.237</v>
      </c>
      <c r="K1034" s="11">
        <v>16.98293</v>
      </c>
      <c r="L1034" s="11">
        <v>0.41</v>
      </c>
      <c r="M1034" s="11">
        <v>2.97615308956182</v>
      </c>
      <c r="N1034" s="11">
        <v>2.163197</v>
      </c>
      <c r="O1034" s="11">
        <v>1.298</v>
      </c>
      <c r="P1034" s="11">
        <v>10.6925577131427</v>
      </c>
      <c r="Q1034" s="13" t="s">
        <v>26</v>
      </c>
      <c r="S1034" s="14">
        <v>1.35</v>
      </c>
      <c r="T1034" s="14">
        <v>0.833805263</v>
      </c>
      <c r="U1034" s="14">
        <v>0.803</v>
      </c>
    </row>
    <row r="1035">
      <c r="A1035" s="15" t="s">
        <v>157</v>
      </c>
      <c r="B1035" s="16">
        <v>2022.0</v>
      </c>
      <c r="C1035" s="16">
        <v>7.0</v>
      </c>
      <c r="D1035" s="16">
        <v>7.384</v>
      </c>
      <c r="E1035" s="16">
        <v>1.92</v>
      </c>
      <c r="F1035" s="16">
        <v>1.204</v>
      </c>
      <c r="G1035" s="16">
        <v>0.803</v>
      </c>
      <c r="H1035" s="16">
        <v>0.724</v>
      </c>
      <c r="I1035" s="16">
        <v>0.218</v>
      </c>
      <c r="J1035" s="16">
        <v>0.512</v>
      </c>
      <c r="K1035" s="16">
        <v>32.9286102959976</v>
      </c>
      <c r="L1035" s="16">
        <v>11.31442</v>
      </c>
      <c r="M1035" s="16">
        <v>5.39923934086742</v>
      </c>
      <c r="N1035" s="16">
        <v>8.369291</v>
      </c>
      <c r="O1035" s="16">
        <v>5.82434944237917</v>
      </c>
      <c r="P1035" s="16">
        <v>21.190553219023</v>
      </c>
      <c r="Q1035" s="17" t="s">
        <v>26</v>
      </c>
      <c r="S1035" s="14">
        <v>1.351</v>
      </c>
      <c r="T1035" s="14">
        <v>0.834743679</v>
      </c>
      <c r="U1035" s="14">
        <v>0.805</v>
      </c>
    </row>
    <row r="1036">
      <c r="A1036" s="10" t="s">
        <v>157</v>
      </c>
      <c r="B1036" s="11">
        <v>2023.0</v>
      </c>
      <c r="C1036" s="11">
        <v>6.0</v>
      </c>
      <c r="D1036" s="11">
        <v>7.395</v>
      </c>
      <c r="E1036" s="11">
        <v>10.883</v>
      </c>
      <c r="F1036" s="11">
        <v>0.939</v>
      </c>
      <c r="G1036" s="11">
        <v>72.15</v>
      </c>
      <c r="H1036" s="11">
        <v>0.948</v>
      </c>
      <c r="I1036" s="11">
        <v>0.165</v>
      </c>
      <c r="J1036" s="11">
        <v>0.202</v>
      </c>
      <c r="K1036" s="11">
        <v>-9.78123784956725</v>
      </c>
      <c r="L1036" s="11">
        <v>12.1356436250334</v>
      </c>
      <c r="M1036" s="11">
        <v>5.67055380298076</v>
      </c>
      <c r="N1036" s="11">
        <v>8.54862489748902</v>
      </c>
      <c r="O1036" s="11">
        <v>10.0244958328978</v>
      </c>
      <c r="P1036" s="12"/>
      <c r="Q1036" s="13" t="s">
        <v>26</v>
      </c>
      <c r="S1036" s="14">
        <v>1.353814363</v>
      </c>
      <c r="T1036" s="14">
        <v>0.836</v>
      </c>
      <c r="U1036" s="14">
        <v>0.805343091</v>
      </c>
    </row>
    <row r="1037">
      <c r="A1037" s="15" t="s">
        <v>158</v>
      </c>
      <c r="B1037" s="16">
        <v>2015.0</v>
      </c>
      <c r="C1037" s="16">
        <v>1.0</v>
      </c>
      <c r="D1037" s="16">
        <v>7.587</v>
      </c>
      <c r="E1037" s="16">
        <v>1.39651</v>
      </c>
      <c r="F1037" s="16">
        <v>1.34951</v>
      </c>
      <c r="G1037" s="16">
        <v>0.94143</v>
      </c>
      <c r="H1037" s="16">
        <v>0.66557</v>
      </c>
      <c r="I1037" s="16">
        <v>0.29678</v>
      </c>
      <c r="J1037" s="16">
        <v>0.41978</v>
      </c>
      <c r="K1037" s="16">
        <v>-0.644146919250488</v>
      </c>
      <c r="L1037" s="16">
        <v>-0.798496723175048</v>
      </c>
      <c r="M1037" s="16">
        <v>-1.21895805756958</v>
      </c>
      <c r="N1037" s="16">
        <v>-1.14389860630035</v>
      </c>
      <c r="O1037" s="16">
        <v>-0.345132589340209</v>
      </c>
      <c r="P1037" s="16">
        <v>-3.5677101612091</v>
      </c>
      <c r="Q1037" s="17" t="s">
        <v>26</v>
      </c>
      <c r="S1037" s="14">
        <v>1.357</v>
      </c>
      <c r="T1037" s="14">
        <v>0.836179912</v>
      </c>
      <c r="U1037" s="14">
        <v>0.806</v>
      </c>
    </row>
    <row r="1038">
      <c r="A1038" s="10" t="s">
        <v>158</v>
      </c>
      <c r="B1038" s="11">
        <v>2016.0</v>
      </c>
      <c r="C1038" s="11">
        <v>2.0</v>
      </c>
      <c r="D1038" s="11">
        <v>7.509</v>
      </c>
      <c r="E1038" s="11">
        <v>1.52733</v>
      </c>
      <c r="F1038" s="11">
        <v>1.14524</v>
      </c>
      <c r="G1038" s="11">
        <v>0.86303</v>
      </c>
      <c r="H1038" s="11">
        <v>0.58557</v>
      </c>
      <c r="I1038" s="11">
        <v>0.28083</v>
      </c>
      <c r="J1038" s="11">
        <v>0.41203</v>
      </c>
      <c r="K1038" s="11">
        <v>-0.0648422166705131</v>
      </c>
      <c r="L1038" s="11">
        <v>0.39047285914421</v>
      </c>
      <c r="M1038" s="11">
        <v>-0.567999999999997</v>
      </c>
      <c r="N1038" s="11">
        <v>-0.434608459472656</v>
      </c>
      <c r="O1038" s="11">
        <v>-0.325866013765335</v>
      </c>
      <c r="P1038" s="11">
        <v>-1.49154245853424</v>
      </c>
      <c r="Q1038" s="13" t="s">
        <v>26</v>
      </c>
      <c r="S1038" s="14">
        <v>1.35756433</v>
      </c>
      <c r="T1038" s="14">
        <v>0.837</v>
      </c>
      <c r="U1038" s="14">
        <v>0.806821585</v>
      </c>
    </row>
    <row r="1039">
      <c r="A1039" s="15" t="s">
        <v>158</v>
      </c>
      <c r="B1039" s="16">
        <v>2017.0</v>
      </c>
      <c r="C1039" s="16">
        <v>4.0</v>
      </c>
      <c r="D1039" s="16">
        <v>7.493999958</v>
      </c>
      <c r="E1039" s="16">
        <v>1.564979553</v>
      </c>
      <c r="F1039" s="16">
        <v>1.516911745</v>
      </c>
      <c r="G1039" s="16">
        <v>0.858131289</v>
      </c>
      <c r="H1039" s="16">
        <v>0.620070577</v>
      </c>
      <c r="I1039" s="16">
        <v>0.290549278</v>
      </c>
      <c r="J1039" s="16">
        <v>0.367007285</v>
      </c>
      <c r="K1039" s="16">
        <v>1.21004366874694</v>
      </c>
      <c r="L1039" s="16">
        <v>0.415060997009277</v>
      </c>
      <c r="M1039" s="16">
        <v>-0.379153592404854</v>
      </c>
      <c r="N1039" s="16">
        <v>0.534</v>
      </c>
      <c r="O1039" s="16">
        <v>0.294355303049087</v>
      </c>
      <c r="P1039" s="16">
        <v>-0.473693519830703</v>
      </c>
      <c r="Q1039" s="17" t="s">
        <v>26</v>
      </c>
      <c r="S1039" s="14">
        <v>1.36</v>
      </c>
      <c r="T1039" s="14">
        <v>0.837</v>
      </c>
      <c r="U1039" s="14">
        <v>0.807</v>
      </c>
    </row>
    <row r="1040">
      <c r="A1040" s="10" t="s">
        <v>158</v>
      </c>
      <c r="B1040" s="11">
        <v>2018.0</v>
      </c>
      <c r="C1040" s="11">
        <v>5.0</v>
      </c>
      <c r="D1040" s="11">
        <v>7.487</v>
      </c>
      <c r="E1040" s="11">
        <v>1.42</v>
      </c>
      <c r="F1040" s="11">
        <v>1.549</v>
      </c>
      <c r="G1040" s="11">
        <v>0.927</v>
      </c>
      <c r="H1040" s="11">
        <v>0.66</v>
      </c>
      <c r="I1040" s="11">
        <v>0.256</v>
      </c>
      <c r="J1040" s="11">
        <v>0.357</v>
      </c>
      <c r="K1040" s="11">
        <v>1.34678506851196</v>
      </c>
      <c r="L1040" s="11">
        <v>1.26202833652496</v>
      </c>
      <c r="M1040" s="11">
        <v>0.711725808894047</v>
      </c>
      <c r="N1040" s="11">
        <v>0.94</v>
      </c>
      <c r="O1040" s="11">
        <v>0.366216301918029</v>
      </c>
      <c r="P1040" s="11">
        <v>1.4108692407608</v>
      </c>
      <c r="Q1040" s="13" t="s">
        <v>26</v>
      </c>
      <c r="S1040" s="14">
        <v>1.36058</v>
      </c>
      <c r="T1040" s="14">
        <v>0.837633669</v>
      </c>
      <c r="U1040" s="14">
        <v>0.807</v>
      </c>
    </row>
    <row r="1041">
      <c r="A1041" s="15" t="s">
        <v>158</v>
      </c>
      <c r="B1041" s="16">
        <v>2019.0</v>
      </c>
      <c r="C1041" s="16">
        <v>6.0</v>
      </c>
      <c r="D1041" s="16">
        <v>7.48</v>
      </c>
      <c r="E1041" s="16">
        <v>1.452</v>
      </c>
      <c r="F1041" s="16">
        <v>1.526</v>
      </c>
      <c r="G1041" s="16">
        <v>1.052</v>
      </c>
      <c r="H1041" s="16">
        <v>0.572</v>
      </c>
      <c r="I1041" s="16">
        <v>0.263</v>
      </c>
      <c r="J1041" s="16">
        <v>0.343</v>
      </c>
      <c r="K1041" s="16">
        <v>-0.618285119533538</v>
      </c>
      <c r="L1041" s="16">
        <v>0.112189397215843</v>
      </c>
      <c r="M1041" s="16">
        <v>-0.0741780272654351</v>
      </c>
      <c r="N1041" s="16">
        <v>0.361000001430511</v>
      </c>
      <c r="O1041" s="16">
        <v>0.456072688102722</v>
      </c>
      <c r="P1041" s="16">
        <v>-0.318490594625473</v>
      </c>
      <c r="Q1041" s="17" t="s">
        <v>26</v>
      </c>
      <c r="S1041" s="14">
        <v>1.361</v>
      </c>
      <c r="T1041" s="14">
        <v>0.838</v>
      </c>
      <c r="U1041" s="14">
        <v>0.808</v>
      </c>
    </row>
    <row r="1042">
      <c r="A1042" s="10" t="s">
        <v>158</v>
      </c>
      <c r="B1042" s="11">
        <v>2020.0</v>
      </c>
      <c r="C1042" s="11">
        <v>3.0</v>
      </c>
      <c r="D1042" s="11">
        <v>7.559899807</v>
      </c>
      <c r="E1042" s="11">
        <v>1.39077425</v>
      </c>
      <c r="F1042" s="11">
        <v>0.942846596</v>
      </c>
      <c r="G1042" s="11">
        <v>74.10244751</v>
      </c>
      <c r="H1042" s="11">
        <v>0.921336651</v>
      </c>
      <c r="I1042" s="11">
        <v>0.105911039</v>
      </c>
      <c r="J1042" s="11">
        <v>0.303728431</v>
      </c>
      <c r="K1042" s="11">
        <v>-0.19978772294416</v>
      </c>
      <c r="L1042" s="11">
        <v>0.0924875885248184</v>
      </c>
      <c r="M1042" s="11">
        <v>-0.590855285596786</v>
      </c>
      <c r="N1042" s="11">
        <v>-0.72587493331339</v>
      </c>
      <c r="O1042" s="11">
        <v>-0.247562900185585</v>
      </c>
      <c r="P1042" s="11">
        <v>-0.55197674036026</v>
      </c>
      <c r="Q1042" s="13" t="s">
        <v>26</v>
      </c>
      <c r="S1042" s="14">
        <v>1.365</v>
      </c>
      <c r="T1042" s="14">
        <v>0.84</v>
      </c>
      <c r="U1042" s="14">
        <v>0.808785141</v>
      </c>
    </row>
    <row r="1043">
      <c r="A1043" s="15" t="s">
        <v>158</v>
      </c>
      <c r="B1043" s="16">
        <v>2021.0</v>
      </c>
      <c r="C1043" s="16">
        <v>3.0</v>
      </c>
      <c r="D1043" s="16">
        <v>7.571</v>
      </c>
      <c r="E1043" s="16">
        <v>11.117</v>
      </c>
      <c r="F1043" s="16">
        <v>0.942</v>
      </c>
      <c r="G1043" s="16">
        <v>74.4</v>
      </c>
      <c r="H1043" s="16">
        <v>0.919</v>
      </c>
      <c r="I1043" s="16">
        <v>0.025</v>
      </c>
      <c r="J1043" s="16">
        <v>0.292</v>
      </c>
      <c r="K1043" s="16">
        <v>8.577931</v>
      </c>
      <c r="L1043" s="16">
        <v>-1.591</v>
      </c>
      <c r="M1043" s="16">
        <v>1.05986290559228</v>
      </c>
      <c r="N1043" s="16">
        <v>0.5818142</v>
      </c>
      <c r="O1043" s="16">
        <v>0.358</v>
      </c>
      <c r="P1043" s="16">
        <v>1.22107420374006</v>
      </c>
      <c r="Q1043" s="17" t="s">
        <v>26</v>
      </c>
      <c r="S1043" s="14">
        <v>1.366</v>
      </c>
      <c r="T1043" s="14">
        <v>0.841</v>
      </c>
      <c r="U1043" s="14">
        <v>0.809</v>
      </c>
    </row>
    <row r="1044">
      <c r="A1044" s="10" t="s">
        <v>158</v>
      </c>
      <c r="B1044" s="11">
        <v>2022.0</v>
      </c>
      <c r="C1044" s="11">
        <v>4.0</v>
      </c>
      <c r="D1044" s="11">
        <v>7.512</v>
      </c>
      <c r="E1044" s="11">
        <v>2.026</v>
      </c>
      <c r="F1044" s="11">
        <v>1.226</v>
      </c>
      <c r="G1044" s="11">
        <v>0.822</v>
      </c>
      <c r="H1044" s="11">
        <v>0.677</v>
      </c>
      <c r="I1044" s="11">
        <v>0.147</v>
      </c>
      <c r="J1044" s="11">
        <v>0.461</v>
      </c>
      <c r="K1044" s="11">
        <v>22.4241724575655</v>
      </c>
      <c r="L1044" s="11">
        <v>1.658954</v>
      </c>
      <c r="M1044" s="11">
        <v>3.17620932584093</v>
      </c>
      <c r="N1044" s="11">
        <v>2.835028</v>
      </c>
      <c r="O1044" s="11">
        <v>1.71789786812095</v>
      </c>
      <c r="P1044" s="11">
        <v>3.90585456386031</v>
      </c>
      <c r="Q1044" s="13" t="s">
        <v>26</v>
      </c>
      <c r="S1044" s="14">
        <v>1.367043018</v>
      </c>
      <c r="T1044" s="14">
        <v>0.841</v>
      </c>
      <c r="U1044" s="14">
        <v>0.809</v>
      </c>
    </row>
    <row r="1045">
      <c r="A1045" s="15" t="s">
        <v>158</v>
      </c>
      <c r="B1045" s="16">
        <v>2023.0</v>
      </c>
      <c r="C1045" s="16">
        <v>8.0</v>
      </c>
      <c r="D1045" s="16">
        <v>7.24</v>
      </c>
      <c r="E1045" s="16">
        <v>11.164</v>
      </c>
      <c r="F1045" s="16">
        <v>0.92</v>
      </c>
      <c r="G1045" s="16">
        <v>72.9</v>
      </c>
      <c r="H1045" s="16">
        <v>0.891</v>
      </c>
      <c r="I1045" s="16">
        <v>0.027</v>
      </c>
      <c r="J1045" s="16">
        <v>0.266</v>
      </c>
      <c r="K1045" s="16">
        <v>6.40206464392674</v>
      </c>
      <c r="L1045" s="16">
        <v>4.7595594292633</v>
      </c>
      <c r="M1045" s="16">
        <v>0.976621665605095</v>
      </c>
      <c r="N1045" s="16">
        <v>2.13540088016377</v>
      </c>
      <c r="O1045" s="16">
        <v>1.51518843602727</v>
      </c>
      <c r="P1045" s="16">
        <v>1.85110010554513</v>
      </c>
      <c r="Q1045" s="17" t="s">
        <v>26</v>
      </c>
      <c r="S1045" s="14">
        <v>1.368</v>
      </c>
      <c r="T1045" s="14">
        <v>0.842</v>
      </c>
      <c r="U1045" s="14">
        <v>0.809583843</v>
      </c>
    </row>
    <row r="1046">
      <c r="A1046" s="10" t="s">
        <v>159</v>
      </c>
      <c r="B1046" s="11">
        <v>2017.0</v>
      </c>
      <c r="C1046" s="11">
        <v>33.0</v>
      </c>
      <c r="D1046" s="11">
        <v>6.421999931</v>
      </c>
      <c r="E1046" s="11">
        <v>1.433626533</v>
      </c>
      <c r="F1046" s="11">
        <v>1.384565353</v>
      </c>
      <c r="G1046" s="11">
        <v>0.793984234</v>
      </c>
      <c r="H1046" s="11">
        <v>0.361466587</v>
      </c>
      <c r="I1046" s="11">
        <v>0.258360475</v>
      </c>
      <c r="J1046" s="11">
        <v>0.063829236</v>
      </c>
      <c r="K1046" s="12"/>
      <c r="L1046" s="12"/>
      <c r="M1046" s="11">
        <v>-0.844999999999998</v>
      </c>
      <c r="N1046" s="12"/>
      <c r="O1046" s="12"/>
      <c r="P1046" s="12"/>
      <c r="Q1046" s="12"/>
      <c r="S1046" s="14">
        <v>1.368218064</v>
      </c>
      <c r="T1046" s="14">
        <v>0.842619538</v>
      </c>
      <c r="U1046" s="14">
        <v>0.81023699</v>
      </c>
    </row>
    <row r="1047">
      <c r="A1047" s="15" t="s">
        <v>159</v>
      </c>
      <c r="B1047" s="16">
        <v>2020.0</v>
      </c>
      <c r="C1047" s="16">
        <v>25.0</v>
      </c>
      <c r="D1047" s="16">
        <v>6.45539999</v>
      </c>
      <c r="E1047" s="16">
        <v>1.327470541</v>
      </c>
      <c r="F1047" s="16">
        <v>0.894309103</v>
      </c>
      <c r="G1047" s="16">
        <v>69.59999847</v>
      </c>
      <c r="H1047" s="16">
        <v>0.77153033</v>
      </c>
      <c r="I1047" s="16">
        <v>-0.073198698</v>
      </c>
      <c r="J1047" s="16">
        <v>0.73188293</v>
      </c>
      <c r="K1047" s="12"/>
      <c r="L1047" s="12"/>
      <c r="M1047" s="16">
        <v>1.29874079931869</v>
      </c>
      <c r="N1047" s="12"/>
      <c r="O1047" s="12"/>
      <c r="P1047" s="12"/>
      <c r="Q1047" s="12"/>
      <c r="S1047" s="14">
        <v>1.369</v>
      </c>
      <c r="T1047" s="14">
        <v>0.842823207</v>
      </c>
      <c r="U1047" s="14">
        <v>0.811</v>
      </c>
    </row>
    <row r="1048">
      <c r="A1048" s="10" t="s">
        <v>159</v>
      </c>
      <c r="B1048" s="11">
        <v>2021.0</v>
      </c>
      <c r="C1048" s="11">
        <v>24.0</v>
      </c>
      <c r="D1048" s="11">
        <v>6.584</v>
      </c>
      <c r="E1048" s="11">
        <v>10.871</v>
      </c>
      <c r="F1048" s="11">
        <v>0.898</v>
      </c>
      <c r="G1048" s="11">
        <v>69.6</v>
      </c>
      <c r="H1048" s="11">
        <v>0.784</v>
      </c>
      <c r="I1048" s="11">
        <v>-0.07</v>
      </c>
      <c r="J1048" s="11">
        <v>0.721</v>
      </c>
      <c r="K1048" s="12"/>
      <c r="L1048" s="12"/>
      <c r="M1048" s="11">
        <v>2.8967481795021</v>
      </c>
      <c r="N1048" s="12"/>
      <c r="O1048" s="12"/>
      <c r="P1048" s="12"/>
      <c r="Q1048" s="12"/>
      <c r="S1048" s="14">
        <v>1.369</v>
      </c>
      <c r="T1048" s="14">
        <v>0.843</v>
      </c>
      <c r="U1048" s="14">
        <v>0.812</v>
      </c>
    </row>
    <row r="1049">
      <c r="A1049" s="15" t="s">
        <v>159</v>
      </c>
      <c r="B1049" s="16">
        <v>2022.0</v>
      </c>
      <c r="C1049" s="16">
        <v>26.0</v>
      </c>
      <c r="D1049" s="16">
        <v>6.512</v>
      </c>
      <c r="E1049" s="16">
        <v>1.897</v>
      </c>
      <c r="F1049" s="16">
        <v>1.095</v>
      </c>
      <c r="G1049" s="16">
        <v>0.733</v>
      </c>
      <c r="H1049" s="16">
        <v>0.542</v>
      </c>
      <c r="I1049" s="16">
        <v>0.075</v>
      </c>
      <c r="J1049" s="16">
        <v>0.168</v>
      </c>
      <c r="K1049" s="12"/>
      <c r="L1049" s="12"/>
      <c r="M1049" s="16">
        <v>1.9573204856802</v>
      </c>
      <c r="N1049" s="12"/>
      <c r="O1049" s="12"/>
      <c r="P1049" s="12"/>
      <c r="Q1049" s="12"/>
      <c r="S1049" s="14">
        <v>1.36948</v>
      </c>
      <c r="T1049" s="14">
        <v>0.845</v>
      </c>
      <c r="U1049" s="14">
        <v>0.814</v>
      </c>
    </row>
    <row r="1050">
      <c r="A1050" s="10" t="s">
        <v>159</v>
      </c>
      <c r="B1050" s="11">
        <v>2023.0</v>
      </c>
      <c r="C1050" s="11">
        <v>27.0</v>
      </c>
      <c r="D1050" s="11">
        <v>6.535</v>
      </c>
      <c r="E1050" s="11">
        <v>10.797</v>
      </c>
      <c r="F1050" s="11">
        <v>0.884</v>
      </c>
      <c r="G1050" s="11">
        <v>69.6</v>
      </c>
      <c r="H1050" s="11">
        <v>0.804</v>
      </c>
      <c r="I1050" s="11">
        <v>-0.129</v>
      </c>
      <c r="J1050" s="11">
        <v>0.681</v>
      </c>
      <c r="K1050" s="12"/>
      <c r="L1050" s="12"/>
      <c r="M1050" s="11">
        <v>2.48480604629864</v>
      </c>
      <c r="N1050" s="12"/>
      <c r="O1050" s="12"/>
      <c r="P1050" s="12"/>
      <c r="Q1050" s="12"/>
      <c r="S1050" s="14">
        <v>1.373192549</v>
      </c>
      <c r="T1050" s="14">
        <v>0.845</v>
      </c>
      <c r="U1050" s="14">
        <v>0.815724611</v>
      </c>
    </row>
    <row r="1051">
      <c r="A1051" s="15" t="s">
        <v>160</v>
      </c>
      <c r="B1051" s="16">
        <v>2015.0</v>
      </c>
      <c r="C1051" s="16">
        <v>106.0</v>
      </c>
      <c r="D1051" s="16">
        <v>4.786</v>
      </c>
      <c r="E1051" s="16">
        <v>0.39047</v>
      </c>
      <c r="F1051" s="16">
        <v>0.85563</v>
      </c>
      <c r="G1051" s="16">
        <v>0.57379</v>
      </c>
      <c r="H1051" s="16">
        <v>0.47216</v>
      </c>
      <c r="I1051" s="16">
        <v>0.22974</v>
      </c>
      <c r="J1051" s="16">
        <v>0.15072</v>
      </c>
      <c r="K1051" s="16">
        <v>-0.0700000002980232</v>
      </c>
      <c r="L1051" s="12"/>
      <c r="M1051" s="16">
        <v>0.124327529673933</v>
      </c>
      <c r="N1051" s="16">
        <v>5.47227716445922</v>
      </c>
      <c r="O1051" s="16">
        <v>3.85336225</v>
      </c>
      <c r="P1051" s="16">
        <v>4.31749153137207</v>
      </c>
      <c r="Q1051" s="17" t="s">
        <v>24</v>
      </c>
      <c r="S1051" s="14">
        <v>1.376289964</v>
      </c>
      <c r="T1051" s="14">
        <v>0.845</v>
      </c>
      <c r="U1051" s="14">
        <v>0.816</v>
      </c>
    </row>
    <row r="1052">
      <c r="A1052" s="10" t="s">
        <v>160</v>
      </c>
      <c r="B1052" s="11">
        <v>2016.0</v>
      </c>
      <c r="C1052" s="11">
        <v>100.0</v>
      </c>
      <c r="D1052" s="11">
        <v>4.996</v>
      </c>
      <c r="E1052" s="11">
        <v>0.48835</v>
      </c>
      <c r="F1052" s="11">
        <v>0.75602</v>
      </c>
      <c r="G1052" s="11">
        <v>0.53119</v>
      </c>
      <c r="H1052" s="11">
        <v>0.43408</v>
      </c>
      <c r="I1052" s="11">
        <v>0.25998</v>
      </c>
      <c r="J1052" s="11">
        <v>0.13509</v>
      </c>
      <c r="K1052" s="11">
        <v>2.11999988555908</v>
      </c>
      <c r="L1052" s="11">
        <v>5.10426807403564</v>
      </c>
      <c r="M1052" s="11">
        <v>5.27584676410079</v>
      </c>
      <c r="N1052" s="11">
        <v>6.0357117652893</v>
      </c>
      <c r="O1052" s="11">
        <v>7.07159616</v>
      </c>
      <c r="P1052" s="11">
        <v>6.71031713485717</v>
      </c>
      <c r="Q1052" s="13" t="s">
        <v>24</v>
      </c>
      <c r="S1052" s="14">
        <v>1.38</v>
      </c>
      <c r="T1052" s="14">
        <v>0.846</v>
      </c>
      <c r="U1052" s="14">
        <v>0.817071021</v>
      </c>
    </row>
    <row r="1053">
      <c r="A1053" s="15" t="s">
        <v>160</v>
      </c>
      <c r="B1053" s="16">
        <v>2017.0</v>
      </c>
      <c r="C1053" s="16">
        <v>96.0</v>
      </c>
      <c r="D1053" s="16">
        <v>5.040999889</v>
      </c>
      <c r="E1053" s="16">
        <v>0.524713635</v>
      </c>
      <c r="F1053" s="16">
        <v>1.271463275</v>
      </c>
      <c r="G1053" s="16">
        <v>0.529235125</v>
      </c>
      <c r="H1053" s="16">
        <v>0.471566707</v>
      </c>
      <c r="I1053" s="16">
        <v>0.248997644</v>
      </c>
      <c r="J1053" s="16">
        <v>0.146377146</v>
      </c>
      <c r="K1053" s="16">
        <v>10.3197159082937</v>
      </c>
      <c r="L1053" s="16">
        <v>9.23884487152099</v>
      </c>
      <c r="M1053" s="16">
        <v>4.72145793431023</v>
      </c>
      <c r="N1053" s="16">
        <v>7.31</v>
      </c>
      <c r="O1053" s="16">
        <v>3.33856808</v>
      </c>
      <c r="P1053" s="16">
        <v>9.32387542724609</v>
      </c>
      <c r="Q1053" s="17" t="s">
        <v>24</v>
      </c>
      <c r="S1053" s="14">
        <v>1.380228519</v>
      </c>
      <c r="T1053" s="14">
        <v>0.85</v>
      </c>
      <c r="U1053" s="14">
        <v>0.817485631</v>
      </c>
    </row>
    <row r="1054">
      <c r="A1054" s="10" t="s">
        <v>160</v>
      </c>
      <c r="B1054" s="11">
        <v>2018.0</v>
      </c>
      <c r="C1054" s="11">
        <v>88.0</v>
      </c>
      <c r="D1054" s="11">
        <v>5.199</v>
      </c>
      <c r="E1054" s="11">
        <v>0.474</v>
      </c>
      <c r="F1054" s="11">
        <v>1.166</v>
      </c>
      <c r="G1054" s="11">
        <v>0.598</v>
      </c>
      <c r="H1054" s="11">
        <v>0.292</v>
      </c>
      <c r="I1054" s="11">
        <v>0.187</v>
      </c>
      <c r="J1054" s="11">
        <v>0.034</v>
      </c>
      <c r="K1054" s="11">
        <v>5.01157220708498</v>
      </c>
      <c r="L1054" s="11">
        <v>2.68397140502929</v>
      </c>
      <c r="M1054" s="11">
        <v>5.02072874712615</v>
      </c>
      <c r="N1054" s="11">
        <v>3.83</v>
      </c>
      <c r="O1054" s="11">
        <v>4.21693198</v>
      </c>
      <c r="P1054" s="11">
        <v>2.18015003204345</v>
      </c>
      <c r="Q1054" s="13" t="s">
        <v>24</v>
      </c>
      <c r="S1054" s="14">
        <v>1.383</v>
      </c>
      <c r="T1054" s="14">
        <v>0.85</v>
      </c>
      <c r="U1054" s="14">
        <v>0.818</v>
      </c>
    </row>
    <row r="1055">
      <c r="A1055" s="15" t="s">
        <v>160</v>
      </c>
      <c r="B1055" s="16">
        <v>2019.0</v>
      </c>
      <c r="C1055" s="16">
        <v>74.0</v>
      </c>
      <c r="D1055" s="16">
        <v>5.467</v>
      </c>
      <c r="E1055" s="16">
        <v>0.493</v>
      </c>
      <c r="F1055" s="16">
        <v>1.098</v>
      </c>
      <c r="G1055" s="16">
        <v>0.718</v>
      </c>
      <c r="H1055" s="16">
        <v>0.389</v>
      </c>
      <c r="I1055" s="16">
        <v>0.23</v>
      </c>
      <c r="J1055" s="16">
        <v>0.144</v>
      </c>
      <c r="K1055" s="16">
        <v>0.426029571464369</v>
      </c>
      <c r="L1055" s="12"/>
      <c r="M1055" s="16">
        <v>4.52305083519847</v>
      </c>
      <c r="N1055" s="16">
        <v>7.79300022125244</v>
      </c>
      <c r="O1055" s="16">
        <v>3.8999716</v>
      </c>
      <c r="P1055" s="16">
        <v>1.78719997406005</v>
      </c>
      <c r="Q1055" s="17" t="s">
        <v>24</v>
      </c>
      <c r="S1055" s="14">
        <v>1.384369016</v>
      </c>
      <c r="T1055" s="14">
        <v>0.851</v>
      </c>
      <c r="U1055" s="14">
        <v>0.821</v>
      </c>
    </row>
    <row r="1056">
      <c r="A1056" s="10" t="s">
        <v>160</v>
      </c>
      <c r="B1056" s="11">
        <v>2020.0</v>
      </c>
      <c r="C1056" s="11">
        <v>71.0</v>
      </c>
      <c r="D1056" s="11">
        <v>5.555699825</v>
      </c>
      <c r="E1056" s="11">
        <v>0.474874616</v>
      </c>
      <c r="F1056" s="11">
        <v>0.835297108</v>
      </c>
      <c r="G1056" s="11">
        <v>64.10459137</v>
      </c>
      <c r="H1056" s="11">
        <v>0.831383407</v>
      </c>
      <c r="I1056" s="11">
        <v>-0.025088511</v>
      </c>
      <c r="J1056" s="11">
        <v>0.592076063</v>
      </c>
      <c r="K1056" s="11">
        <v>-5.14889369489268</v>
      </c>
      <c r="L1056" s="12"/>
      <c r="M1056" s="11">
        <v>2.11210860251762</v>
      </c>
      <c r="N1056" s="11">
        <v>8.589</v>
      </c>
      <c r="O1056" s="11">
        <v>4.13827031</v>
      </c>
      <c r="P1056" s="11">
        <v>5.44555374204311</v>
      </c>
      <c r="Q1056" s="13" t="s">
        <v>24</v>
      </c>
      <c r="S1056" s="14">
        <v>1.384565353</v>
      </c>
      <c r="T1056" s="14">
        <v>0.852</v>
      </c>
      <c r="U1056" s="14">
        <v>0.82226181</v>
      </c>
    </row>
    <row r="1057">
      <c r="A1057" s="15" t="s">
        <v>160</v>
      </c>
      <c r="B1057" s="16">
        <v>2021.0</v>
      </c>
      <c r="C1057" s="16">
        <v>78.0</v>
      </c>
      <c r="D1057" s="16">
        <v>5.466</v>
      </c>
      <c r="E1057" s="16">
        <v>8.091</v>
      </c>
      <c r="F1057" s="16">
        <v>0.86</v>
      </c>
      <c r="G1057" s="16">
        <v>64.281</v>
      </c>
      <c r="H1057" s="16">
        <v>0.832</v>
      </c>
      <c r="I1057" s="16">
        <v>-0.056</v>
      </c>
      <c r="J1057" s="16">
        <v>0.553</v>
      </c>
      <c r="K1057" s="12"/>
      <c r="L1057" s="12"/>
      <c r="M1057" s="16">
        <v>7.88380201497525</v>
      </c>
      <c r="N1057" s="16">
        <v>8.92204694179512</v>
      </c>
      <c r="O1057" s="16">
        <v>4.85904686</v>
      </c>
      <c r="P1057" s="16">
        <v>3.82786687412179</v>
      </c>
      <c r="Q1057" s="17" t="s">
        <v>24</v>
      </c>
      <c r="S1057" s="14">
        <v>1.384788632</v>
      </c>
      <c r="T1057" s="14">
        <v>0.853</v>
      </c>
      <c r="U1057" s="14">
        <v>0.822606206</v>
      </c>
    </row>
    <row r="1058">
      <c r="A1058" s="10" t="s">
        <v>160</v>
      </c>
      <c r="B1058" s="11">
        <v>2022.0</v>
      </c>
      <c r="C1058" s="11">
        <v>83.0</v>
      </c>
      <c r="D1058" s="11">
        <v>5.377</v>
      </c>
      <c r="E1058" s="11">
        <v>0.966</v>
      </c>
      <c r="F1058" s="11">
        <v>1.005</v>
      </c>
      <c r="G1058" s="11">
        <v>0.518</v>
      </c>
      <c r="H1058" s="11">
        <v>0.572</v>
      </c>
      <c r="I1058" s="11">
        <v>0.118</v>
      </c>
      <c r="J1058" s="11">
        <v>0.304</v>
      </c>
      <c r="K1058" s="12"/>
      <c r="L1058" s="12"/>
      <c r="M1058" s="11">
        <v>10.0445105902131</v>
      </c>
      <c r="N1058" s="11">
        <v>6.5912349209115</v>
      </c>
      <c r="O1058" s="12"/>
      <c r="P1058" s="11">
        <v>11.8295768731945</v>
      </c>
      <c r="Q1058" s="13" t="s">
        <v>24</v>
      </c>
      <c r="S1058" s="14">
        <v>1.387</v>
      </c>
      <c r="T1058" s="14">
        <v>0.853</v>
      </c>
      <c r="U1058" s="14">
        <v>0.822769046</v>
      </c>
    </row>
    <row r="1059">
      <c r="A1059" s="15" t="s">
        <v>160</v>
      </c>
      <c r="B1059" s="16">
        <v>2023.0</v>
      </c>
      <c r="C1059" s="16">
        <v>80.0</v>
      </c>
      <c r="D1059" s="16">
        <v>5.33</v>
      </c>
      <c r="E1059" s="16">
        <v>8.237</v>
      </c>
      <c r="F1059" s="16">
        <v>0.836</v>
      </c>
      <c r="G1059" s="16">
        <v>62.226</v>
      </c>
      <c r="H1059" s="16">
        <v>0.832</v>
      </c>
      <c r="I1059" s="16">
        <v>-0.06</v>
      </c>
      <c r="J1059" s="16">
        <v>0.522</v>
      </c>
      <c r="K1059" s="12"/>
      <c r="L1059" s="12"/>
      <c r="M1059" s="16">
        <v>2.95000030797332</v>
      </c>
      <c r="N1059" s="16">
        <v>3.50022966604665</v>
      </c>
      <c r="O1059" s="12"/>
      <c r="P1059" s="16">
        <v>11.7842807216435</v>
      </c>
      <c r="Q1059" s="17" t="s">
        <v>24</v>
      </c>
      <c r="S1059" s="14">
        <v>1.387776852</v>
      </c>
      <c r="T1059" s="14">
        <v>0.853962779</v>
      </c>
      <c r="U1059" s="14">
        <v>0.823</v>
      </c>
    </row>
    <row r="1060">
      <c r="A1060" s="10" t="s">
        <v>161</v>
      </c>
      <c r="B1060" s="11">
        <v>2015.0</v>
      </c>
      <c r="C1060" s="11">
        <v>146.0</v>
      </c>
      <c r="D1060" s="11">
        <v>3.781</v>
      </c>
      <c r="E1060" s="11">
        <v>0.2852</v>
      </c>
      <c r="F1060" s="11">
        <v>1.00268</v>
      </c>
      <c r="G1060" s="11">
        <v>0.38215</v>
      </c>
      <c r="H1060" s="11">
        <v>0.32878</v>
      </c>
      <c r="I1060" s="11">
        <v>0.34377</v>
      </c>
      <c r="J1060" s="11">
        <v>0.05747</v>
      </c>
      <c r="K1060" s="11">
        <v>5.29237079620361</v>
      </c>
      <c r="L1060" s="11">
        <v>8.41011524200439</v>
      </c>
      <c r="M1060" s="11">
        <v>7.59166810122223</v>
      </c>
      <c r="N1060" s="11">
        <v>5.60664892196655</v>
      </c>
      <c r="O1060" s="12"/>
      <c r="P1060" s="12"/>
      <c r="Q1060" s="13" t="s">
        <v>28</v>
      </c>
      <c r="S1060" s="14">
        <v>1.39</v>
      </c>
      <c r="T1060" s="14">
        <v>0.854</v>
      </c>
      <c r="U1060" s="14">
        <v>0.823</v>
      </c>
    </row>
    <row r="1061">
      <c r="A1061" s="15" t="s">
        <v>161</v>
      </c>
      <c r="B1061" s="16">
        <v>2016.0</v>
      </c>
      <c r="C1061" s="16">
        <v>149.0</v>
      </c>
      <c r="D1061" s="16">
        <v>3.666</v>
      </c>
      <c r="E1061" s="16">
        <v>0.47155</v>
      </c>
      <c r="F1061" s="16">
        <v>0.77623</v>
      </c>
      <c r="G1061" s="16">
        <v>0.357</v>
      </c>
      <c r="H1061" s="16">
        <v>0.3176</v>
      </c>
      <c r="I1061" s="16">
        <v>0.31472</v>
      </c>
      <c r="J1061" s="16">
        <v>0.05099</v>
      </c>
      <c r="K1061" s="16">
        <v>3.81680917739868</v>
      </c>
      <c r="L1061" s="16">
        <v>7.50226831436157</v>
      </c>
      <c r="M1061" s="16">
        <v>7.47199999999999</v>
      </c>
      <c r="N1061" s="16">
        <v>5.17874193191528</v>
      </c>
      <c r="O1061" s="12"/>
      <c r="P1061" s="12"/>
      <c r="Q1061" s="17" t="s">
        <v>28</v>
      </c>
      <c r="S1061" s="14">
        <v>1.394537568</v>
      </c>
      <c r="T1061" s="14">
        <v>0.854191244</v>
      </c>
      <c r="U1061" s="14">
        <v>0.823</v>
      </c>
    </row>
    <row r="1062">
      <c r="A1062" s="10" t="s">
        <v>161</v>
      </c>
      <c r="B1062" s="11">
        <v>2017.0</v>
      </c>
      <c r="C1062" s="11">
        <v>153.0</v>
      </c>
      <c r="D1062" s="11">
        <v>3.348999977</v>
      </c>
      <c r="E1062" s="11">
        <v>0.511135876</v>
      </c>
      <c r="F1062" s="11">
        <v>1.041989803</v>
      </c>
      <c r="G1062" s="11">
        <v>0.364509284</v>
      </c>
      <c r="H1062" s="11">
        <v>0.390017778</v>
      </c>
      <c r="I1062" s="11">
        <v>0.354256362</v>
      </c>
      <c r="J1062" s="11">
        <v>0.066035107</v>
      </c>
      <c r="K1062" s="11">
        <v>4.9111270904541</v>
      </c>
      <c r="L1062" s="11">
        <v>9.12272453308105</v>
      </c>
      <c r="M1062" s="11">
        <v>2.62952210808397</v>
      </c>
      <c r="N1062" s="11">
        <v>5.321</v>
      </c>
      <c r="O1062" s="12"/>
      <c r="P1062" s="12"/>
      <c r="Q1062" s="13" t="s">
        <v>28</v>
      </c>
      <c r="S1062" s="14">
        <v>1.401</v>
      </c>
      <c r="T1062" s="14">
        <v>0.855</v>
      </c>
      <c r="U1062" s="14">
        <v>0.824211061</v>
      </c>
    </row>
    <row r="1063">
      <c r="A1063" s="15" t="s">
        <v>161</v>
      </c>
      <c r="B1063" s="16">
        <v>2018.0</v>
      </c>
      <c r="C1063" s="16">
        <v>153.0</v>
      </c>
      <c r="D1063" s="16">
        <v>3.303</v>
      </c>
      <c r="E1063" s="16">
        <v>0.455</v>
      </c>
      <c r="F1063" s="16">
        <v>0.991</v>
      </c>
      <c r="G1063" s="16">
        <v>0.381</v>
      </c>
      <c r="H1063" s="16">
        <v>0.481</v>
      </c>
      <c r="I1063" s="16">
        <v>0.27</v>
      </c>
      <c r="J1063" s="16">
        <v>0.097</v>
      </c>
      <c r="K1063" s="16">
        <v>5.78725576400756</v>
      </c>
      <c r="L1063" s="16">
        <v>2.95636463165283</v>
      </c>
      <c r="M1063" s="16">
        <v>1.580264374694</v>
      </c>
      <c r="N1063" s="16">
        <v>3.51</v>
      </c>
      <c r="O1063" s="12"/>
      <c r="P1063" s="12"/>
      <c r="Q1063" s="17" t="s">
        <v>28</v>
      </c>
      <c r="S1063" s="14">
        <v>1.401</v>
      </c>
      <c r="T1063" s="14">
        <v>0.855</v>
      </c>
      <c r="U1063" s="14">
        <v>0.825</v>
      </c>
    </row>
    <row r="1064">
      <c r="A1064" s="10" t="s">
        <v>161</v>
      </c>
      <c r="B1064" s="11">
        <v>2019.0</v>
      </c>
      <c r="C1064" s="11">
        <v>153.0</v>
      </c>
      <c r="D1064" s="11">
        <v>3.231</v>
      </c>
      <c r="E1064" s="11">
        <v>0.476</v>
      </c>
      <c r="F1064" s="11">
        <v>0.885</v>
      </c>
      <c r="G1064" s="11">
        <v>0.499</v>
      </c>
      <c r="H1064" s="11">
        <v>0.417</v>
      </c>
      <c r="I1064" s="11">
        <v>0.276</v>
      </c>
      <c r="J1064" s="11">
        <v>0.147</v>
      </c>
      <c r="K1064" s="11">
        <v>2.92336821556091</v>
      </c>
      <c r="L1064" s="11">
        <v>2.86345601081848</v>
      </c>
      <c r="M1064" s="11">
        <v>1.36646406226292</v>
      </c>
      <c r="N1064" s="11">
        <v>3.44899988174438</v>
      </c>
      <c r="O1064" s="12"/>
      <c r="P1064" s="12"/>
      <c r="Q1064" s="13" t="s">
        <v>28</v>
      </c>
      <c r="S1064" s="14">
        <v>1.402</v>
      </c>
      <c r="T1064" s="14">
        <v>0.856</v>
      </c>
      <c r="U1064" s="14">
        <v>0.825</v>
      </c>
    </row>
    <row r="1065">
      <c r="A1065" s="15" t="s">
        <v>161</v>
      </c>
      <c r="B1065" s="16">
        <v>2020.0</v>
      </c>
      <c r="C1065" s="16">
        <v>148.0</v>
      </c>
      <c r="D1065" s="16">
        <v>3.476200104</v>
      </c>
      <c r="E1065" s="16">
        <v>0.457163125</v>
      </c>
      <c r="F1065" s="16">
        <v>0.688933194</v>
      </c>
      <c r="G1065" s="16">
        <v>57.49607468</v>
      </c>
      <c r="H1065" s="16">
        <v>0.82153976</v>
      </c>
      <c r="I1065" s="16">
        <v>0.109668687</v>
      </c>
      <c r="J1065" s="16">
        <v>0.619799435</v>
      </c>
      <c r="K1065" s="16">
        <v>4.03885984420776</v>
      </c>
      <c r="L1065" s="16">
        <v>4.78510665893554</v>
      </c>
      <c r="M1065" s="16">
        <v>3.4999823900257</v>
      </c>
      <c r="N1065" s="16">
        <v>3.29029062798363</v>
      </c>
      <c r="O1065" s="12"/>
      <c r="P1065" s="12"/>
      <c r="Q1065" s="17" t="s">
        <v>28</v>
      </c>
      <c r="S1065" s="14">
        <v>1.402182937</v>
      </c>
      <c r="T1065" s="14">
        <v>0.856</v>
      </c>
      <c r="U1065" s="14">
        <v>0.826</v>
      </c>
    </row>
    <row r="1066">
      <c r="A1066" s="10" t="s">
        <v>161</v>
      </c>
      <c r="B1066" s="11">
        <v>2021.0</v>
      </c>
      <c r="C1066" s="11">
        <v>142.0</v>
      </c>
      <c r="D1066" s="11">
        <v>3.623</v>
      </c>
      <c r="E1066" s="11">
        <v>7.876</v>
      </c>
      <c r="F1066" s="11">
        <v>0.702</v>
      </c>
      <c r="G1066" s="11">
        <v>57.999</v>
      </c>
      <c r="H1066" s="11">
        <v>0.833</v>
      </c>
      <c r="I1066" s="11">
        <v>0.183</v>
      </c>
      <c r="J1066" s="11">
        <v>0.577</v>
      </c>
      <c r="K1066" s="11">
        <v>4.1300973807568</v>
      </c>
      <c r="L1066" s="11">
        <v>4.2556713846054</v>
      </c>
      <c r="M1066" s="11">
        <v>4.40650437107622</v>
      </c>
      <c r="N1066" s="11">
        <v>3.68996925025623</v>
      </c>
      <c r="O1066" s="12"/>
      <c r="P1066" s="12"/>
      <c r="Q1066" s="13" t="s">
        <v>28</v>
      </c>
      <c r="S1066" s="14">
        <v>1.40223</v>
      </c>
      <c r="T1066" s="14">
        <v>0.856</v>
      </c>
      <c r="U1066" s="14">
        <v>0.827</v>
      </c>
    </row>
    <row r="1067">
      <c r="A1067" s="15" t="s">
        <v>161</v>
      </c>
      <c r="B1067" s="16">
        <v>2022.0</v>
      </c>
      <c r="C1067" s="16">
        <v>139.0</v>
      </c>
      <c r="D1067" s="16">
        <v>3.702</v>
      </c>
      <c r="E1067" s="16">
        <v>0.848</v>
      </c>
      <c r="F1067" s="16">
        <v>0.597</v>
      </c>
      <c r="G1067" s="16">
        <v>0.425</v>
      </c>
      <c r="H1067" s="16">
        <v>0.578</v>
      </c>
      <c r="I1067" s="16">
        <v>0.248</v>
      </c>
      <c r="J1067" s="16">
        <v>0.27</v>
      </c>
      <c r="K1067" s="16">
        <v>3.74625782618795</v>
      </c>
      <c r="L1067" s="16">
        <v>6.5725982207231</v>
      </c>
      <c r="M1067" s="16">
        <v>6.66965838335109</v>
      </c>
      <c r="N1067" s="16">
        <v>4.35027204269101</v>
      </c>
      <c r="O1067" s="12"/>
      <c r="P1067" s="12"/>
      <c r="Q1067" s="17" t="s">
        <v>28</v>
      </c>
      <c r="S1067" s="14">
        <v>1.402416706</v>
      </c>
      <c r="T1067" s="14">
        <v>0.857</v>
      </c>
      <c r="U1067" s="14">
        <v>0.83</v>
      </c>
    </row>
    <row r="1068">
      <c r="A1068" s="10" t="s">
        <v>161</v>
      </c>
      <c r="B1068" s="11">
        <v>2023.0</v>
      </c>
      <c r="C1068" s="11">
        <v>129.0</v>
      </c>
      <c r="D1068" s="11">
        <v>3.694</v>
      </c>
      <c r="E1068" s="11">
        <v>7.857</v>
      </c>
      <c r="F1068" s="11">
        <v>0.653</v>
      </c>
      <c r="G1068" s="11">
        <v>59.401</v>
      </c>
      <c r="H1068" s="11">
        <v>0.838</v>
      </c>
      <c r="I1068" s="11">
        <v>0.182</v>
      </c>
      <c r="J1068" s="11">
        <v>0.554</v>
      </c>
      <c r="K1068" s="12"/>
      <c r="L1068" s="11">
        <v>6.79777205236273</v>
      </c>
      <c r="M1068" s="11">
        <v>7.04543979150257</v>
      </c>
      <c r="N1068" s="11">
        <v>4.02855542758196</v>
      </c>
      <c r="O1068" s="12"/>
      <c r="P1068" s="12"/>
      <c r="Q1068" s="13" t="s">
        <v>28</v>
      </c>
      <c r="S1068" s="14">
        <v>1.404714942</v>
      </c>
      <c r="T1068" s="14">
        <v>0.857907116</v>
      </c>
      <c r="U1068" s="14">
        <v>0.83</v>
      </c>
    </row>
    <row r="1069">
      <c r="A1069" s="15" t="s">
        <v>162</v>
      </c>
      <c r="B1069" s="16">
        <v>2015.0</v>
      </c>
      <c r="C1069" s="16">
        <v>34.0</v>
      </c>
      <c r="D1069" s="16">
        <v>6.455</v>
      </c>
      <c r="E1069" s="16">
        <v>0.9669</v>
      </c>
      <c r="F1069" s="16">
        <v>1.26504</v>
      </c>
      <c r="G1069" s="16">
        <v>0.7385</v>
      </c>
      <c r="H1069" s="16">
        <v>0.55664</v>
      </c>
      <c r="I1069" s="16">
        <v>0.5763</v>
      </c>
      <c r="J1069" s="16">
        <v>0.03187</v>
      </c>
      <c r="K1069" s="16">
        <v>0.593551021049083</v>
      </c>
      <c r="L1069" s="16">
        <v>1.13439953327178</v>
      </c>
      <c r="M1069" s="16">
        <v>0.722220671560552</v>
      </c>
      <c r="N1069" s="16">
        <v>-0.899406552314758</v>
      </c>
      <c r="O1069" s="16">
        <v>0.892910718917846</v>
      </c>
      <c r="P1069" s="16">
        <v>-4.1111888885498</v>
      </c>
      <c r="Q1069" s="17" t="s">
        <v>24</v>
      </c>
      <c r="S1069" s="14">
        <v>1.409</v>
      </c>
      <c r="T1069" s="14">
        <v>0.858</v>
      </c>
      <c r="U1069" s="14">
        <v>0.83</v>
      </c>
    </row>
    <row r="1070">
      <c r="A1070" s="10" t="s">
        <v>162</v>
      </c>
      <c r="B1070" s="11">
        <v>2016.0</v>
      </c>
      <c r="C1070" s="11">
        <v>33.0</v>
      </c>
      <c r="D1070" s="11">
        <v>6.474</v>
      </c>
      <c r="E1070" s="11">
        <v>1.0893</v>
      </c>
      <c r="F1070" s="11">
        <v>1.04477</v>
      </c>
      <c r="G1070" s="11">
        <v>0.64915</v>
      </c>
      <c r="H1070" s="11">
        <v>0.49553</v>
      </c>
      <c r="I1070" s="11">
        <v>0.58696</v>
      </c>
      <c r="J1070" s="11">
        <v>0.02833</v>
      </c>
      <c r="K1070" s="11">
        <v>-0.995121951219528</v>
      </c>
      <c r="L1070" s="11">
        <v>1.60751152038574</v>
      </c>
      <c r="M1070" s="11">
        <v>2.63608210997416</v>
      </c>
      <c r="N1070" s="11">
        <v>0.187514066696167</v>
      </c>
      <c r="O1070" s="11">
        <v>0.687962353229522</v>
      </c>
      <c r="P1070" s="11">
        <v>-1.17742705345153</v>
      </c>
      <c r="Q1070" s="13" t="s">
        <v>24</v>
      </c>
      <c r="S1070" s="14">
        <v>1.41</v>
      </c>
      <c r="T1070" s="14">
        <v>0.858068526</v>
      </c>
      <c r="U1070" s="14">
        <v>0.83</v>
      </c>
    </row>
    <row r="1071">
      <c r="A1071" s="15" t="s">
        <v>162</v>
      </c>
      <c r="B1071" s="16">
        <v>2017.0</v>
      </c>
      <c r="C1071" s="16">
        <v>32.0</v>
      </c>
      <c r="D1071" s="16">
        <v>6.423999786</v>
      </c>
      <c r="E1071" s="16">
        <v>1.127868772</v>
      </c>
      <c r="F1071" s="16">
        <v>1.425792456</v>
      </c>
      <c r="G1071" s="16">
        <v>0.647239029</v>
      </c>
      <c r="H1071" s="16">
        <v>0.580200732</v>
      </c>
      <c r="I1071" s="16">
        <v>0.57212311</v>
      </c>
      <c r="J1071" s="16">
        <v>0.031612735</v>
      </c>
      <c r="K1071" s="16">
        <v>0.167004043113919</v>
      </c>
      <c r="L1071" s="16">
        <v>8.184541948139E-4</v>
      </c>
      <c r="M1071" s="16">
        <v>1.90012690012689</v>
      </c>
      <c r="N1071" s="16">
        <v>0.665</v>
      </c>
      <c r="O1071" s="16">
        <v>0.331508487462997</v>
      </c>
      <c r="P1071" s="16">
        <v>0.698439955711364</v>
      </c>
      <c r="Q1071" s="17" t="s">
        <v>24</v>
      </c>
      <c r="S1071" s="14">
        <v>1.41</v>
      </c>
      <c r="T1071" s="14">
        <v>0.858709276</v>
      </c>
      <c r="U1071" s="14">
        <v>0.83</v>
      </c>
    </row>
    <row r="1072">
      <c r="A1072" s="10" t="s">
        <v>162</v>
      </c>
      <c r="B1072" s="11">
        <v>2018.0</v>
      </c>
      <c r="C1072" s="11">
        <v>46.0</v>
      </c>
      <c r="D1072" s="11">
        <v>6.072</v>
      </c>
      <c r="E1072" s="11">
        <v>1.016</v>
      </c>
      <c r="F1072" s="11">
        <v>1.417</v>
      </c>
      <c r="G1072" s="11">
        <v>0.707</v>
      </c>
      <c r="H1072" s="11">
        <v>0.637</v>
      </c>
      <c r="I1072" s="11">
        <v>0.364</v>
      </c>
      <c r="J1072" s="11">
        <v>0.029</v>
      </c>
      <c r="K1072" s="11">
        <v>1.03429632617391</v>
      </c>
      <c r="L1072" s="11">
        <v>0.405154019594192</v>
      </c>
      <c r="M1072" s="11">
        <v>1.43213900094725</v>
      </c>
      <c r="N1072" s="11">
        <v>1.07</v>
      </c>
      <c r="O1072" s="11">
        <v>0.525466203689575</v>
      </c>
      <c r="P1072" s="11">
        <v>0.375356972217559</v>
      </c>
      <c r="Q1072" s="13" t="s">
        <v>24</v>
      </c>
      <c r="S1072" s="14">
        <v>1.41</v>
      </c>
      <c r="T1072" s="14">
        <v>0.859</v>
      </c>
      <c r="U1072" s="14">
        <v>0.831499159</v>
      </c>
    </row>
    <row r="1073">
      <c r="A1073" s="15" t="s">
        <v>162</v>
      </c>
      <c r="B1073" s="16">
        <v>2019.0</v>
      </c>
      <c r="C1073" s="16">
        <v>52.0</v>
      </c>
      <c r="D1073" s="16">
        <v>6.008</v>
      </c>
      <c r="E1073" s="16">
        <v>1.05</v>
      </c>
      <c r="F1073" s="16">
        <v>1.409</v>
      </c>
      <c r="G1073" s="16">
        <v>0.828</v>
      </c>
      <c r="H1073" s="16">
        <v>0.557</v>
      </c>
      <c r="I1073" s="16">
        <v>0.359</v>
      </c>
      <c r="J1073" s="16">
        <v>0.028</v>
      </c>
      <c r="K1073" s="16">
        <v>0.420964456778888</v>
      </c>
      <c r="L1073" s="16">
        <v>2.31489372253418</v>
      </c>
      <c r="M1073" s="16">
        <v>0.935836734693872</v>
      </c>
      <c r="N1073" s="16">
        <v>0.705999970436096</v>
      </c>
      <c r="O1073" s="16">
        <v>0.36214005947113</v>
      </c>
      <c r="P1073" s="16">
        <v>-0.95927232503891</v>
      </c>
      <c r="Q1073" s="17" t="s">
        <v>24</v>
      </c>
      <c r="S1073" s="14">
        <v>1.412227869</v>
      </c>
      <c r="T1073" s="14">
        <v>0.859828949</v>
      </c>
      <c r="U1073" s="14">
        <v>0.833</v>
      </c>
    </row>
    <row r="1074">
      <c r="A1074" s="10" t="s">
        <v>162</v>
      </c>
      <c r="B1074" s="11">
        <v>2020.0</v>
      </c>
      <c r="C1074" s="11">
        <v>54.0</v>
      </c>
      <c r="D1074" s="11">
        <v>5.998799801</v>
      </c>
      <c r="E1074" s="11">
        <v>1.007029295</v>
      </c>
      <c r="F1074" s="11">
        <v>0.889973223</v>
      </c>
      <c r="G1074" s="11">
        <v>67.25059509</v>
      </c>
      <c r="H1074" s="11">
        <v>0.905063033</v>
      </c>
      <c r="I1074" s="11">
        <v>0.268685192</v>
      </c>
      <c r="J1074" s="11">
        <v>0.886272311</v>
      </c>
      <c r="K1074" s="11">
        <v>-1.02119412627028</v>
      </c>
      <c r="L1074" s="11">
        <v>1.22834360599517</v>
      </c>
      <c r="M1074" s="11">
        <v>-1.03909212075725</v>
      </c>
      <c r="N1074" s="11">
        <v>-0.845937147356597</v>
      </c>
      <c r="O1074" s="11">
        <v>0.0700000002980232</v>
      </c>
      <c r="P1074" s="11">
        <v>-1.60275292396545</v>
      </c>
      <c r="Q1074" s="13" t="s">
        <v>24</v>
      </c>
      <c r="S1074" s="14">
        <v>1.413</v>
      </c>
      <c r="T1074" s="14">
        <v>0.86</v>
      </c>
      <c r="U1074" s="14">
        <v>0.834</v>
      </c>
    </row>
    <row r="1075">
      <c r="A1075" s="15" t="s">
        <v>162</v>
      </c>
      <c r="B1075" s="16">
        <v>2021.0</v>
      </c>
      <c r="C1075" s="16">
        <v>54.0</v>
      </c>
      <c r="D1075" s="16">
        <v>5.985</v>
      </c>
      <c r="E1075" s="16">
        <v>9.805</v>
      </c>
      <c r="F1075" s="16">
        <v>0.888</v>
      </c>
      <c r="G1075" s="16">
        <v>67.401</v>
      </c>
      <c r="H1075" s="16">
        <v>0.884</v>
      </c>
      <c r="I1075" s="16">
        <v>0.287</v>
      </c>
      <c r="J1075" s="16">
        <v>0.895</v>
      </c>
      <c r="K1075" s="16">
        <v>-1.72</v>
      </c>
      <c r="L1075" s="16">
        <v>-0.13</v>
      </c>
      <c r="M1075" s="16">
        <v>1.90205226559738</v>
      </c>
      <c r="N1075" s="16">
        <v>1.23039541318382</v>
      </c>
      <c r="O1075" s="16">
        <v>-0.0041637520402205</v>
      </c>
      <c r="P1075" s="16">
        <v>4.71601569162546</v>
      </c>
      <c r="Q1075" s="17" t="s">
        <v>24</v>
      </c>
      <c r="S1075" s="14">
        <v>1.416403651</v>
      </c>
      <c r="T1075" s="14">
        <v>0.861</v>
      </c>
      <c r="U1075" s="14">
        <v>0.834</v>
      </c>
    </row>
    <row r="1076">
      <c r="A1076" s="10" t="s">
        <v>162</v>
      </c>
      <c r="B1076" s="11">
        <v>2022.0</v>
      </c>
      <c r="C1076" s="11">
        <v>61.0</v>
      </c>
      <c r="D1076" s="11">
        <v>5.891</v>
      </c>
      <c r="E1076" s="11">
        <v>1.535</v>
      </c>
      <c r="F1076" s="11">
        <v>1.096</v>
      </c>
      <c r="G1076" s="11">
        <v>0.697</v>
      </c>
      <c r="H1076" s="11">
        <v>0.617</v>
      </c>
      <c r="I1076" s="11">
        <v>0.321</v>
      </c>
      <c r="J1076" s="11">
        <v>0.026</v>
      </c>
      <c r="K1076" s="11">
        <v>4.74693304091561</v>
      </c>
      <c r="L1076" s="11">
        <v>6.6437460561197</v>
      </c>
      <c r="M1076" s="11">
        <v>0.798569333852678</v>
      </c>
      <c r="N1076" s="11">
        <v>6.07741228434321</v>
      </c>
      <c r="O1076" s="11">
        <v>0.567964156631517</v>
      </c>
      <c r="P1076" s="11">
        <v>10.3754377392295</v>
      </c>
      <c r="Q1076" s="13" t="s">
        <v>24</v>
      </c>
      <c r="S1076" s="14">
        <v>1.417</v>
      </c>
      <c r="T1076" s="14">
        <v>0.861535907</v>
      </c>
      <c r="U1076" s="14">
        <v>0.834788501</v>
      </c>
    </row>
    <row r="1077">
      <c r="A1077" s="15" t="s">
        <v>162</v>
      </c>
      <c r="B1077" s="16">
        <v>2023.0</v>
      </c>
      <c r="C1077" s="16">
        <v>60.0</v>
      </c>
      <c r="D1077" s="16">
        <v>5.843</v>
      </c>
      <c r="E1077" s="16">
        <v>9.751</v>
      </c>
      <c r="F1077" s="16">
        <v>0.874</v>
      </c>
      <c r="G1077" s="16">
        <v>68.45</v>
      </c>
      <c r="H1077" s="16">
        <v>0.85</v>
      </c>
      <c r="I1077" s="16">
        <v>0.289</v>
      </c>
      <c r="J1077" s="16">
        <v>0.91</v>
      </c>
      <c r="K1077" s="16">
        <v>3.11826227234954</v>
      </c>
      <c r="L1077" s="16">
        <v>2.56886675352912</v>
      </c>
      <c r="M1077" s="16">
        <v>1.23926121938826</v>
      </c>
      <c r="N1077" s="16">
        <v>3.87624238538022</v>
      </c>
      <c r="O1077" s="16">
        <v>0.593734732239695</v>
      </c>
      <c r="P1077" s="12"/>
      <c r="Q1077" s="17" t="s">
        <v>24</v>
      </c>
      <c r="S1077" s="14">
        <v>1.419</v>
      </c>
      <c r="T1077" s="14">
        <v>0.862</v>
      </c>
      <c r="U1077" s="14">
        <v>0.835</v>
      </c>
    </row>
    <row r="1078">
      <c r="A1078" s="10" t="s">
        <v>163</v>
      </c>
      <c r="B1078" s="11">
        <v>2015.0</v>
      </c>
      <c r="C1078" s="11">
        <v>158.0</v>
      </c>
      <c r="D1078" s="11">
        <v>2.839</v>
      </c>
      <c r="E1078" s="11">
        <v>0.20868</v>
      </c>
      <c r="F1078" s="11">
        <v>0.13995</v>
      </c>
      <c r="G1078" s="11">
        <v>0.28443</v>
      </c>
      <c r="H1078" s="11">
        <v>0.36453</v>
      </c>
      <c r="I1078" s="11">
        <v>0.16681</v>
      </c>
      <c r="J1078" s="11">
        <v>0.10731</v>
      </c>
      <c r="K1078" s="11">
        <v>0.589999973773956</v>
      </c>
      <c r="L1078" s="11">
        <v>5.87967777252197</v>
      </c>
      <c r="M1078" s="11">
        <v>3.48061714261708</v>
      </c>
      <c r="N1078" s="11">
        <v>1.78499996662139</v>
      </c>
      <c r="O1078" s="12"/>
      <c r="P1078" s="12"/>
      <c r="Q1078" s="13" t="s">
        <v>28</v>
      </c>
      <c r="S1078" s="14">
        <v>1.419920564</v>
      </c>
      <c r="T1078" s="14">
        <v>0.862055779</v>
      </c>
      <c r="U1078" s="14">
        <v>0.836737812</v>
      </c>
    </row>
    <row r="1079">
      <c r="A1079" s="15" t="s">
        <v>163</v>
      </c>
      <c r="B1079" s="16">
        <v>2016.0</v>
      </c>
      <c r="C1079" s="16">
        <v>155.0</v>
      </c>
      <c r="D1079" s="16">
        <v>3.303</v>
      </c>
      <c r="E1079" s="16">
        <v>0.28123</v>
      </c>
      <c r="F1079" s="16">
        <v>0.0</v>
      </c>
      <c r="G1079" s="16">
        <v>0.24811</v>
      </c>
      <c r="H1079" s="16">
        <v>0.34678</v>
      </c>
      <c r="I1079" s="16">
        <v>0.17517</v>
      </c>
      <c r="J1079" s="16">
        <v>0.11587</v>
      </c>
      <c r="K1079" s="16">
        <v>-1.0</v>
      </c>
      <c r="L1079" s="16">
        <v>3.14559984207153</v>
      </c>
      <c r="M1079" s="16">
        <v>1.49603661940382</v>
      </c>
      <c r="N1079" s="16">
        <v>0.856999993324279</v>
      </c>
      <c r="O1079" s="12"/>
      <c r="P1079" s="12"/>
      <c r="Q1079" s="17" t="s">
        <v>28</v>
      </c>
      <c r="S1079" s="14">
        <v>1.425792456</v>
      </c>
      <c r="T1079" s="14">
        <v>0.863902867</v>
      </c>
      <c r="U1079" s="14">
        <v>0.837</v>
      </c>
    </row>
    <row r="1080">
      <c r="A1080" s="10" t="s">
        <v>163</v>
      </c>
      <c r="B1080" s="11">
        <v>2017.0</v>
      </c>
      <c r="C1080" s="11">
        <v>150.0</v>
      </c>
      <c r="D1080" s="11">
        <v>3.494999886</v>
      </c>
      <c r="E1080" s="11">
        <v>0.305444717</v>
      </c>
      <c r="F1080" s="11">
        <v>0.43188253</v>
      </c>
      <c r="G1080" s="11">
        <v>0.247105569</v>
      </c>
      <c r="H1080" s="11">
        <v>0.380426139</v>
      </c>
      <c r="I1080" s="11">
        <v>0.196896151</v>
      </c>
      <c r="J1080" s="11">
        <v>0.095665015</v>
      </c>
      <c r="K1080" s="11">
        <v>0.170000001788139</v>
      </c>
      <c r="L1080" s="11">
        <v>-4.15422344207763</v>
      </c>
      <c r="M1080" s="11">
        <v>-0.434995650043501</v>
      </c>
      <c r="N1080" s="11">
        <v>-0.215</v>
      </c>
      <c r="O1080" s="12"/>
      <c r="P1080" s="12"/>
      <c r="Q1080" s="13" t="s">
        <v>28</v>
      </c>
      <c r="S1080" s="14">
        <v>1.428939223</v>
      </c>
      <c r="T1080" s="14">
        <v>0.864451885</v>
      </c>
      <c r="U1080" s="14">
        <v>0.838239431</v>
      </c>
    </row>
    <row r="1081">
      <c r="A1081" s="15" t="s">
        <v>163</v>
      </c>
      <c r="B1081" s="16">
        <v>2018.0</v>
      </c>
      <c r="C1081" s="16">
        <v>139.0</v>
      </c>
      <c r="D1081" s="16">
        <v>3.999</v>
      </c>
      <c r="E1081" s="16">
        <v>0.259</v>
      </c>
      <c r="F1081" s="16">
        <v>0.474</v>
      </c>
      <c r="G1081" s="16">
        <v>0.253</v>
      </c>
      <c r="H1081" s="16">
        <v>0.434</v>
      </c>
      <c r="I1081" s="16">
        <v>0.158</v>
      </c>
      <c r="J1081" s="16">
        <v>0.101</v>
      </c>
      <c r="K1081" s="16">
        <v>1.03441882133483</v>
      </c>
      <c r="L1081" s="16">
        <v>0.305294088475801</v>
      </c>
      <c r="M1081" s="16">
        <v>1.36894120482895</v>
      </c>
      <c r="N1081" s="16">
        <v>0.94</v>
      </c>
      <c r="O1081" s="12"/>
      <c r="P1081" s="12"/>
      <c r="Q1081" s="17" t="s">
        <v>28</v>
      </c>
      <c r="S1081" s="14">
        <v>1.429</v>
      </c>
      <c r="T1081" s="14">
        <v>0.866202772</v>
      </c>
      <c r="U1081" s="14">
        <v>0.839</v>
      </c>
    </row>
    <row r="1082">
      <c r="A1082" s="10" t="s">
        <v>163</v>
      </c>
      <c r="B1082" s="11">
        <v>2019.0</v>
      </c>
      <c r="C1082" s="11">
        <v>139.0</v>
      </c>
      <c r="D1082" s="11">
        <v>4.085</v>
      </c>
      <c r="E1082" s="11">
        <v>0.275</v>
      </c>
      <c r="F1082" s="11">
        <v>0.572</v>
      </c>
      <c r="G1082" s="11">
        <v>0.41</v>
      </c>
      <c r="H1082" s="11">
        <v>0.293</v>
      </c>
      <c r="I1082" s="11">
        <v>0.177</v>
      </c>
      <c r="J1082" s="11">
        <v>0.085</v>
      </c>
      <c r="K1082" s="11">
        <v>0.4208449</v>
      </c>
      <c r="L1082" s="11">
        <v>-0.524165570735931</v>
      </c>
      <c r="M1082" s="11">
        <v>1.51888951639271</v>
      </c>
      <c r="N1082" s="11">
        <v>0.686999976634979</v>
      </c>
      <c r="O1082" s="12"/>
      <c r="P1082" s="12"/>
      <c r="Q1082" s="13" t="s">
        <v>28</v>
      </c>
      <c r="S1082" s="14">
        <v>1.431</v>
      </c>
      <c r="T1082" s="14">
        <v>0.867</v>
      </c>
      <c r="U1082" s="14">
        <v>0.839</v>
      </c>
    </row>
    <row r="1083">
      <c r="A1083" s="15" t="s">
        <v>163</v>
      </c>
      <c r="B1083" s="16">
        <v>2020.0</v>
      </c>
      <c r="C1083" s="16">
        <v>135.0</v>
      </c>
      <c r="D1083" s="16">
        <v>4.187200069</v>
      </c>
      <c r="E1083" s="16">
        <v>0.268116266</v>
      </c>
      <c r="F1083" s="16">
        <v>0.551312625</v>
      </c>
      <c r="G1083" s="16">
        <v>54.71989822</v>
      </c>
      <c r="H1083" s="16">
        <v>0.649828613</v>
      </c>
      <c r="I1083" s="16">
        <v>0.002667875</v>
      </c>
      <c r="J1083" s="16">
        <v>0.757733464</v>
      </c>
      <c r="K1083" s="16">
        <v>0.775619060479719</v>
      </c>
      <c r="L1083" s="16">
        <v>3.38628435134887</v>
      </c>
      <c r="M1083" s="16">
        <v>1.11163162928695</v>
      </c>
      <c r="N1083" s="16">
        <v>1.82754038519997</v>
      </c>
      <c r="O1083" s="12"/>
      <c r="P1083" s="12"/>
      <c r="Q1083" s="17" t="s">
        <v>28</v>
      </c>
      <c r="S1083" s="14">
        <v>1.431306005</v>
      </c>
      <c r="T1083" s="14">
        <v>0.867</v>
      </c>
      <c r="U1083" s="14">
        <v>0.839</v>
      </c>
    </row>
    <row r="1084">
      <c r="A1084" s="10" t="s">
        <v>163</v>
      </c>
      <c r="B1084" s="11">
        <v>2021.0</v>
      </c>
      <c r="C1084" s="11">
        <v>136.0</v>
      </c>
      <c r="D1084" s="11">
        <v>4.107</v>
      </c>
      <c r="E1084" s="11">
        <v>7.362</v>
      </c>
      <c r="F1084" s="11">
        <v>0.569</v>
      </c>
      <c r="G1084" s="11">
        <v>54.914</v>
      </c>
      <c r="H1084" s="11">
        <v>0.619</v>
      </c>
      <c r="I1084" s="11">
        <v>0.032</v>
      </c>
      <c r="J1084" s="11">
        <v>0.772</v>
      </c>
      <c r="K1084" s="11">
        <v>0.595941771824857</v>
      </c>
      <c r="L1084" s="11">
        <v>9.8336290873989</v>
      </c>
      <c r="M1084" s="11">
        <v>1.65973447680337</v>
      </c>
      <c r="N1084" s="11">
        <v>4.5515289678484</v>
      </c>
      <c r="O1084" s="12"/>
      <c r="P1084" s="12"/>
      <c r="Q1084" s="13" t="s">
        <v>28</v>
      </c>
      <c r="S1084" s="14">
        <v>1.432</v>
      </c>
      <c r="T1084" s="14">
        <v>0.867371082</v>
      </c>
      <c r="U1084" s="14">
        <v>0.839302301</v>
      </c>
    </row>
    <row r="1085">
      <c r="A1085" s="15" t="s">
        <v>163</v>
      </c>
      <c r="B1085" s="16">
        <v>2022.0</v>
      </c>
      <c r="C1085" s="16">
        <v>135.0</v>
      </c>
      <c r="D1085" s="16">
        <v>4.112</v>
      </c>
      <c r="E1085" s="16">
        <v>0.771</v>
      </c>
      <c r="F1085" s="16">
        <v>0.322</v>
      </c>
      <c r="G1085" s="16">
        <v>0.36</v>
      </c>
      <c r="H1085" s="16">
        <v>0.292</v>
      </c>
      <c r="I1085" s="16">
        <v>0.174</v>
      </c>
      <c r="J1085" s="16">
        <v>0.132</v>
      </c>
      <c r="K1085" s="16">
        <v>12.7737387702875</v>
      </c>
      <c r="L1085" s="16">
        <v>13.0523405646958</v>
      </c>
      <c r="M1085" s="16">
        <v>1.8155886207694</v>
      </c>
      <c r="N1085" s="16">
        <v>7.96757361617946</v>
      </c>
      <c r="O1085" s="12"/>
      <c r="P1085" s="12"/>
      <c r="Q1085" s="17" t="s">
        <v>28</v>
      </c>
      <c r="S1085" s="14">
        <v>1.433</v>
      </c>
      <c r="T1085" s="14">
        <v>0.868</v>
      </c>
      <c r="U1085" s="14">
        <v>0.839328408</v>
      </c>
    </row>
    <row r="1086">
      <c r="A1086" s="10" t="s">
        <v>163</v>
      </c>
      <c r="B1086" s="11">
        <v>2023.0</v>
      </c>
      <c r="C1086" s="11">
        <v>122.0</v>
      </c>
      <c r="D1086" s="11">
        <v>4.137</v>
      </c>
      <c r="E1086" s="11">
        <v>7.673</v>
      </c>
      <c r="F1086" s="11">
        <v>0.595</v>
      </c>
      <c r="G1086" s="11">
        <v>57.449</v>
      </c>
      <c r="H1086" s="11">
        <v>0.657</v>
      </c>
      <c r="I1086" s="11">
        <v>0.024</v>
      </c>
      <c r="J1086" s="11">
        <v>0.74</v>
      </c>
      <c r="K1086" s="11">
        <v>7.21572725776294</v>
      </c>
      <c r="L1086" s="11">
        <v>3.49186867137156</v>
      </c>
      <c r="M1086" s="11">
        <v>2.78401812071815</v>
      </c>
      <c r="N1086" s="11">
        <v>5.059</v>
      </c>
      <c r="O1086" s="12"/>
      <c r="P1086" s="12"/>
      <c r="Q1086" s="13" t="s">
        <v>28</v>
      </c>
      <c r="S1086" s="14">
        <v>1.433885217</v>
      </c>
      <c r="T1086" s="14">
        <v>0.869</v>
      </c>
      <c r="U1086" s="14">
        <v>0.84</v>
      </c>
    </row>
    <row r="1087">
      <c r="A1087" s="15" t="s">
        <v>164</v>
      </c>
      <c r="B1087" s="16">
        <v>2015.0</v>
      </c>
      <c r="C1087" s="16">
        <v>41.0</v>
      </c>
      <c r="D1087" s="16">
        <v>6.168</v>
      </c>
      <c r="E1087" s="16">
        <v>1.21183</v>
      </c>
      <c r="F1087" s="16">
        <v>1.18354</v>
      </c>
      <c r="G1087" s="16">
        <v>0.61483</v>
      </c>
      <c r="H1087" s="16">
        <v>0.55884</v>
      </c>
      <c r="I1087" s="16">
        <v>0.31844</v>
      </c>
      <c r="J1087" s="16">
        <v>0.0114</v>
      </c>
      <c r="K1087" s="16">
        <v>5.01400232315063</v>
      </c>
      <c r="L1087" s="16">
        <v>8.5648546218872</v>
      </c>
      <c r="M1087" s="16">
        <v>-11.379192658463</v>
      </c>
      <c r="N1087" s="16">
        <v>4.6593804359436</v>
      </c>
      <c r="O1087" s="16">
        <v>1.83879089355468</v>
      </c>
      <c r="P1087" s="16">
        <v>2.37988328933715</v>
      </c>
      <c r="Q1087" s="17" t="s">
        <v>43</v>
      </c>
      <c r="S1087" s="14">
        <v>1.434379458</v>
      </c>
      <c r="T1087" s="14">
        <v>0.870603263</v>
      </c>
      <c r="U1087" s="14">
        <v>0.841</v>
      </c>
    </row>
    <row r="1088">
      <c r="A1088" s="10" t="s">
        <v>164</v>
      </c>
      <c r="B1088" s="11">
        <v>2016.0</v>
      </c>
      <c r="C1088" s="11">
        <v>43.0</v>
      </c>
      <c r="D1088" s="11">
        <v>6.168</v>
      </c>
      <c r="E1088" s="11">
        <v>1.32572</v>
      </c>
      <c r="F1088" s="11">
        <v>0.98569</v>
      </c>
      <c r="G1088" s="11">
        <v>0.52608</v>
      </c>
      <c r="H1088" s="11">
        <v>0.48453</v>
      </c>
      <c r="I1088" s="11">
        <v>0.31935</v>
      </c>
      <c r="J1088" s="11">
        <v>0.01241</v>
      </c>
      <c r="K1088" s="11">
        <v>4.90792369842529</v>
      </c>
      <c r="L1088" s="11">
        <v>7.47351598739624</v>
      </c>
      <c r="M1088" s="11">
        <v>-0.645064666930534</v>
      </c>
      <c r="N1088" s="11">
        <v>3.09413886070251</v>
      </c>
      <c r="O1088" s="11">
        <v>2.14362263679504</v>
      </c>
      <c r="P1088" s="11">
        <v>1.18421053886413</v>
      </c>
      <c r="Q1088" s="13" t="s">
        <v>43</v>
      </c>
      <c r="S1088" s="14">
        <v>1.436337829</v>
      </c>
      <c r="T1088" s="14">
        <v>0.870614409</v>
      </c>
      <c r="U1088" s="14">
        <v>0.842</v>
      </c>
    </row>
    <row r="1089">
      <c r="A1089" s="15" t="s">
        <v>164</v>
      </c>
      <c r="B1089" s="16">
        <v>2017.0</v>
      </c>
      <c r="C1089" s="16">
        <v>38.0</v>
      </c>
      <c r="D1089" s="16">
        <v>6.168000221</v>
      </c>
      <c r="E1089" s="16">
        <v>1.361355901</v>
      </c>
      <c r="F1089" s="16">
        <v>1.380228519</v>
      </c>
      <c r="G1089" s="16">
        <v>0.519983292</v>
      </c>
      <c r="H1089" s="16">
        <v>0.518630743</v>
      </c>
      <c r="I1089" s="16">
        <v>0.325296462</v>
      </c>
      <c r="J1089" s="16">
        <v>0.008964816</v>
      </c>
      <c r="K1089" s="16">
        <v>5.32962751388549</v>
      </c>
      <c r="L1089" s="16">
        <v>2.9195373058319</v>
      </c>
      <c r="M1089" s="16">
        <v>4.78379775184116</v>
      </c>
      <c r="N1089" s="16">
        <v>1.884</v>
      </c>
      <c r="O1089" s="16">
        <v>1.66276538372039</v>
      </c>
      <c r="P1089" s="16">
        <v>1.92891204357147</v>
      </c>
      <c r="Q1089" s="17" t="s">
        <v>43</v>
      </c>
      <c r="S1089" s="14">
        <v>1.438</v>
      </c>
      <c r="T1089" s="14">
        <v>0.872</v>
      </c>
      <c r="U1089" s="14">
        <v>0.842009842</v>
      </c>
    </row>
    <row r="1090">
      <c r="A1090" s="10" t="s">
        <v>164</v>
      </c>
      <c r="B1090" s="11">
        <v>2020.0</v>
      </c>
      <c r="C1090" s="11">
        <v>42.0</v>
      </c>
      <c r="D1090" s="11">
        <v>6.191899776</v>
      </c>
      <c r="E1090" s="11">
        <v>1.167641521</v>
      </c>
      <c r="F1090" s="11">
        <v>0.91529417</v>
      </c>
      <c r="G1090" s="11">
        <v>63.5</v>
      </c>
      <c r="H1090" s="11">
        <v>0.857907116</v>
      </c>
      <c r="I1090" s="11">
        <v>5.26841E-4</v>
      </c>
      <c r="J1090" s="11">
        <v>0.912230611</v>
      </c>
      <c r="K1090" s="11">
        <v>4.73705911636352</v>
      </c>
      <c r="L1090" s="11">
        <v>2.80394148826599</v>
      </c>
      <c r="M1090" s="11">
        <v>0.602616910629847</v>
      </c>
      <c r="N1090" s="11">
        <v>0.598986330824428</v>
      </c>
      <c r="O1090" s="11">
        <v>0.0933125987648963</v>
      </c>
      <c r="P1090" s="12"/>
      <c r="Q1090" s="13" t="s">
        <v>43</v>
      </c>
      <c r="S1090" s="14">
        <v>1.438</v>
      </c>
      <c r="T1090" s="14">
        <v>0.872366488</v>
      </c>
      <c r="U1090" s="14">
        <v>0.843</v>
      </c>
    </row>
    <row r="1091">
      <c r="A1091" s="15" t="s">
        <v>165</v>
      </c>
      <c r="B1091" s="16">
        <v>2015.0</v>
      </c>
      <c r="C1091" s="16">
        <v>107.0</v>
      </c>
      <c r="D1091" s="16">
        <v>4.739</v>
      </c>
      <c r="E1091" s="16">
        <v>0.88113</v>
      </c>
      <c r="F1091" s="16">
        <v>0.60429</v>
      </c>
      <c r="G1091" s="16">
        <v>0.73793</v>
      </c>
      <c r="H1091" s="16">
        <v>0.26268</v>
      </c>
      <c r="I1091" s="16">
        <v>0.06431</v>
      </c>
      <c r="J1091" s="16">
        <v>0.06358</v>
      </c>
      <c r="K1091" s="16">
        <v>7.62230253219604</v>
      </c>
      <c r="L1091" s="16">
        <v>4.51140785217285</v>
      </c>
      <c r="M1091" s="16">
        <v>3.50289241236453</v>
      </c>
      <c r="N1091" s="16">
        <v>4.44696426391601</v>
      </c>
      <c r="O1091" s="16">
        <v>4.6724786</v>
      </c>
      <c r="P1091" s="16">
        <v>5.04832077026367</v>
      </c>
      <c r="Q1091" s="17" t="s">
        <v>28</v>
      </c>
      <c r="S1091" s="14">
        <v>1.439</v>
      </c>
      <c r="T1091" s="14">
        <v>0.873</v>
      </c>
      <c r="U1091" s="14">
        <v>0.843</v>
      </c>
    </row>
    <row r="1092">
      <c r="A1092" s="10" t="s">
        <v>165</v>
      </c>
      <c r="B1092" s="11">
        <v>2016.0</v>
      </c>
      <c r="C1092" s="11">
        <v>98.0</v>
      </c>
      <c r="D1092" s="11">
        <v>5.045</v>
      </c>
      <c r="E1092" s="11">
        <v>0.97724</v>
      </c>
      <c r="F1092" s="11">
        <v>0.43165</v>
      </c>
      <c r="G1092" s="11">
        <v>0.59577</v>
      </c>
      <c r="H1092" s="11">
        <v>0.23553</v>
      </c>
      <c r="I1092" s="11">
        <v>0.03936</v>
      </c>
      <c r="J1092" s="11">
        <v>0.0817</v>
      </c>
      <c r="K1092" s="11">
        <v>6.56355762481689</v>
      </c>
      <c r="L1092" s="11">
        <v>2.72499847412109</v>
      </c>
      <c r="M1092" s="11">
        <v>4.73482537280648</v>
      </c>
      <c r="N1092" s="11">
        <v>3.60772824287414</v>
      </c>
      <c r="O1092" s="11">
        <v>4.37666295</v>
      </c>
      <c r="P1092" s="11">
        <v>1.4073851108551</v>
      </c>
      <c r="Q1092" s="13" t="s">
        <v>28</v>
      </c>
      <c r="S1092" s="14">
        <v>1.439</v>
      </c>
      <c r="T1092" s="14">
        <v>0.874</v>
      </c>
      <c r="U1092" s="14">
        <v>0.843</v>
      </c>
    </row>
    <row r="1093">
      <c r="A1093" s="15" t="s">
        <v>165</v>
      </c>
      <c r="B1093" s="16">
        <v>2017.0</v>
      </c>
      <c r="C1093" s="16">
        <v>102.0</v>
      </c>
      <c r="D1093" s="16">
        <v>4.804999828</v>
      </c>
      <c r="E1093" s="16">
        <v>1.007265806</v>
      </c>
      <c r="F1093" s="16">
        <v>0.86835146</v>
      </c>
      <c r="G1093" s="16">
        <v>0.613212049</v>
      </c>
      <c r="H1093" s="16">
        <v>0.28968069</v>
      </c>
      <c r="I1093" s="16">
        <v>0.049693357</v>
      </c>
      <c r="J1093" s="16">
        <v>0.086723149</v>
      </c>
      <c r="K1093" s="16">
        <v>8.03306770324707</v>
      </c>
      <c r="L1093" s="16">
        <v>5.62991762161254</v>
      </c>
      <c r="M1093" s="16">
        <v>4.75691127008909</v>
      </c>
      <c r="N1093" s="16">
        <v>5.308839</v>
      </c>
      <c r="O1093" s="16">
        <v>5.42321036</v>
      </c>
      <c r="P1093" s="16">
        <v>4.60361671447753</v>
      </c>
      <c r="Q1093" s="17" t="s">
        <v>28</v>
      </c>
      <c r="S1093" s="14">
        <v>1.440451145</v>
      </c>
      <c r="T1093" s="14">
        <v>0.874</v>
      </c>
      <c r="U1093" s="14">
        <v>0.843</v>
      </c>
    </row>
    <row r="1094">
      <c r="A1094" s="10" t="s">
        <v>165</v>
      </c>
      <c r="B1094" s="11">
        <v>2018.0</v>
      </c>
      <c r="C1094" s="11">
        <v>111.0</v>
      </c>
      <c r="D1094" s="11">
        <v>4.592</v>
      </c>
      <c r="E1094" s="11">
        <v>0.9</v>
      </c>
      <c r="F1094" s="11">
        <v>0.906</v>
      </c>
      <c r="G1094" s="11">
        <v>0.69</v>
      </c>
      <c r="H1094" s="11">
        <v>0.271</v>
      </c>
      <c r="I1094" s="11">
        <v>0.04</v>
      </c>
      <c r="J1094" s="11">
        <v>0.063</v>
      </c>
      <c r="K1094" s="11">
        <v>15.7930641174316</v>
      </c>
      <c r="L1094" s="11">
        <v>7.24982929229736</v>
      </c>
      <c r="M1094" s="11">
        <v>7.89541979638595</v>
      </c>
      <c r="N1094" s="11">
        <v>7.27</v>
      </c>
      <c r="O1094" s="11">
        <v>7.48579254</v>
      </c>
      <c r="P1094" s="11">
        <v>7.94123411178588</v>
      </c>
      <c r="Q1094" s="13" t="s">
        <v>28</v>
      </c>
      <c r="S1094" s="14">
        <v>1.441</v>
      </c>
      <c r="T1094" s="14">
        <v>0.875</v>
      </c>
      <c r="U1094" s="14">
        <v>0.843423843</v>
      </c>
    </row>
    <row r="1095">
      <c r="A1095" s="15" t="s">
        <v>165</v>
      </c>
      <c r="B1095" s="16">
        <v>2019.0</v>
      </c>
      <c r="C1095" s="16">
        <v>124.0</v>
      </c>
      <c r="D1095" s="16">
        <v>4.461</v>
      </c>
      <c r="E1095" s="16">
        <v>0.921</v>
      </c>
      <c r="F1095" s="16">
        <v>1.0</v>
      </c>
      <c r="G1095" s="16">
        <v>0.815</v>
      </c>
      <c r="H1095" s="16">
        <v>0.167</v>
      </c>
      <c r="I1095" s="16">
        <v>0.059</v>
      </c>
      <c r="J1095" s="16">
        <v>0.055</v>
      </c>
      <c r="K1095" s="16">
        <v>13.6005897521972</v>
      </c>
      <c r="L1095" s="16">
        <v>6.87432861328125</v>
      </c>
      <c r="M1095" s="16">
        <v>7.1348557840988</v>
      </c>
      <c r="N1095" s="16">
        <v>6.72200012207031</v>
      </c>
      <c r="O1095" s="16">
        <v>6.90879964</v>
      </c>
      <c r="P1095" s="16">
        <v>5.9832124710083</v>
      </c>
      <c r="Q1095" s="17" t="s">
        <v>28</v>
      </c>
      <c r="S1095" s="14">
        <v>1.441</v>
      </c>
      <c r="T1095" s="14">
        <v>0.875</v>
      </c>
      <c r="U1095" s="14">
        <v>0.843509018</v>
      </c>
    </row>
    <row r="1096">
      <c r="A1096" s="10" t="s">
        <v>165</v>
      </c>
      <c r="B1096" s="11">
        <v>2020.0</v>
      </c>
      <c r="C1096" s="11">
        <v>128.0</v>
      </c>
      <c r="D1096" s="11">
        <v>4.392199993</v>
      </c>
      <c r="E1096" s="11">
        <v>0.874742687</v>
      </c>
      <c r="F1096" s="11">
        <v>0.688718557</v>
      </c>
      <c r="G1096" s="11">
        <v>66.89785767</v>
      </c>
      <c r="H1096" s="11">
        <v>0.593361557</v>
      </c>
      <c r="I1096" s="11">
        <v>-0.216413811</v>
      </c>
      <c r="J1096" s="11">
        <v>0.867590249</v>
      </c>
      <c r="K1096" s="11">
        <v>4.74096183157578</v>
      </c>
      <c r="L1096" s="11">
        <v>4.6566162109375</v>
      </c>
      <c r="M1096" s="11">
        <v>6.13112840217328</v>
      </c>
      <c r="N1096" s="11">
        <v>5.63415115897618</v>
      </c>
      <c r="O1096" s="11">
        <v>6.65923648</v>
      </c>
      <c r="P1096" s="11">
        <v>1.86268279600575</v>
      </c>
      <c r="Q1096" s="13" t="s">
        <v>28</v>
      </c>
      <c r="S1096" s="14">
        <v>1.442</v>
      </c>
      <c r="T1096" s="14">
        <v>0.875873327</v>
      </c>
      <c r="U1096" s="14">
        <v>0.844</v>
      </c>
    </row>
    <row r="1097">
      <c r="A1097" s="15" t="s">
        <v>165</v>
      </c>
      <c r="B1097" s="16">
        <v>2021.0</v>
      </c>
      <c r="C1097" s="16">
        <v>122.0</v>
      </c>
      <c r="D1097" s="16">
        <v>4.596</v>
      </c>
      <c r="E1097" s="16">
        <v>9.266</v>
      </c>
      <c r="F1097" s="16">
        <v>0.691</v>
      </c>
      <c r="G1097" s="16">
        <v>67.201</v>
      </c>
      <c r="H1097" s="16">
        <v>0.656</v>
      </c>
      <c r="I1097" s="16">
        <v>-0.201</v>
      </c>
      <c r="J1097" s="16">
        <v>0.87</v>
      </c>
      <c r="K1097" s="16">
        <v>4.97</v>
      </c>
      <c r="L1097" s="16">
        <v>6.34</v>
      </c>
      <c r="M1097" s="16">
        <v>4.53605297629711</v>
      </c>
      <c r="N1097" s="16">
        <v>5.70635020830703</v>
      </c>
      <c r="O1097" s="16">
        <v>5.68235551</v>
      </c>
      <c r="P1097" s="16">
        <v>9.2699115044248</v>
      </c>
      <c r="Q1097" s="17" t="s">
        <v>28</v>
      </c>
      <c r="S1097" s="14">
        <v>1.444923282</v>
      </c>
      <c r="T1097" s="14">
        <v>0.876</v>
      </c>
      <c r="U1097" s="14">
        <v>0.844</v>
      </c>
    </row>
    <row r="1098">
      <c r="A1098" s="10" t="s">
        <v>165</v>
      </c>
      <c r="B1098" s="11">
        <v>2022.0</v>
      </c>
      <c r="C1098" s="11">
        <v>120.0</v>
      </c>
      <c r="D1098" s="11">
        <v>4.516</v>
      </c>
      <c r="E1098" s="11">
        <v>1.35</v>
      </c>
      <c r="F1098" s="11">
        <v>0.596</v>
      </c>
      <c r="G1098" s="11">
        <v>0.656</v>
      </c>
      <c r="H1098" s="11">
        <v>0.316</v>
      </c>
      <c r="I1098" s="11">
        <v>0.029</v>
      </c>
      <c r="J1098" s="11">
        <v>0.029</v>
      </c>
      <c r="K1098" s="11">
        <v>6.10939878944372</v>
      </c>
      <c r="L1098" s="11">
        <v>9.79705295785262</v>
      </c>
      <c r="M1098" s="11">
        <v>4.45347713507971</v>
      </c>
      <c r="N1098" s="11">
        <v>8.30646124447628</v>
      </c>
      <c r="O1098" s="11">
        <v>7.1381289</v>
      </c>
      <c r="P1098" s="12"/>
      <c r="Q1098" s="13" t="s">
        <v>28</v>
      </c>
      <c r="S1098" s="14">
        <v>1.444945216</v>
      </c>
      <c r="T1098" s="14">
        <v>0.876</v>
      </c>
      <c r="U1098" s="14">
        <v>0.846</v>
      </c>
    </row>
    <row r="1099">
      <c r="A1099" s="15" t="s">
        <v>165</v>
      </c>
      <c r="B1099" s="16">
        <v>2023.0</v>
      </c>
      <c r="C1099" s="16">
        <v>110.0</v>
      </c>
      <c r="D1099" s="16">
        <v>4.497</v>
      </c>
      <c r="E1099" s="16">
        <v>9.244</v>
      </c>
      <c r="F1099" s="16">
        <v>0.73</v>
      </c>
      <c r="G1099" s="16">
        <v>67.0</v>
      </c>
      <c r="H1099" s="16">
        <v>0.576</v>
      </c>
      <c r="I1099" s="16">
        <v>-0.213</v>
      </c>
      <c r="J1099" s="16">
        <v>0.907</v>
      </c>
      <c r="K1099" s="16">
        <v>5.74089804425683</v>
      </c>
      <c r="L1099" s="16">
        <v>14.3500923010099</v>
      </c>
      <c r="M1099" s="16">
        <v>10.4631478713977</v>
      </c>
      <c r="N1099" s="16">
        <v>9.32899597507865</v>
      </c>
      <c r="O1099" s="16">
        <v>7.52</v>
      </c>
      <c r="P1099" s="12"/>
      <c r="Q1099" s="17" t="s">
        <v>28</v>
      </c>
      <c r="S1099" s="14">
        <v>1.44571197</v>
      </c>
      <c r="T1099" s="14">
        <v>0.877</v>
      </c>
      <c r="U1099" s="14">
        <v>0.846</v>
      </c>
    </row>
    <row r="1100">
      <c r="A1100" s="10" t="s">
        <v>166</v>
      </c>
      <c r="B1100" s="11">
        <v>2015.0</v>
      </c>
      <c r="C1100" s="11">
        <v>76.0</v>
      </c>
      <c r="D1100" s="11">
        <v>5.332</v>
      </c>
      <c r="E1100" s="11">
        <v>1.06098</v>
      </c>
      <c r="F1100" s="11">
        <v>0.94632</v>
      </c>
      <c r="G1100" s="11">
        <v>0.73172</v>
      </c>
      <c r="H1100" s="11">
        <v>0.22815</v>
      </c>
      <c r="I1100" s="11">
        <v>0.12253</v>
      </c>
      <c r="J1100" s="11">
        <v>0.15746</v>
      </c>
      <c r="K1100" s="11">
        <v>1.32432794570922</v>
      </c>
      <c r="L1100" s="11">
        <v>11.1461133956909</v>
      </c>
      <c r="M1100" s="11">
        <v>7.84451848773237</v>
      </c>
      <c r="N1100" s="11">
        <v>7.67084980010986</v>
      </c>
      <c r="O1100" s="11">
        <v>8.03576755523681</v>
      </c>
      <c r="P1100" s="11">
        <v>5.28288888931274</v>
      </c>
      <c r="Q1100" s="13" t="s">
        <v>26</v>
      </c>
      <c r="S1100" s="14">
        <v>1.448</v>
      </c>
      <c r="T1100" s="14">
        <v>0.877</v>
      </c>
      <c r="U1100" s="14">
        <v>0.846</v>
      </c>
    </row>
    <row r="1101">
      <c r="A1101" s="15" t="s">
        <v>166</v>
      </c>
      <c r="B1101" s="16">
        <v>2016.0</v>
      </c>
      <c r="C1101" s="16">
        <v>78.0</v>
      </c>
      <c r="D1101" s="16">
        <v>5.389</v>
      </c>
      <c r="E1101" s="16">
        <v>1.16492</v>
      </c>
      <c r="F1101" s="16">
        <v>0.87717</v>
      </c>
      <c r="G1101" s="16">
        <v>0.64718</v>
      </c>
      <c r="H1101" s="16">
        <v>0.23889</v>
      </c>
      <c r="I1101" s="16">
        <v>0.04707</v>
      </c>
      <c r="J1101" s="16">
        <v>0.12348</v>
      </c>
      <c r="K1101" s="16">
        <v>6.60548734664917</v>
      </c>
      <c r="L1101" s="16">
        <v>5.78742790222168</v>
      </c>
      <c r="M1101" s="16">
        <v>8.13089911492864</v>
      </c>
      <c r="N1101" s="16">
        <v>7.77513122558593</v>
      </c>
      <c r="O1101" s="16">
        <v>8.47368621826171</v>
      </c>
      <c r="P1101" s="16">
        <v>4.29803037643432</v>
      </c>
      <c r="Q1101" s="17" t="s">
        <v>26</v>
      </c>
      <c r="S1101" s="14">
        <v>1.451</v>
      </c>
      <c r="T1101" s="14">
        <v>0.877</v>
      </c>
      <c r="U1101" s="14">
        <v>0.846</v>
      </c>
    </row>
    <row r="1102">
      <c r="A1102" s="10" t="s">
        <v>166</v>
      </c>
      <c r="B1102" s="11">
        <v>2017.0</v>
      </c>
      <c r="C1102" s="11">
        <v>69.0</v>
      </c>
      <c r="D1102" s="11">
        <v>5.5</v>
      </c>
      <c r="E1102" s="11">
        <v>1.198274374</v>
      </c>
      <c r="F1102" s="11">
        <v>1.337753177</v>
      </c>
      <c r="G1102" s="11">
        <v>0.637605608</v>
      </c>
      <c r="H1102" s="11">
        <v>0.3007406</v>
      </c>
      <c r="I1102" s="11">
        <v>0.046693042</v>
      </c>
      <c r="J1102" s="11">
        <v>0.09967158</v>
      </c>
      <c r="K1102" s="11">
        <v>7.57295322418212</v>
      </c>
      <c r="L1102" s="11">
        <v>12.6994199752807</v>
      </c>
      <c r="M1102" s="11">
        <v>10.9820409198818</v>
      </c>
      <c r="N1102" s="11">
        <v>11.144</v>
      </c>
      <c r="O1102" s="11">
        <v>10.0858192443847</v>
      </c>
      <c r="P1102" s="11">
        <v>15.8226385116577</v>
      </c>
      <c r="Q1102" s="13" t="s">
        <v>26</v>
      </c>
      <c r="S1102" s="14">
        <v>1.452518821</v>
      </c>
      <c r="T1102" s="14">
        <v>0.877</v>
      </c>
      <c r="U1102" s="14">
        <v>0.847</v>
      </c>
    </row>
    <row r="1103">
      <c r="A1103" s="15" t="s">
        <v>166</v>
      </c>
      <c r="B1103" s="16">
        <v>2018.0</v>
      </c>
      <c r="C1103" s="16">
        <v>74.0</v>
      </c>
      <c r="D1103" s="16">
        <v>5.483</v>
      </c>
      <c r="E1103" s="16">
        <v>1.148</v>
      </c>
      <c r="F1103" s="16">
        <v>1.38</v>
      </c>
      <c r="G1103" s="16">
        <v>0.686</v>
      </c>
      <c r="H1103" s="16">
        <v>0.324</v>
      </c>
      <c r="I1103" s="16">
        <v>0.106</v>
      </c>
      <c r="J1103" s="16">
        <v>0.109</v>
      </c>
      <c r="K1103" s="16">
        <v>11.972840309143</v>
      </c>
      <c r="L1103" s="16">
        <v>17.9624156951904</v>
      </c>
      <c r="M1103" s="16">
        <v>16.4851433952199</v>
      </c>
      <c r="N1103" s="16">
        <v>16.33</v>
      </c>
      <c r="O1103" s="16">
        <v>16.4620151519775</v>
      </c>
      <c r="P1103" s="16">
        <v>27.009084701538</v>
      </c>
      <c r="Q1103" s="17" t="s">
        <v>26</v>
      </c>
      <c r="S1103" s="14">
        <v>1.454</v>
      </c>
      <c r="T1103" s="14">
        <v>0.877</v>
      </c>
      <c r="U1103" s="14">
        <v>0.847</v>
      </c>
    </row>
    <row r="1104">
      <c r="A1104" s="10" t="s">
        <v>166</v>
      </c>
      <c r="B1104" s="11">
        <v>2019.0</v>
      </c>
      <c r="C1104" s="11">
        <v>79.0</v>
      </c>
      <c r="D1104" s="11">
        <v>5.373</v>
      </c>
      <c r="E1104" s="11">
        <v>1.183</v>
      </c>
      <c r="F1104" s="11">
        <v>1.36</v>
      </c>
      <c r="G1104" s="11">
        <v>0.808</v>
      </c>
      <c r="H1104" s="11">
        <v>0.195</v>
      </c>
      <c r="I1104" s="11">
        <v>0.083</v>
      </c>
      <c r="J1104" s="11">
        <v>0.106</v>
      </c>
      <c r="K1104" s="11">
        <v>7.91646242141723</v>
      </c>
      <c r="L1104" s="11">
        <v>19.5358180999755</v>
      </c>
      <c r="M1104" s="11">
        <v>13.9063595159104</v>
      </c>
      <c r="N1104" s="11">
        <v>15.1770000457763</v>
      </c>
      <c r="O1104" s="11">
        <v>13.4478931427001</v>
      </c>
      <c r="P1104" s="11">
        <v>17.5632419586181</v>
      </c>
      <c r="Q1104" s="13" t="s">
        <v>26</v>
      </c>
      <c r="S1104" s="14">
        <v>1.454</v>
      </c>
      <c r="T1104" s="14">
        <v>0.87770915</v>
      </c>
      <c r="U1104" s="14">
        <v>0.847964764</v>
      </c>
    </row>
    <row r="1105">
      <c r="A1105" s="15" t="s">
        <v>166</v>
      </c>
      <c r="B1105" s="16">
        <v>2020.0</v>
      </c>
      <c r="C1105" s="16">
        <v>93.0</v>
      </c>
      <c r="D1105" s="16">
        <v>5.131800175</v>
      </c>
      <c r="E1105" s="16">
        <v>1.127169251</v>
      </c>
      <c r="F1105" s="16">
        <v>0.826313555</v>
      </c>
      <c r="G1105" s="16">
        <v>66.90281677</v>
      </c>
      <c r="H1105" s="16">
        <v>0.608830452</v>
      </c>
      <c r="I1105" s="16">
        <v>-0.171046436</v>
      </c>
      <c r="J1105" s="16">
        <v>0.748197377</v>
      </c>
      <c r="K1105" s="16">
        <v>12.3953691520064</v>
      </c>
      <c r="L1105" s="16">
        <v>13.8489952087402</v>
      </c>
      <c r="M1105" s="16">
        <v>14.7015026397725</v>
      </c>
      <c r="N1105" s="16">
        <v>12.279</v>
      </c>
      <c r="O1105" s="16">
        <v>11.1929550170898</v>
      </c>
      <c r="P1105" s="16">
        <v>12.1383998231497</v>
      </c>
      <c r="Q1105" s="17" t="s">
        <v>26</v>
      </c>
      <c r="S1105" s="14">
        <v>1.455</v>
      </c>
      <c r="T1105" s="14">
        <v>0.878</v>
      </c>
      <c r="U1105" s="14">
        <v>0.848</v>
      </c>
    </row>
    <row r="1106">
      <c r="A1106" s="10" t="s">
        <v>166</v>
      </c>
      <c r="B1106" s="11">
        <v>2021.0</v>
      </c>
      <c r="C1106" s="11">
        <v>104.0</v>
      </c>
      <c r="D1106" s="11">
        <v>4.948</v>
      </c>
      <c r="E1106" s="11">
        <v>10.24</v>
      </c>
      <c r="F1106" s="11">
        <v>0.822</v>
      </c>
      <c r="G1106" s="11">
        <v>67.199</v>
      </c>
      <c r="H1106" s="11">
        <v>0.576</v>
      </c>
      <c r="I1106" s="11">
        <v>-0.139</v>
      </c>
      <c r="J1106" s="11">
        <v>0.776</v>
      </c>
      <c r="K1106" s="11">
        <v>21.74112</v>
      </c>
      <c r="L1106" s="11">
        <v>24.28</v>
      </c>
      <c r="M1106" s="11">
        <v>28.9505861055084</v>
      </c>
      <c r="N1106" s="11">
        <v>19.59649</v>
      </c>
      <c r="O1106" s="11">
        <v>18.2834931635414</v>
      </c>
      <c r="P1106" s="11">
        <v>43.8578281014922</v>
      </c>
      <c r="Q1106" s="13" t="s">
        <v>26</v>
      </c>
      <c r="S1106" s="14">
        <v>1.457</v>
      </c>
      <c r="T1106" s="14">
        <v>0.879</v>
      </c>
      <c r="U1106" s="14">
        <v>0.848</v>
      </c>
    </row>
    <row r="1107">
      <c r="A1107" s="15" t="s">
        <v>166</v>
      </c>
      <c r="B1107" s="16">
        <v>2022.0</v>
      </c>
      <c r="C1107" s="16">
        <v>112.0</v>
      </c>
      <c r="D1107" s="16">
        <v>4.744</v>
      </c>
      <c r="E1107" s="16">
        <v>1.707</v>
      </c>
      <c r="F1107" s="16">
        <v>0.865</v>
      </c>
      <c r="G1107" s="16">
        <v>0.702</v>
      </c>
      <c r="H1107" s="16">
        <v>0.209</v>
      </c>
      <c r="I1107" s="16">
        <v>0.087</v>
      </c>
      <c r="J1107" s="16">
        <v>0.115</v>
      </c>
      <c r="K1107" s="16">
        <v>126.90346907284</v>
      </c>
      <c r="L1107" s="16">
        <v>85.64528</v>
      </c>
      <c r="M1107" s="16">
        <v>95.3814089658564</v>
      </c>
      <c r="N1107" s="16">
        <v>72.30884</v>
      </c>
      <c r="O1107" s="16">
        <v>58.6129378127233</v>
      </c>
      <c r="P1107" s="16">
        <v>128.473696462633</v>
      </c>
      <c r="Q1107" s="17" t="s">
        <v>26</v>
      </c>
      <c r="S1107" s="14">
        <v>1.457583666</v>
      </c>
      <c r="T1107" s="14">
        <v>0.88</v>
      </c>
      <c r="U1107" s="14">
        <v>0.849</v>
      </c>
    </row>
    <row r="1108">
      <c r="A1108" s="10" t="s">
        <v>167</v>
      </c>
      <c r="B1108" s="11">
        <v>2015.0</v>
      </c>
      <c r="C1108" s="11">
        <v>70.0</v>
      </c>
      <c r="D1108" s="11">
        <v>5.548</v>
      </c>
      <c r="E1108" s="11">
        <v>0.95847</v>
      </c>
      <c r="F1108" s="11">
        <v>1.22668</v>
      </c>
      <c r="G1108" s="11">
        <v>0.53886</v>
      </c>
      <c r="H1108" s="11">
        <v>0.4761</v>
      </c>
      <c r="I1108" s="11">
        <v>0.16979</v>
      </c>
      <c r="J1108" s="11">
        <v>0.30844</v>
      </c>
      <c r="K1108" s="12"/>
      <c r="L1108" s="12"/>
      <c r="M1108" s="11">
        <v>-5.11108725984759</v>
      </c>
      <c r="N1108" s="11">
        <v>7.40500020980835</v>
      </c>
      <c r="O1108" s="11">
        <v>7.36633495</v>
      </c>
      <c r="P1108" s="12"/>
      <c r="Q1108" s="13" t="s">
        <v>24</v>
      </c>
      <c r="S1108" s="14">
        <v>1.459</v>
      </c>
      <c r="T1108" s="14">
        <v>0.880366504</v>
      </c>
      <c r="U1108" s="14">
        <v>0.849150956</v>
      </c>
    </row>
    <row r="1109">
      <c r="A1109" s="15" t="s">
        <v>167</v>
      </c>
      <c r="B1109" s="16">
        <v>2016.0</v>
      </c>
      <c r="C1109" s="16">
        <v>65.0</v>
      </c>
      <c r="D1109" s="16">
        <v>5.658</v>
      </c>
      <c r="E1109" s="16">
        <v>1.08017</v>
      </c>
      <c r="F1109" s="16">
        <v>1.03817</v>
      </c>
      <c r="G1109" s="16">
        <v>0.44006</v>
      </c>
      <c r="H1109" s="16">
        <v>0.37408</v>
      </c>
      <c r="I1109" s="16">
        <v>0.22567</v>
      </c>
      <c r="J1109" s="16">
        <v>0.28467</v>
      </c>
      <c r="K1109" s="12"/>
      <c r="L1109" s="12"/>
      <c r="M1109" s="16">
        <v>-4.86532138871293</v>
      </c>
      <c r="N1109" s="16">
        <v>3.64599990844726</v>
      </c>
      <c r="O1109" s="12"/>
      <c r="P1109" s="12"/>
      <c r="Q1109" s="17" t="s">
        <v>24</v>
      </c>
      <c r="S1109" s="14">
        <v>1.459</v>
      </c>
      <c r="T1109" s="14">
        <v>0.881444871</v>
      </c>
      <c r="U1109" s="14">
        <v>0.85</v>
      </c>
    </row>
    <row r="1110">
      <c r="A1110" s="10" t="s">
        <v>167</v>
      </c>
      <c r="B1110" s="11">
        <v>2017.0</v>
      </c>
      <c r="C1110" s="11">
        <v>59.0</v>
      </c>
      <c r="D1110" s="11">
        <v>5.822000027</v>
      </c>
      <c r="E1110" s="11">
        <v>1.130776763</v>
      </c>
      <c r="F1110" s="11">
        <v>1.493149161</v>
      </c>
      <c r="G1110" s="11">
        <v>0.43772608</v>
      </c>
      <c r="H1110" s="11">
        <v>0.418271929</v>
      </c>
      <c r="I1110" s="11">
        <v>0.249924988</v>
      </c>
      <c r="J1110" s="11">
        <v>0.25927034</v>
      </c>
      <c r="K1110" s="12"/>
      <c r="L1110" s="12"/>
      <c r="M1110" s="11">
        <v>-1.46876981610652</v>
      </c>
      <c r="N1110" s="11">
        <v>8.041</v>
      </c>
      <c r="O1110" s="12"/>
      <c r="P1110" s="12"/>
      <c r="Q1110" s="13" t="s">
        <v>24</v>
      </c>
      <c r="S1110" s="14">
        <v>1.459944963</v>
      </c>
      <c r="T1110" s="14">
        <v>0.882</v>
      </c>
      <c r="U1110" s="14">
        <v>0.851336598</v>
      </c>
    </row>
    <row r="1111">
      <c r="A1111" s="15" t="s">
        <v>167</v>
      </c>
      <c r="B1111" s="16">
        <v>2018.0</v>
      </c>
      <c r="C1111" s="16">
        <v>68.0</v>
      </c>
      <c r="D1111" s="16">
        <v>5.636</v>
      </c>
      <c r="E1111" s="16">
        <v>1.016</v>
      </c>
      <c r="F1111" s="16">
        <v>1.533</v>
      </c>
      <c r="G1111" s="16">
        <v>0.517</v>
      </c>
      <c r="H1111" s="16">
        <v>0.417</v>
      </c>
      <c r="I1111" s="16">
        <v>0.199</v>
      </c>
      <c r="J1111" s="16">
        <v>0.037</v>
      </c>
      <c r="K1111" s="12"/>
      <c r="L1111" s="12"/>
      <c r="M1111" s="16">
        <v>1.20990772844651</v>
      </c>
      <c r="N1111" s="16">
        <v>13.3</v>
      </c>
      <c r="O1111" s="12"/>
      <c r="P1111" s="12"/>
      <c r="Q1111" s="17" t="s">
        <v>24</v>
      </c>
      <c r="S1111" s="14">
        <v>1.462</v>
      </c>
      <c r="T1111" s="14">
        <v>0.882</v>
      </c>
      <c r="U1111" s="14">
        <v>0.851449788</v>
      </c>
    </row>
    <row r="1112">
      <c r="A1112" s="10" t="s">
        <v>167</v>
      </c>
      <c r="B1112" s="11">
        <v>2019.0</v>
      </c>
      <c r="C1112" s="11">
        <v>87.0</v>
      </c>
      <c r="D1112" s="11">
        <v>5.247</v>
      </c>
      <c r="E1112" s="11">
        <v>1.052</v>
      </c>
      <c r="F1112" s="11">
        <v>1.538</v>
      </c>
      <c r="G1112" s="11">
        <v>0.657</v>
      </c>
      <c r="H1112" s="11">
        <v>0.394</v>
      </c>
      <c r="I1112" s="11">
        <v>0.244</v>
      </c>
      <c r="J1112" s="11">
        <v>0.028</v>
      </c>
      <c r="K1112" s="12"/>
      <c r="L1112" s="12"/>
      <c r="M1112" s="11">
        <v>4.35097090079562</v>
      </c>
      <c r="N1112" s="11">
        <v>5.09200000762939</v>
      </c>
      <c r="O1112" s="12"/>
      <c r="P1112" s="12"/>
      <c r="Q1112" s="13" t="s">
        <v>24</v>
      </c>
      <c r="S1112" s="14">
        <v>1.462312698</v>
      </c>
      <c r="T1112" s="14">
        <v>0.884</v>
      </c>
      <c r="U1112" s="14">
        <v>0.851588905</v>
      </c>
    </row>
    <row r="1113">
      <c r="A1113" s="15" t="s">
        <v>167</v>
      </c>
      <c r="B1113" s="16">
        <v>2020.0</v>
      </c>
      <c r="C1113" s="16">
        <v>95.0</v>
      </c>
      <c r="D1113" s="16">
        <v>5.119100094</v>
      </c>
      <c r="E1113" s="16">
        <v>1.008963585</v>
      </c>
      <c r="F1113" s="16">
        <v>0.958966196</v>
      </c>
      <c r="G1113" s="16">
        <v>62.21170807</v>
      </c>
      <c r="H1113" s="16">
        <v>0.826457024</v>
      </c>
      <c r="I1113" s="16">
        <v>0.187671542</v>
      </c>
      <c r="J1113" s="16">
        <v>0.883691847</v>
      </c>
      <c r="K1113" s="12"/>
      <c r="L1113" s="12"/>
      <c r="M1113" s="16">
        <v>3.88010816163308</v>
      </c>
      <c r="N1113" s="16">
        <v>7.583</v>
      </c>
      <c r="O1113" s="12"/>
      <c r="P1113" s="12"/>
      <c r="Q1113" s="17" t="s">
        <v>24</v>
      </c>
      <c r="S1113" s="14">
        <v>1.463</v>
      </c>
      <c r="T1113" s="14">
        <v>0.885923445</v>
      </c>
      <c r="U1113" s="14">
        <v>0.852</v>
      </c>
    </row>
    <row r="1114">
      <c r="A1114" s="10" t="s">
        <v>167</v>
      </c>
      <c r="B1114" s="11">
        <v>2021.0</v>
      </c>
      <c r="C1114" s="11">
        <v>97.0</v>
      </c>
      <c r="D1114" s="11">
        <v>5.066</v>
      </c>
      <c r="E1114" s="11">
        <v>9.629</v>
      </c>
      <c r="F1114" s="11">
        <v>0.983</v>
      </c>
      <c r="G1114" s="11">
        <v>62.409</v>
      </c>
      <c r="H1114" s="11">
        <v>0.877</v>
      </c>
      <c r="I1114" s="11">
        <v>0.273</v>
      </c>
      <c r="J1114" s="11">
        <v>0.888</v>
      </c>
      <c r="K1114" s="12"/>
      <c r="L1114" s="12"/>
      <c r="M1114" s="11">
        <v>11.7857738276601</v>
      </c>
      <c r="N1114" s="11">
        <v>14.95</v>
      </c>
      <c r="O1114" s="12"/>
      <c r="P1114" s="12"/>
      <c r="Q1114" s="13" t="s">
        <v>24</v>
      </c>
      <c r="S1114" s="14">
        <v>1.465</v>
      </c>
      <c r="T1114" s="14">
        <v>0.886</v>
      </c>
      <c r="U1114" s="14">
        <v>0.855</v>
      </c>
    </row>
    <row r="1115">
      <c r="A1115" s="15" t="s">
        <v>168</v>
      </c>
      <c r="B1115" s="16">
        <v>2015.0</v>
      </c>
      <c r="C1115" s="16">
        <v>141.0</v>
      </c>
      <c r="D1115" s="16">
        <v>3.931</v>
      </c>
      <c r="E1115" s="16">
        <v>0.21102</v>
      </c>
      <c r="F1115" s="16">
        <v>1.13299</v>
      </c>
      <c r="G1115" s="16">
        <v>0.33861</v>
      </c>
      <c r="H1115" s="16">
        <v>0.45727</v>
      </c>
      <c r="I1115" s="16">
        <v>0.29066</v>
      </c>
      <c r="J1115" s="16">
        <v>0.07267</v>
      </c>
      <c r="K1115" s="16">
        <v>115.830001831054</v>
      </c>
      <c r="L1115" s="16">
        <v>7.4310598373413</v>
      </c>
      <c r="M1115" s="16">
        <v>-1.62855573387331</v>
      </c>
      <c r="N1115" s="16">
        <v>3.69027876853942</v>
      </c>
      <c r="O1115" s="16">
        <v>4.21295547485351</v>
      </c>
      <c r="P1115" s="12"/>
      <c r="Q1115" s="17" t="s">
        <v>28</v>
      </c>
      <c r="S1115" s="14">
        <v>1.465</v>
      </c>
      <c r="T1115" s="14">
        <v>0.886982977</v>
      </c>
      <c r="U1115" s="14">
        <v>0.856</v>
      </c>
    </row>
    <row r="1116">
      <c r="A1116" s="10" t="s">
        <v>168</v>
      </c>
      <c r="B1116" s="11">
        <v>2016.0</v>
      </c>
      <c r="C1116" s="11">
        <v>145.0</v>
      </c>
      <c r="D1116" s="11">
        <v>3.739</v>
      </c>
      <c r="E1116" s="11">
        <v>0.34719</v>
      </c>
      <c r="F1116" s="11">
        <v>0.90981</v>
      </c>
      <c r="G1116" s="11">
        <v>0.19625</v>
      </c>
      <c r="H1116" s="11">
        <v>0.43653</v>
      </c>
      <c r="I1116" s="11">
        <v>0.27102</v>
      </c>
      <c r="J1116" s="11">
        <v>0.06442</v>
      </c>
      <c r="K1116" s="11">
        <v>35.0499992370605</v>
      </c>
      <c r="L1116" s="11">
        <v>5.53121757507324</v>
      </c>
      <c r="M1116" s="11">
        <v>9.04950126463084</v>
      </c>
      <c r="N1116" s="11">
        <v>5.16887760162353</v>
      </c>
      <c r="O1116" s="11">
        <v>5.61405897140502</v>
      </c>
      <c r="P1116" s="12"/>
      <c r="Q1116" s="13" t="s">
        <v>28</v>
      </c>
      <c r="S1116" s="14">
        <v>1.465</v>
      </c>
      <c r="T1116" s="14">
        <v>0.887</v>
      </c>
      <c r="U1116" s="14">
        <v>0.856</v>
      </c>
    </row>
    <row r="1117">
      <c r="A1117" s="15" t="s">
        <v>168</v>
      </c>
      <c r="B1117" s="16">
        <v>2017.0</v>
      </c>
      <c r="C1117" s="16">
        <v>133.0</v>
      </c>
      <c r="D1117" s="16">
        <v>4.080999851</v>
      </c>
      <c r="E1117" s="16">
        <v>0.381430715</v>
      </c>
      <c r="F1117" s="16">
        <v>1.129827738</v>
      </c>
      <c r="G1117" s="16">
        <v>0.217632607</v>
      </c>
      <c r="H1117" s="16">
        <v>0.443185955</v>
      </c>
      <c r="I1117" s="16">
        <v>0.325766057</v>
      </c>
      <c r="J1117" s="16">
        <v>0.057069719</v>
      </c>
      <c r="K1117" s="16">
        <v>26.7312870025634</v>
      </c>
      <c r="L1117" s="16">
        <v>10.1009464263916</v>
      </c>
      <c r="M1117" s="16">
        <v>1.82939073858388</v>
      </c>
      <c r="N1117" s="16">
        <v>5.629</v>
      </c>
      <c r="O1117" s="16">
        <v>4.44552326202392</v>
      </c>
      <c r="P1117" s="12"/>
      <c r="Q1117" s="17" t="s">
        <v>28</v>
      </c>
      <c r="S1117" s="14">
        <v>1.466</v>
      </c>
      <c r="T1117" s="14">
        <v>0.887</v>
      </c>
      <c r="U1117" s="14">
        <v>0.856271744</v>
      </c>
    </row>
    <row r="1118">
      <c r="A1118" s="10" t="s">
        <v>168</v>
      </c>
      <c r="B1118" s="11">
        <v>2018.0</v>
      </c>
      <c r="C1118" s="11">
        <v>135.0</v>
      </c>
      <c r="D1118" s="11">
        <v>4.161</v>
      </c>
      <c r="E1118" s="11">
        <v>0.322</v>
      </c>
      <c r="F1118" s="11">
        <v>1.09</v>
      </c>
      <c r="G1118" s="11">
        <v>0.237</v>
      </c>
      <c r="H1118" s="11">
        <v>0.45</v>
      </c>
      <c r="I1118" s="11">
        <v>0.259</v>
      </c>
      <c r="J1118" s="11">
        <v>0.061</v>
      </c>
      <c r="K1118" s="11">
        <v>6.82941627502441</v>
      </c>
      <c r="L1118" s="11">
        <v>-1.18676507472991</v>
      </c>
      <c r="M1118" s="11">
        <v>4.80289494961446</v>
      </c>
      <c r="N1118" s="11">
        <v>2.62</v>
      </c>
      <c r="O1118" s="11">
        <v>2.42414951324462</v>
      </c>
      <c r="P1118" s="11">
        <v>-1.73324143886566</v>
      </c>
      <c r="Q1118" s="13" t="s">
        <v>28</v>
      </c>
      <c r="S1118" s="14">
        <v>1.468</v>
      </c>
      <c r="T1118" s="14">
        <v>0.888</v>
      </c>
      <c r="U1118" s="14">
        <v>0.856375933</v>
      </c>
    </row>
    <row r="1119">
      <c r="A1119" s="15" t="s">
        <v>168</v>
      </c>
      <c r="B1119" s="16">
        <v>2019.0</v>
      </c>
      <c r="C1119" s="16">
        <v>136.0</v>
      </c>
      <c r="D1119" s="16">
        <v>4.189</v>
      </c>
      <c r="E1119" s="16">
        <v>0.332</v>
      </c>
      <c r="F1119" s="16">
        <v>1.069</v>
      </c>
      <c r="G1119" s="16">
        <v>0.443</v>
      </c>
      <c r="H1119" s="16">
        <v>0.356</v>
      </c>
      <c r="I1119" s="16">
        <v>0.252</v>
      </c>
      <c r="J1119" s="16">
        <v>0.06</v>
      </c>
      <c r="K1119" s="16">
        <v>7.95705699920654</v>
      </c>
      <c r="L1119" s="16">
        <v>-0.20182591676712</v>
      </c>
      <c r="M1119" s="16">
        <v>1.54202222243129</v>
      </c>
      <c r="N1119" s="16">
        <v>2.86999988555908</v>
      </c>
      <c r="O1119" s="16">
        <v>3.59454631805419</v>
      </c>
      <c r="P1119" s="16">
        <v>-2.54467058181762</v>
      </c>
      <c r="Q1119" s="17" t="s">
        <v>28</v>
      </c>
      <c r="S1119" s="14">
        <v>1.471</v>
      </c>
      <c r="T1119" s="14">
        <v>0.888747811</v>
      </c>
      <c r="U1119" s="14">
        <v>0.857</v>
      </c>
    </row>
    <row r="1120">
      <c r="A1120" s="10" t="s">
        <v>168</v>
      </c>
      <c r="B1120" s="11">
        <v>2020.0</v>
      </c>
      <c r="C1120" s="11">
        <v>126.0</v>
      </c>
      <c r="D1120" s="11">
        <v>4.43200016</v>
      </c>
      <c r="E1120" s="11">
        <v>0.312337428</v>
      </c>
      <c r="F1120" s="11">
        <v>0.764994621</v>
      </c>
      <c r="G1120" s="11">
        <v>55.70820236</v>
      </c>
      <c r="H1120" s="11">
        <v>0.731713951</v>
      </c>
      <c r="I1120" s="11">
        <v>0.099487431</v>
      </c>
      <c r="J1120" s="11">
        <v>0.836737812</v>
      </c>
      <c r="K1120" s="11">
        <v>4.04497269445962</v>
      </c>
      <c r="L1120" s="11">
        <v>1.76129138469696</v>
      </c>
      <c r="M1120" s="11">
        <v>4.34270995478466</v>
      </c>
      <c r="N1120" s="11">
        <v>3.79442274904399</v>
      </c>
      <c r="O1120" s="11">
        <v>3.23419470177149</v>
      </c>
      <c r="P1120" s="11">
        <v>3.18194903976009</v>
      </c>
      <c r="Q1120" s="13" t="s">
        <v>28</v>
      </c>
      <c r="S1120" s="14">
        <v>1.472</v>
      </c>
      <c r="T1120" s="14">
        <v>0.889534533</v>
      </c>
      <c r="U1120" s="14">
        <v>0.857</v>
      </c>
    </row>
    <row r="1121">
      <c r="A1121" s="15" t="s">
        <v>168</v>
      </c>
      <c r="B1121" s="16">
        <v>2021.0</v>
      </c>
      <c r="C1121" s="16">
        <v>119.0</v>
      </c>
      <c r="D1121" s="16">
        <v>4.636</v>
      </c>
      <c r="E1121" s="16">
        <v>7.677</v>
      </c>
      <c r="F1121" s="16">
        <v>0.781</v>
      </c>
      <c r="G1121" s="16">
        <v>56.101</v>
      </c>
      <c r="H1121" s="16">
        <v>0.709</v>
      </c>
      <c r="I1121" s="16">
        <v>0.122</v>
      </c>
      <c r="J1121" s="16">
        <v>0.855</v>
      </c>
      <c r="K1121" s="16">
        <v>-0.788431283721687</v>
      </c>
      <c r="L1121" s="16">
        <v>0.669953824312684</v>
      </c>
      <c r="M1121" s="16">
        <v>2.54511929619305</v>
      </c>
      <c r="N1121" s="16">
        <v>2.20730089829381</v>
      </c>
      <c r="O1121" s="16">
        <v>2.76553316540721</v>
      </c>
      <c r="P1121" s="16">
        <v>13.1522385329492</v>
      </c>
      <c r="Q1121" s="17" t="s">
        <v>28</v>
      </c>
      <c r="S1121" s="14">
        <v>1.472520351</v>
      </c>
      <c r="T1121" s="14">
        <v>0.89</v>
      </c>
      <c r="U1121" s="14">
        <v>0.857392073</v>
      </c>
    </row>
    <row r="1122">
      <c r="A1122" s="10" t="s">
        <v>168</v>
      </c>
      <c r="B1122" s="11">
        <v>2022.0</v>
      </c>
      <c r="C1122" s="11">
        <v>117.0</v>
      </c>
      <c r="D1122" s="11">
        <v>4.603</v>
      </c>
      <c r="E1122" s="11">
        <v>0.777</v>
      </c>
      <c r="F1122" s="11">
        <v>0.875</v>
      </c>
      <c r="G1122" s="11">
        <v>0.418</v>
      </c>
      <c r="H1122" s="11">
        <v>0.402</v>
      </c>
      <c r="I1122" s="11">
        <v>0.222</v>
      </c>
      <c r="J1122" s="11">
        <v>0.066</v>
      </c>
      <c r="K1122" s="11">
        <v>3.94264611111067</v>
      </c>
      <c r="L1122" s="11">
        <v>11.5193539825946</v>
      </c>
      <c r="M1122" s="11">
        <v>9.01156447741655</v>
      </c>
      <c r="N1122" s="11">
        <v>7.19578885975806</v>
      </c>
      <c r="O1122" s="11">
        <v>5.98517567409828</v>
      </c>
      <c r="P1122" s="11">
        <v>16.1483657136152</v>
      </c>
      <c r="Q1122" s="13" t="s">
        <v>28</v>
      </c>
      <c r="S1122" s="14">
        <v>1.473516107</v>
      </c>
      <c r="T1122" s="14">
        <v>0.89</v>
      </c>
      <c r="U1122" s="14">
        <v>0.858</v>
      </c>
    </row>
    <row r="1123">
      <c r="A1123" s="15" t="s">
        <v>168</v>
      </c>
      <c r="B1123" s="16">
        <v>2023.0</v>
      </c>
      <c r="C1123" s="16">
        <v>113.0</v>
      </c>
      <c r="D1123" s="16">
        <v>4.432</v>
      </c>
      <c r="E1123" s="16">
        <v>7.716</v>
      </c>
      <c r="F1123" s="16">
        <v>0.794</v>
      </c>
      <c r="G1123" s="16">
        <v>58.913</v>
      </c>
      <c r="H1123" s="16">
        <v>0.701</v>
      </c>
      <c r="I1123" s="16">
        <v>0.114</v>
      </c>
      <c r="J1123" s="16">
        <v>0.857</v>
      </c>
      <c r="K1123" s="12"/>
      <c r="L1123" s="16">
        <v>10.5578736742902</v>
      </c>
      <c r="M1123" s="16">
        <v>13.3681017014652</v>
      </c>
      <c r="N1123" s="16">
        <v>5.35094804280395</v>
      </c>
      <c r="O1123" s="16">
        <v>4.71814990708239</v>
      </c>
      <c r="P1123" s="16">
        <v>4.79515761464027</v>
      </c>
      <c r="Q1123" s="17" t="s">
        <v>28</v>
      </c>
      <c r="S1123" s="14">
        <v>1.474</v>
      </c>
      <c r="T1123" s="14">
        <v>0.891</v>
      </c>
      <c r="U1123" s="14">
        <v>0.85844624</v>
      </c>
    </row>
    <row r="1124">
      <c r="A1124" s="10" t="s">
        <v>169</v>
      </c>
      <c r="B1124" s="11">
        <v>2015.0</v>
      </c>
      <c r="C1124" s="11">
        <v>111.0</v>
      </c>
      <c r="D1124" s="11">
        <v>4.681</v>
      </c>
      <c r="E1124" s="11">
        <v>0.79907</v>
      </c>
      <c r="F1124" s="11">
        <v>1.20278</v>
      </c>
      <c r="G1124" s="11">
        <v>0.6739</v>
      </c>
      <c r="H1124" s="11">
        <v>0.25123</v>
      </c>
      <c r="I1124" s="11">
        <v>0.15275</v>
      </c>
      <c r="J1124" s="11">
        <v>0.02961</v>
      </c>
      <c r="K1124" s="11">
        <v>8.11133670806884</v>
      </c>
      <c r="L1124" s="11">
        <v>45.9168319702148</v>
      </c>
      <c r="M1124" s="11">
        <v>38.9044349721797</v>
      </c>
      <c r="N1124" s="11">
        <v>48.5673599243164</v>
      </c>
      <c r="O1124" s="11">
        <v>40.3928871154785</v>
      </c>
      <c r="P1124" s="11">
        <v>35.6917419433593</v>
      </c>
      <c r="Q1124" s="13" t="s">
        <v>26</v>
      </c>
      <c r="S1124" s="14">
        <v>1.474</v>
      </c>
      <c r="T1124" s="14">
        <v>0.891</v>
      </c>
      <c r="U1124" s="14">
        <v>0.859001756</v>
      </c>
    </row>
    <row r="1125">
      <c r="A1125" s="15" t="s">
        <v>169</v>
      </c>
      <c r="B1125" s="16">
        <v>2016.0</v>
      </c>
      <c r="C1125" s="16">
        <v>123.0</v>
      </c>
      <c r="D1125" s="16">
        <v>4.324</v>
      </c>
      <c r="E1125" s="16">
        <v>0.87287</v>
      </c>
      <c r="F1125" s="16">
        <v>1.01413</v>
      </c>
      <c r="G1125" s="16">
        <v>0.58628</v>
      </c>
      <c r="H1125" s="16">
        <v>0.12859</v>
      </c>
      <c r="I1125" s="16">
        <v>0.20363</v>
      </c>
      <c r="J1125" s="16">
        <v>0.01829</v>
      </c>
      <c r="K1125" s="16">
        <v>9.19853973388672</v>
      </c>
      <c r="L1125" s="16">
        <v>8.95901203155517</v>
      </c>
      <c r="M1125" s="16">
        <v>17.1248199205893</v>
      </c>
      <c r="N1125" s="16">
        <v>13.9519662857055</v>
      </c>
      <c r="O1125" s="16">
        <v>10.9970197677612</v>
      </c>
      <c r="P1125" s="16">
        <v>20.9209766387939</v>
      </c>
      <c r="Q1125" s="17" t="s">
        <v>26</v>
      </c>
      <c r="S1125" s="14">
        <v>1.475</v>
      </c>
      <c r="T1125" s="14">
        <v>0.892</v>
      </c>
      <c r="U1125" s="14">
        <v>0.859931409</v>
      </c>
    </row>
    <row r="1126">
      <c r="A1126" s="10" t="s">
        <v>169</v>
      </c>
      <c r="B1126" s="11">
        <v>2017.0</v>
      </c>
      <c r="C1126" s="11">
        <v>132.0</v>
      </c>
      <c r="D1126" s="11">
        <v>4.096000195</v>
      </c>
      <c r="E1126" s="11">
        <v>0.894651949</v>
      </c>
      <c r="F1126" s="11">
        <v>1.394537568</v>
      </c>
      <c r="G1126" s="11">
        <v>0.575903952</v>
      </c>
      <c r="H1126" s="11">
        <v>0.122974776</v>
      </c>
      <c r="I1126" s="11">
        <v>0.270061463</v>
      </c>
      <c r="J1126" s="11">
        <v>0.023029471</v>
      </c>
      <c r="K1126" s="11">
        <v>8.57691764831543</v>
      </c>
      <c r="L1126" s="11">
        <v>12.8800077438354</v>
      </c>
      <c r="M1126" s="11">
        <v>22.041</v>
      </c>
      <c r="N1126" s="11">
        <v>14.443</v>
      </c>
      <c r="O1126" s="11">
        <v>7.32628583908081</v>
      </c>
      <c r="P1126" s="11">
        <v>26.4466152191162</v>
      </c>
      <c r="Q1126" s="13" t="s">
        <v>26</v>
      </c>
      <c r="S1126" s="14">
        <v>1.475</v>
      </c>
      <c r="T1126" s="14">
        <v>0.892395437</v>
      </c>
      <c r="U1126" s="14">
        <v>0.86</v>
      </c>
    </row>
    <row r="1127">
      <c r="A1127" s="15" t="s">
        <v>169</v>
      </c>
      <c r="B1127" s="16">
        <v>2018.0</v>
      </c>
      <c r="C1127" s="16">
        <v>138.0</v>
      </c>
      <c r="D1127" s="16">
        <v>4.103</v>
      </c>
      <c r="E1127" s="16">
        <v>0.793</v>
      </c>
      <c r="F1127" s="16">
        <v>1.413</v>
      </c>
      <c r="G1127" s="16">
        <v>0.609</v>
      </c>
      <c r="H1127" s="16">
        <v>0.163</v>
      </c>
      <c r="I1127" s="16">
        <v>0.187</v>
      </c>
      <c r="J1127" s="16">
        <v>0.011</v>
      </c>
      <c r="K1127" s="16">
        <v>6.06326293945312</v>
      </c>
      <c r="L1127" s="16">
        <v>11.1480741500854</v>
      </c>
      <c r="M1127" s="16">
        <v>15.4357961668619</v>
      </c>
      <c r="N1127" s="16">
        <v>10.94</v>
      </c>
      <c r="O1127" s="16">
        <v>9.091064453125</v>
      </c>
      <c r="P1127" s="16">
        <v>17.5754108428955</v>
      </c>
      <c r="Q1127" s="17" t="s">
        <v>26</v>
      </c>
      <c r="S1127" s="14">
        <v>1.4766711</v>
      </c>
      <c r="T1127" s="14">
        <v>0.893</v>
      </c>
      <c r="U1127" s="14">
        <v>0.86</v>
      </c>
    </row>
    <row r="1128">
      <c r="A1128" s="10" t="s">
        <v>169</v>
      </c>
      <c r="B1128" s="11">
        <v>2019.0</v>
      </c>
      <c r="C1128" s="11">
        <v>133.0</v>
      </c>
      <c r="D1128" s="11">
        <v>4.332</v>
      </c>
      <c r="E1128" s="11">
        <v>0.82</v>
      </c>
      <c r="F1128" s="11">
        <v>1.39</v>
      </c>
      <c r="G1128" s="11">
        <v>0.739</v>
      </c>
      <c r="H1128" s="11">
        <v>0.178</v>
      </c>
      <c r="I1128" s="11">
        <v>0.187</v>
      </c>
      <c r="J1128" s="11">
        <v>0.01</v>
      </c>
      <c r="K1128" s="11">
        <v>5.90955543518066</v>
      </c>
      <c r="L1128" s="11">
        <v>8.00052642822265</v>
      </c>
      <c r="M1128" s="11">
        <v>8.12967156212068</v>
      </c>
      <c r="N1128" s="11">
        <v>7.88600015640258</v>
      </c>
      <c r="O1128" s="11">
        <v>6.77070379257202</v>
      </c>
      <c r="P1128" s="11">
        <v>4.13812685012817</v>
      </c>
      <c r="Q1128" s="13" t="s">
        <v>26</v>
      </c>
      <c r="S1128" s="14">
        <v>1.478</v>
      </c>
      <c r="T1128" s="14">
        <v>0.894</v>
      </c>
      <c r="U1128" s="14">
        <v>0.861330688</v>
      </c>
    </row>
    <row r="1129">
      <c r="A1129" s="15" t="s">
        <v>169</v>
      </c>
      <c r="B1129" s="16">
        <v>2020.0</v>
      </c>
      <c r="C1129" s="16">
        <v>123.0</v>
      </c>
      <c r="D1129" s="16">
        <v>4.56069994</v>
      </c>
      <c r="E1129" s="16">
        <v>0.780434608</v>
      </c>
      <c r="F1129" s="16">
        <v>0.878879368</v>
      </c>
      <c r="G1129" s="16">
        <v>64.60678101</v>
      </c>
      <c r="H1129" s="16">
        <v>0.663081884</v>
      </c>
      <c r="I1129" s="16">
        <v>-0.030933706</v>
      </c>
      <c r="J1129" s="16">
        <v>0.920636714</v>
      </c>
      <c r="K1129" s="16">
        <v>-2.98440176719864</v>
      </c>
      <c r="L1129" s="16">
        <v>2.74322485923767</v>
      </c>
      <c r="M1129" s="16">
        <v>7.44754877504398</v>
      </c>
      <c r="N1129" s="16">
        <v>2.7324920941944</v>
      </c>
      <c r="O1129" s="16">
        <v>3.30362200736999</v>
      </c>
      <c r="P1129" s="16">
        <v>-1.87573803251888</v>
      </c>
      <c r="Q1129" s="17" t="s">
        <v>26</v>
      </c>
      <c r="S1129" s="14">
        <v>1.478162169</v>
      </c>
      <c r="T1129" s="14">
        <v>0.894626856</v>
      </c>
      <c r="U1129" s="14">
        <v>0.861874342</v>
      </c>
    </row>
    <row r="1130">
      <c r="A1130" s="10" t="s">
        <v>169</v>
      </c>
      <c r="B1130" s="11">
        <v>2021.0</v>
      </c>
      <c r="C1130" s="11">
        <v>110.0</v>
      </c>
      <c r="D1130" s="11">
        <v>4.875</v>
      </c>
      <c r="E1130" s="11">
        <v>9.436</v>
      </c>
      <c r="F1130" s="11">
        <v>0.888</v>
      </c>
      <c r="G1130" s="11">
        <v>64.902</v>
      </c>
      <c r="H1130" s="11">
        <v>0.724</v>
      </c>
      <c r="I1130" s="11">
        <v>-0.011</v>
      </c>
      <c r="J1130" s="11">
        <v>0.924</v>
      </c>
      <c r="K1130" s="11">
        <v>23.16</v>
      </c>
      <c r="L1130" s="11">
        <v>10.79</v>
      </c>
      <c r="M1130" s="11">
        <v>25.0596804560505</v>
      </c>
      <c r="N1130" s="11">
        <v>9.36062503571214</v>
      </c>
      <c r="O1130" s="11">
        <v>6.86626134558378</v>
      </c>
      <c r="P1130" s="11">
        <v>40.823883360333</v>
      </c>
      <c r="Q1130" s="13" t="s">
        <v>26</v>
      </c>
      <c r="S1130" s="14">
        <v>1.479</v>
      </c>
      <c r="T1130" s="14">
        <v>0.895</v>
      </c>
      <c r="U1130" s="14">
        <v>0.863</v>
      </c>
    </row>
    <row r="1131">
      <c r="A1131" s="15" t="s">
        <v>169</v>
      </c>
      <c r="B1131" s="16">
        <v>2022.0</v>
      </c>
      <c r="C1131" s="16">
        <v>98.0</v>
      </c>
      <c r="D1131" s="16">
        <v>5.084</v>
      </c>
      <c r="E1131" s="16">
        <v>1.411</v>
      </c>
      <c r="F1131" s="16">
        <v>1.081</v>
      </c>
      <c r="G1131" s="16">
        <v>0.583</v>
      </c>
      <c r="H1131" s="16">
        <v>0.473</v>
      </c>
      <c r="I1131" s="16">
        <v>0.188</v>
      </c>
      <c r="J1131" s="16">
        <v>0.017</v>
      </c>
      <c r="K1131" s="16">
        <v>5.08004784937891</v>
      </c>
      <c r="L1131" s="16">
        <v>24.4057507432175</v>
      </c>
      <c r="M1131" s="16">
        <v>34.6411488996513</v>
      </c>
      <c r="N1131" s="16">
        <v>20.1836366617479</v>
      </c>
      <c r="O1131" s="16">
        <v>16.0110269485468</v>
      </c>
      <c r="P1131" s="16">
        <v>61.0471088651171</v>
      </c>
      <c r="Q1131" s="17" t="s">
        <v>26</v>
      </c>
      <c r="S1131" s="14">
        <v>1.481348991</v>
      </c>
      <c r="T1131" s="14">
        <v>0.895</v>
      </c>
      <c r="U1131" s="14">
        <v>0.863511205</v>
      </c>
    </row>
    <row r="1132">
      <c r="A1132" s="10" t="s">
        <v>169</v>
      </c>
      <c r="B1132" s="11">
        <v>2023.0</v>
      </c>
      <c r="C1132" s="11">
        <v>92.0</v>
      </c>
      <c r="D1132" s="11">
        <v>5.071</v>
      </c>
      <c r="E1132" s="11">
        <v>9.314</v>
      </c>
      <c r="F1132" s="11">
        <v>0.878</v>
      </c>
      <c r="G1132" s="11">
        <v>64.55</v>
      </c>
      <c r="H1132" s="11">
        <v>0.795</v>
      </c>
      <c r="I1132" s="11">
        <v>0.24</v>
      </c>
      <c r="J1132" s="11">
        <v>0.907</v>
      </c>
      <c r="K1132" s="11">
        <v>9.90842223219959</v>
      </c>
      <c r="L1132" s="11">
        <v>14.720171006607</v>
      </c>
      <c r="M1132" s="11">
        <v>20.2189541189516</v>
      </c>
      <c r="N1132" s="11">
        <v>12.8490222828559</v>
      </c>
      <c r="O1132" s="11">
        <v>12.9333461084138</v>
      </c>
      <c r="P1132" s="12"/>
      <c r="Q1132" s="13" t="s">
        <v>26</v>
      </c>
      <c r="S1132" s="14">
        <v>1.483</v>
      </c>
      <c r="T1132" s="14">
        <v>0.895</v>
      </c>
      <c r="U1132" s="14">
        <v>0.86457181</v>
      </c>
    </row>
    <row r="1133">
      <c r="A1133" s="15" t="s">
        <v>170</v>
      </c>
      <c r="B1133" s="16">
        <v>2015.0</v>
      </c>
      <c r="C1133" s="16">
        <v>20.0</v>
      </c>
      <c r="D1133" s="16">
        <v>6.901</v>
      </c>
      <c r="E1133" s="16">
        <v>1.42727</v>
      </c>
      <c r="F1133" s="16">
        <v>1.12575</v>
      </c>
      <c r="G1133" s="16">
        <v>0.80925</v>
      </c>
      <c r="H1133" s="16">
        <v>0.64157</v>
      </c>
      <c r="I1133" s="16">
        <v>0.26428</v>
      </c>
      <c r="J1133" s="16">
        <v>0.38583</v>
      </c>
      <c r="K1133" s="16">
        <v>8.80982494354248</v>
      </c>
      <c r="L1133" s="16">
        <v>1.23751604557037</v>
      </c>
      <c r="M1133" s="16">
        <v>-15.4791652002533</v>
      </c>
      <c r="N1133" s="16">
        <v>4.06713199615478</v>
      </c>
      <c r="O1133" s="12"/>
      <c r="P1133" s="12"/>
      <c r="Q1133" s="17" t="s">
        <v>24</v>
      </c>
      <c r="S1133" s="14">
        <v>1.484</v>
      </c>
      <c r="T1133" s="14">
        <v>0.895075202</v>
      </c>
      <c r="U1133" s="14">
        <v>0.866</v>
      </c>
    </row>
    <row r="1134">
      <c r="A1134" s="10" t="s">
        <v>170</v>
      </c>
      <c r="B1134" s="11">
        <v>2016.0</v>
      </c>
      <c r="C1134" s="11">
        <v>28.0</v>
      </c>
      <c r="D1134" s="11">
        <v>6.573</v>
      </c>
      <c r="E1134" s="11">
        <v>1.57352</v>
      </c>
      <c r="F1134" s="11">
        <v>0.87114</v>
      </c>
      <c r="G1134" s="11">
        <v>0.72993</v>
      </c>
      <c r="H1134" s="11">
        <v>0.56215</v>
      </c>
      <c r="I1134" s="11">
        <v>0.26591</v>
      </c>
      <c r="J1134" s="11">
        <v>0.35561</v>
      </c>
      <c r="K1134" s="11">
        <v>3.55746102333068</v>
      </c>
      <c r="L1134" s="11">
        <v>1.00837409496307</v>
      </c>
      <c r="M1134" s="11">
        <v>-3.26452432257996</v>
      </c>
      <c r="N1134" s="11">
        <v>1.6197954416275</v>
      </c>
      <c r="O1134" s="12"/>
      <c r="P1134" s="12"/>
      <c r="Q1134" s="13" t="s">
        <v>24</v>
      </c>
      <c r="S1134" s="14">
        <v>1.487</v>
      </c>
      <c r="T1134" s="14">
        <v>0.896</v>
      </c>
      <c r="U1134" s="14">
        <v>0.866</v>
      </c>
    </row>
    <row r="1135">
      <c r="A1135" s="15" t="s">
        <v>170</v>
      </c>
      <c r="B1135" s="16">
        <v>2017.0</v>
      </c>
      <c r="C1135" s="16">
        <v>21.0</v>
      </c>
      <c r="D1135" s="16">
        <v>6.647999763</v>
      </c>
      <c r="E1135" s="16">
        <v>1.626343369</v>
      </c>
      <c r="F1135" s="16">
        <v>1.266410232</v>
      </c>
      <c r="G1135" s="16">
        <v>0.726798236</v>
      </c>
      <c r="H1135" s="16">
        <v>0.60834527</v>
      </c>
      <c r="I1135" s="16">
        <v>0.360941947</v>
      </c>
      <c r="J1135" s="16">
        <v>0.324489564</v>
      </c>
      <c r="K1135" s="16">
        <v>0.874707818031311</v>
      </c>
      <c r="L1135" s="16">
        <v>1.20122480392456</v>
      </c>
      <c r="M1135" s="16">
        <v>5.49463557416035</v>
      </c>
      <c r="N1135" s="16">
        <v>1.967</v>
      </c>
      <c r="O1135" s="12"/>
      <c r="P1135" s="12"/>
      <c r="Q1135" s="17" t="s">
        <v>24</v>
      </c>
      <c r="S1135" s="14">
        <v>1.487</v>
      </c>
      <c r="T1135" s="14">
        <v>0.897</v>
      </c>
      <c r="U1135" s="14">
        <v>0.866</v>
      </c>
    </row>
    <row r="1136">
      <c r="A1136" s="10" t="s">
        <v>170</v>
      </c>
      <c r="B1136" s="11">
        <v>2018.0</v>
      </c>
      <c r="C1136" s="11">
        <v>20.0</v>
      </c>
      <c r="D1136" s="11">
        <v>6.774</v>
      </c>
      <c r="E1136" s="11">
        <v>2.096</v>
      </c>
      <c r="F1136" s="11">
        <v>0.776</v>
      </c>
      <c r="G1136" s="11">
        <v>0.67</v>
      </c>
      <c r="H1136" s="11">
        <v>0.284</v>
      </c>
      <c r="I1136" s="11">
        <v>0.186</v>
      </c>
      <c r="J1136" s="12"/>
      <c r="K1136" s="11">
        <v>-3.09320974349975</v>
      </c>
      <c r="L1136" s="11">
        <v>3.53593707084655</v>
      </c>
      <c r="M1136" s="11">
        <v>8.2064202870462</v>
      </c>
      <c r="N1136" s="11">
        <v>3.06</v>
      </c>
      <c r="O1136" s="12"/>
      <c r="P1136" s="12"/>
      <c r="Q1136" s="13" t="s">
        <v>24</v>
      </c>
      <c r="S1136" s="14">
        <v>1.488</v>
      </c>
      <c r="T1136" s="14">
        <v>0.897</v>
      </c>
      <c r="U1136" s="14">
        <v>0.867</v>
      </c>
    </row>
    <row r="1137">
      <c r="A1137" s="15" t="s">
        <v>170</v>
      </c>
      <c r="B1137" s="16">
        <v>2019.0</v>
      </c>
      <c r="C1137" s="16">
        <v>21.0</v>
      </c>
      <c r="D1137" s="16">
        <v>6.825</v>
      </c>
      <c r="E1137" s="16">
        <v>1.503</v>
      </c>
      <c r="F1137" s="16">
        <v>1.31</v>
      </c>
      <c r="G1137" s="16">
        <v>0.825</v>
      </c>
      <c r="H1137" s="16">
        <v>0.598</v>
      </c>
      <c r="I1137" s="16">
        <v>0.262</v>
      </c>
      <c r="J1137" s="16">
        <v>0.182</v>
      </c>
      <c r="K1137" s="16">
        <v>-5.19755554199218</v>
      </c>
      <c r="L1137" s="16">
        <v>-1.39064967632293</v>
      </c>
      <c r="M1137" s="16">
        <v>-1.89954561737589</v>
      </c>
      <c r="N1137" s="16">
        <v>-1.93099999427795</v>
      </c>
      <c r="O1137" s="12"/>
      <c r="P1137" s="12"/>
      <c r="Q1137" s="17" t="s">
        <v>24</v>
      </c>
      <c r="S1137" s="14">
        <v>1.488</v>
      </c>
      <c r="T1137" s="14">
        <v>0.898517907</v>
      </c>
      <c r="U1137" s="14">
        <v>0.867590249</v>
      </c>
    </row>
    <row r="1138">
      <c r="A1138" s="10" t="s">
        <v>170</v>
      </c>
      <c r="B1138" s="11">
        <v>2020.0</v>
      </c>
      <c r="C1138" s="11">
        <v>21.0</v>
      </c>
      <c r="D1138" s="11">
        <v>6.790800095</v>
      </c>
      <c r="E1138" s="11">
        <v>1.431086421</v>
      </c>
      <c r="F1138" s="11">
        <v>0.849181116</v>
      </c>
      <c r="G1138" s="11">
        <v>67.08278656</v>
      </c>
      <c r="H1138" s="11">
        <v>0.941345513</v>
      </c>
      <c r="I1138" s="11">
        <v>0.123450845</v>
      </c>
      <c r="J1138" s="11">
        <v>0.594502211</v>
      </c>
      <c r="K1138" s="11">
        <v>-3.66772757920402</v>
      </c>
      <c r="L1138" s="11">
        <v>3.69523215293884</v>
      </c>
      <c r="M1138" s="11">
        <v>-10.5801293447238</v>
      </c>
      <c r="N1138" s="11">
        <v>-2.07940317940995</v>
      </c>
      <c r="O1138" s="12"/>
      <c r="P1138" s="12"/>
      <c r="Q1138" s="13" t="s">
        <v>24</v>
      </c>
      <c r="S1138" s="14">
        <v>1.488411665</v>
      </c>
      <c r="T1138" s="14">
        <v>0.899989486</v>
      </c>
      <c r="U1138" s="14">
        <v>0.868</v>
      </c>
    </row>
    <row r="1139">
      <c r="A1139" s="15" t="s">
        <v>170</v>
      </c>
      <c r="B1139" s="16">
        <v>2021.0</v>
      </c>
      <c r="C1139" s="16">
        <v>25.0</v>
      </c>
      <c r="D1139" s="16">
        <v>6.561</v>
      </c>
      <c r="E1139" s="16">
        <v>11.085</v>
      </c>
      <c r="F1139" s="16">
        <v>0.844</v>
      </c>
      <c r="G1139" s="16">
        <v>67.333</v>
      </c>
      <c r="H1139" s="16">
        <v>0.932</v>
      </c>
      <c r="I1139" s="16">
        <v>0.074</v>
      </c>
      <c r="J1139" s="16">
        <v>0.589</v>
      </c>
      <c r="K1139" s="16">
        <v>-3.64875</v>
      </c>
      <c r="L1139" s="16">
        <v>1.363769074985E-4</v>
      </c>
      <c r="M1139" s="16">
        <v>14.2808296961597</v>
      </c>
      <c r="N1139" s="16">
        <v>0.18</v>
      </c>
      <c r="O1139" s="12"/>
      <c r="P1139" s="12"/>
      <c r="Q1139" s="17" t="s">
        <v>24</v>
      </c>
      <c r="S1139" s="14">
        <v>1.489</v>
      </c>
      <c r="T1139" s="14">
        <v>0.900589406</v>
      </c>
      <c r="U1139" s="14">
        <v>0.87</v>
      </c>
    </row>
    <row r="1140">
      <c r="A1140" s="10" t="s">
        <v>170</v>
      </c>
      <c r="B1140" s="11">
        <v>2022.0</v>
      </c>
      <c r="C1140" s="11">
        <v>24.0</v>
      </c>
      <c r="D1140" s="11">
        <v>6.576</v>
      </c>
      <c r="E1140" s="11">
        <v>1.998</v>
      </c>
      <c r="F1140" s="11">
        <v>0.98</v>
      </c>
      <c r="G1140" s="11">
        <v>0.633</v>
      </c>
      <c r="H1140" s="11">
        <v>0.702</v>
      </c>
      <c r="I1140" s="11">
        <v>0.204</v>
      </c>
      <c r="J1140" s="11">
        <v>0.25</v>
      </c>
      <c r="K1140" s="11">
        <v>-0.282386615626138</v>
      </c>
      <c r="L1140" s="11">
        <v>6.90594857086681</v>
      </c>
      <c r="M1140" s="11">
        <v>14.2808973609675</v>
      </c>
      <c r="N1140" s="11">
        <v>4.82788859594433</v>
      </c>
      <c r="O1140" s="12"/>
      <c r="P1140" s="12"/>
      <c r="Q1140" s="13" t="s">
        <v>24</v>
      </c>
      <c r="S1140" s="14">
        <v>1.493</v>
      </c>
      <c r="T1140" s="14">
        <v>0.90062499</v>
      </c>
      <c r="U1140" s="14">
        <v>0.873404682</v>
      </c>
    </row>
    <row r="1141">
      <c r="A1141" s="15" t="s">
        <v>170</v>
      </c>
      <c r="B1141" s="16">
        <v>2023.0</v>
      </c>
      <c r="C1141" s="16">
        <v>26.0</v>
      </c>
      <c r="D1141" s="16">
        <v>6.571</v>
      </c>
      <c r="E1141" s="16">
        <v>11.145</v>
      </c>
      <c r="F1141" s="16">
        <v>0.826</v>
      </c>
      <c r="G1141" s="16">
        <v>66.243</v>
      </c>
      <c r="H1141" s="16">
        <v>0.942</v>
      </c>
      <c r="I1141" s="16">
        <v>0.096</v>
      </c>
      <c r="J1141" s="16">
        <v>0.584</v>
      </c>
      <c r="K1141" s="12"/>
      <c r="L1141" s="12"/>
      <c r="M1141" s="16">
        <v>-2.645981907684</v>
      </c>
      <c r="N1141" s="16">
        <v>1.623</v>
      </c>
      <c r="O1141" s="12"/>
      <c r="P1141" s="12"/>
      <c r="Q1141" s="17" t="s">
        <v>24</v>
      </c>
      <c r="S1141" s="14">
        <v>1.493011236</v>
      </c>
      <c r="T1141" s="14">
        <v>0.902</v>
      </c>
      <c r="U1141" s="14">
        <v>0.875</v>
      </c>
    </row>
    <row r="1142">
      <c r="A1142" s="10" t="s">
        <v>171</v>
      </c>
      <c r="B1142" s="11">
        <v>2015.0</v>
      </c>
      <c r="C1142" s="11">
        <v>21.0</v>
      </c>
      <c r="D1142" s="11">
        <v>6.867</v>
      </c>
      <c r="E1142" s="11">
        <v>1.26637</v>
      </c>
      <c r="F1142" s="11">
        <v>1.28548</v>
      </c>
      <c r="G1142" s="11">
        <v>0.90943</v>
      </c>
      <c r="H1142" s="11">
        <v>0.59625</v>
      </c>
      <c r="I1142" s="11">
        <v>0.51912</v>
      </c>
      <c r="J1142" s="11">
        <v>0.32067</v>
      </c>
      <c r="K1142" s="11">
        <v>1.24904692173004</v>
      </c>
      <c r="L1142" s="11">
        <v>-2.58158946037292</v>
      </c>
      <c r="M1142" s="11">
        <v>0.661286346634089</v>
      </c>
      <c r="N1142" s="11">
        <v>0.40160796046257</v>
      </c>
      <c r="O1142" s="11">
        <v>1.3</v>
      </c>
      <c r="P1142" s="11">
        <v>-6.64384746551513</v>
      </c>
      <c r="Q1142" s="13" t="s">
        <v>26</v>
      </c>
      <c r="S1142" s="14">
        <v>1.493149161</v>
      </c>
      <c r="T1142" s="14">
        <v>0.904</v>
      </c>
      <c r="U1142" s="14">
        <v>0.875</v>
      </c>
    </row>
    <row r="1143">
      <c r="A1143" s="15" t="s">
        <v>171</v>
      </c>
      <c r="B1143" s="16">
        <v>2016.0</v>
      </c>
      <c r="C1143" s="16">
        <v>23.0</v>
      </c>
      <c r="D1143" s="16">
        <v>6.725</v>
      </c>
      <c r="E1143" s="16">
        <v>1.40283</v>
      </c>
      <c r="F1143" s="16">
        <v>1.08672</v>
      </c>
      <c r="G1143" s="16">
        <v>0.80991</v>
      </c>
      <c r="H1143" s="16">
        <v>0.50036</v>
      </c>
      <c r="I1143" s="16">
        <v>0.50156</v>
      </c>
      <c r="J1143" s="16">
        <v>0.27399</v>
      </c>
      <c r="K1143" s="16">
        <v>1.67542195320129</v>
      </c>
      <c r="L1143" s="16">
        <v>-2.375</v>
      </c>
      <c r="M1143" s="16">
        <v>2.15183134582623</v>
      </c>
      <c r="N1143" s="16">
        <v>1.0</v>
      </c>
      <c r="O1143" s="16">
        <v>1.6</v>
      </c>
      <c r="P1143" s="16">
        <v>1.96666669845581</v>
      </c>
      <c r="Q1143" s="17" t="s">
        <v>26</v>
      </c>
      <c r="S1143" s="14">
        <v>1.49646008</v>
      </c>
      <c r="T1143" s="14">
        <v>0.905063033</v>
      </c>
      <c r="U1143" s="14">
        <v>0.876</v>
      </c>
    </row>
    <row r="1144">
      <c r="A1144" s="10" t="s">
        <v>171</v>
      </c>
      <c r="B1144" s="11">
        <v>2017.0</v>
      </c>
      <c r="C1144" s="11">
        <v>19.0</v>
      </c>
      <c r="D1144" s="11">
        <v>6.714000225</v>
      </c>
      <c r="E1144" s="11">
        <v>1.44163394</v>
      </c>
      <c r="F1144" s="11">
        <v>1.49646008</v>
      </c>
      <c r="G1144" s="11">
        <v>0.805335939</v>
      </c>
      <c r="H1144" s="11">
        <v>0.508190036</v>
      </c>
      <c r="I1144" s="11">
        <v>0.492774159</v>
      </c>
      <c r="J1144" s="11">
        <v>0.265428066</v>
      </c>
      <c r="K1144" s="11">
        <v>2.04131531715393</v>
      </c>
      <c r="L1144" s="11">
        <v>2.25351810455322</v>
      </c>
      <c r="M1144" s="11">
        <v>1.93764918022534</v>
      </c>
      <c r="N1144" s="11">
        <v>2.683</v>
      </c>
      <c r="O1144" s="11">
        <v>2.3</v>
      </c>
      <c r="P1144" s="11">
        <v>6.1131100654602</v>
      </c>
      <c r="Q1144" s="13" t="s">
        <v>26</v>
      </c>
      <c r="S1144" s="14">
        <v>1.498</v>
      </c>
      <c r="T1144" s="14">
        <v>0.90563643</v>
      </c>
      <c r="U1144" s="14">
        <v>0.876</v>
      </c>
    </row>
    <row r="1145">
      <c r="A1145" s="15" t="s">
        <v>171</v>
      </c>
      <c r="B1145" s="16">
        <v>2018.0</v>
      </c>
      <c r="C1145" s="16">
        <v>11.0</v>
      </c>
      <c r="D1145" s="16">
        <v>7.19</v>
      </c>
      <c r="E1145" s="16">
        <v>1.244</v>
      </c>
      <c r="F1145" s="16">
        <v>1.433</v>
      </c>
      <c r="G1145" s="16">
        <v>0.888</v>
      </c>
      <c r="H1145" s="16">
        <v>0.464</v>
      </c>
      <c r="I1145" s="16">
        <v>0.262</v>
      </c>
      <c r="J1145" s="16">
        <v>0.082</v>
      </c>
      <c r="K1145" s="16">
        <v>1.85587179660797</v>
      </c>
      <c r="L1145" s="16">
        <v>2.07864236831665</v>
      </c>
      <c r="M1145" s="16">
        <v>2.24948875255624</v>
      </c>
      <c r="N1145" s="16">
        <v>2.32</v>
      </c>
      <c r="O1145" s="16">
        <v>1.9</v>
      </c>
      <c r="P1145" s="16">
        <v>3.69685697555542</v>
      </c>
      <c r="Q1145" s="17" t="s">
        <v>26</v>
      </c>
      <c r="S1145" s="14">
        <v>1.501</v>
      </c>
      <c r="T1145" s="14">
        <v>0.905855775</v>
      </c>
      <c r="U1145" s="14">
        <v>0.876</v>
      </c>
    </row>
    <row r="1146">
      <c r="A1146" s="10" t="s">
        <v>171</v>
      </c>
      <c r="B1146" s="11">
        <v>2019.0</v>
      </c>
      <c r="C1146" s="11">
        <v>15.0</v>
      </c>
      <c r="D1146" s="11">
        <v>7.054</v>
      </c>
      <c r="E1146" s="11">
        <v>1.333</v>
      </c>
      <c r="F1146" s="11">
        <v>1.538</v>
      </c>
      <c r="G1146" s="11">
        <v>0.996</v>
      </c>
      <c r="H1146" s="11">
        <v>0.45</v>
      </c>
      <c r="I1146" s="11">
        <v>0.348</v>
      </c>
      <c r="J1146" s="11">
        <v>0.278</v>
      </c>
      <c r="K1146" s="11">
        <v>2.08144807815551</v>
      </c>
      <c r="L1146" s="11">
        <v>10.9269952774047</v>
      </c>
      <c r="M1146" s="11">
        <v>2.114</v>
      </c>
      <c r="N1146" s="11">
        <v>1.79100000858306</v>
      </c>
      <c r="O1146" s="11">
        <v>1.7</v>
      </c>
      <c r="P1146" s="11">
        <v>0.816994488239288</v>
      </c>
      <c r="Q1146" s="13" t="s">
        <v>26</v>
      </c>
      <c r="S1146" s="14">
        <v>1.501</v>
      </c>
      <c r="T1146" s="14">
        <v>0.906</v>
      </c>
      <c r="U1146" s="14">
        <v>0.876296401</v>
      </c>
    </row>
    <row r="1147">
      <c r="A1147" s="15" t="s">
        <v>171</v>
      </c>
      <c r="B1147" s="16">
        <v>2020.0</v>
      </c>
      <c r="C1147" s="16">
        <v>13.0</v>
      </c>
      <c r="D1147" s="16">
        <v>7.164500237</v>
      </c>
      <c r="E1147" s="16">
        <v>1.273061037</v>
      </c>
      <c r="F1147" s="16">
        <v>0.93668282</v>
      </c>
      <c r="G1147" s="16">
        <v>72.30160522</v>
      </c>
      <c r="H1147" s="16">
        <v>0.834743679</v>
      </c>
      <c r="I1147" s="16">
        <v>0.263732493</v>
      </c>
      <c r="J1147" s="16">
        <v>0.435915917</v>
      </c>
      <c r="K1147" s="16">
        <v>0.876648564778895</v>
      </c>
      <c r="L1147" s="16">
        <v>0.721407688547573</v>
      </c>
      <c r="M1147" s="16">
        <v>5.73868421568051</v>
      </c>
      <c r="N1147" s="16">
        <v>0.989486703773075</v>
      </c>
      <c r="O1147" s="16">
        <v>1.5</v>
      </c>
      <c r="P1147" s="16">
        <v>-0.0591255281125853</v>
      </c>
      <c r="Q1147" s="17" t="s">
        <v>26</v>
      </c>
      <c r="S1147" s="14">
        <v>1.504</v>
      </c>
      <c r="T1147" s="14">
        <v>0.907</v>
      </c>
      <c r="U1147" s="14">
        <v>0.878</v>
      </c>
    </row>
    <row r="1148">
      <c r="A1148" s="10" t="s">
        <v>171</v>
      </c>
      <c r="B1148" s="11">
        <v>2021.0</v>
      </c>
      <c r="C1148" s="11">
        <v>17.0</v>
      </c>
      <c r="D1148" s="11">
        <v>7.064</v>
      </c>
      <c r="E1148" s="11">
        <v>10.707</v>
      </c>
      <c r="F1148" s="11">
        <v>0.934</v>
      </c>
      <c r="G1148" s="11">
        <v>72.5</v>
      </c>
      <c r="H1148" s="11">
        <v>0.859</v>
      </c>
      <c r="I1148" s="11">
        <v>0.233</v>
      </c>
      <c r="J1148" s="11">
        <v>0.459</v>
      </c>
      <c r="K1148" s="11">
        <v>9.108159</v>
      </c>
      <c r="L1148" s="11">
        <v>0.3</v>
      </c>
      <c r="M1148" s="11">
        <v>0.369254420891071</v>
      </c>
      <c r="N1148" s="11">
        <v>2.5</v>
      </c>
      <c r="O1148" s="11">
        <v>2.3</v>
      </c>
      <c r="P1148" s="11">
        <v>5.04102298765614</v>
      </c>
      <c r="Q1148" s="13" t="s">
        <v>26</v>
      </c>
      <c r="S1148" s="14">
        <v>1.504</v>
      </c>
      <c r="T1148" s="14">
        <v>0.908</v>
      </c>
      <c r="U1148" s="14">
        <v>0.878</v>
      </c>
    </row>
    <row r="1149">
      <c r="A1149" s="15" t="s">
        <v>171</v>
      </c>
      <c r="B1149" s="16">
        <v>2022.0</v>
      </c>
      <c r="C1149" s="16">
        <v>17.0</v>
      </c>
      <c r="D1149" s="16">
        <v>6.943</v>
      </c>
      <c r="E1149" s="16">
        <v>1.867</v>
      </c>
      <c r="F1149" s="16">
        <v>1.143</v>
      </c>
      <c r="G1149" s="16">
        <v>0.75</v>
      </c>
      <c r="H1149" s="16">
        <v>0.597</v>
      </c>
      <c r="I1149" s="16">
        <v>0.289</v>
      </c>
      <c r="J1149" s="16">
        <v>0.329</v>
      </c>
      <c r="K1149" s="16">
        <v>46.6609128278083</v>
      </c>
      <c r="L1149" s="16">
        <v>10.9</v>
      </c>
      <c r="M1149" s="16">
        <v>5.13299430268577</v>
      </c>
      <c r="N1149" s="16">
        <v>7.9</v>
      </c>
      <c r="O1149" s="16">
        <v>5.34197586052749</v>
      </c>
      <c r="P1149" s="16">
        <v>18.5221674876851</v>
      </c>
      <c r="Q1149" s="17" t="s">
        <v>26</v>
      </c>
      <c r="S1149" s="14">
        <v>1.504</v>
      </c>
      <c r="T1149" s="14">
        <v>0.908147573</v>
      </c>
      <c r="U1149" s="14">
        <v>0.878</v>
      </c>
    </row>
    <row r="1150">
      <c r="A1150" s="10" t="s">
        <v>171</v>
      </c>
      <c r="B1150" s="11">
        <v>2023.0</v>
      </c>
      <c r="C1150" s="11">
        <v>19.0</v>
      </c>
      <c r="D1150" s="11">
        <v>6.796</v>
      </c>
      <c r="E1150" s="11">
        <v>10.704</v>
      </c>
      <c r="F1150" s="11">
        <v>0.882</v>
      </c>
      <c r="G1150" s="11">
        <v>70.3</v>
      </c>
      <c r="H1150" s="11">
        <v>0.852</v>
      </c>
      <c r="I1150" s="11">
        <v>0.253</v>
      </c>
      <c r="J1150" s="11">
        <v>0.454</v>
      </c>
      <c r="K1150" s="11">
        <v>8.10650005974847</v>
      </c>
      <c r="L1150" s="11">
        <v>14.5077720207253</v>
      </c>
      <c r="M1150" s="11">
        <v>8.29977589755913</v>
      </c>
      <c r="N1150" s="11">
        <v>6.79396706793963</v>
      </c>
      <c r="O1150" s="11">
        <v>5.85738539898133</v>
      </c>
      <c r="P1150" s="12"/>
      <c r="Q1150" s="13" t="s">
        <v>26</v>
      </c>
      <c r="S1150" s="14">
        <v>1.505</v>
      </c>
      <c r="T1150" s="14">
        <v>0.908547819</v>
      </c>
      <c r="U1150" s="14">
        <v>0.878</v>
      </c>
    </row>
    <row r="1151">
      <c r="A1151" s="15" t="s">
        <v>172</v>
      </c>
      <c r="B1151" s="16">
        <v>2015.0</v>
      </c>
      <c r="C1151" s="16">
        <v>15.0</v>
      </c>
      <c r="D1151" s="16">
        <v>7.119</v>
      </c>
      <c r="E1151" s="16">
        <v>1.39451</v>
      </c>
      <c r="F1151" s="16">
        <v>1.24711</v>
      </c>
      <c r="G1151" s="16">
        <v>0.86179</v>
      </c>
      <c r="H1151" s="16">
        <v>0.54604</v>
      </c>
      <c r="I1151" s="16">
        <v>0.40105</v>
      </c>
      <c r="J1151" s="16">
        <v>0.1589</v>
      </c>
      <c r="K1151" s="16">
        <v>2.33140147523708</v>
      </c>
      <c r="L1151" s="16">
        <v>1.79660212993621</v>
      </c>
      <c r="M1151" s="16">
        <v>0.951388486848443</v>
      </c>
      <c r="N1151" s="16">
        <v>0.118625052273273</v>
      </c>
      <c r="O1151" s="16">
        <v>1.828419</v>
      </c>
      <c r="P1151" s="16">
        <v>-0.871719717979431</v>
      </c>
      <c r="Q1151" s="17" t="s">
        <v>43</v>
      </c>
      <c r="S1151" s="14">
        <v>1.505059242</v>
      </c>
      <c r="T1151" s="14">
        <v>0.909</v>
      </c>
      <c r="U1151" s="14">
        <v>0.881</v>
      </c>
    </row>
    <row r="1152">
      <c r="A1152" s="10" t="s">
        <v>172</v>
      </c>
      <c r="B1152" s="11">
        <v>2016.0</v>
      </c>
      <c r="C1152" s="11">
        <v>13.0</v>
      </c>
      <c r="D1152" s="11">
        <v>7.104</v>
      </c>
      <c r="E1152" s="11">
        <v>1.50796</v>
      </c>
      <c r="F1152" s="11">
        <v>1.04782</v>
      </c>
      <c r="G1152" s="11">
        <v>0.779</v>
      </c>
      <c r="H1152" s="11">
        <v>0.48163</v>
      </c>
      <c r="I1152" s="11">
        <v>0.41077</v>
      </c>
      <c r="J1152" s="11">
        <v>0.14868</v>
      </c>
      <c r="K1152" s="11">
        <v>16.9007911682128</v>
      </c>
      <c r="L1152" s="11">
        <v>0.343724757432937</v>
      </c>
      <c r="M1152" s="11">
        <v>1.04947239639088</v>
      </c>
      <c r="N1152" s="11">
        <v>1.26158142089843</v>
      </c>
      <c r="O1152" s="11">
        <v>2.210902</v>
      </c>
      <c r="P1152" s="11">
        <v>0.424537032842636</v>
      </c>
      <c r="Q1152" s="13" t="s">
        <v>43</v>
      </c>
      <c r="S1152" s="14">
        <v>1.506</v>
      </c>
      <c r="T1152" s="14">
        <v>0.913</v>
      </c>
      <c r="U1152" s="14">
        <v>0.882</v>
      </c>
    </row>
    <row r="1153">
      <c r="A1153" s="15" t="s">
        <v>172</v>
      </c>
      <c r="B1153" s="16">
        <v>2017.0</v>
      </c>
      <c r="C1153" s="16">
        <v>14.0</v>
      </c>
      <c r="D1153" s="16">
        <v>6.993000031</v>
      </c>
      <c r="E1153" s="16">
        <v>1.546259284</v>
      </c>
      <c r="F1153" s="16">
        <v>1.419920564</v>
      </c>
      <c r="G1153" s="16">
        <v>0.774286628</v>
      </c>
      <c r="H1153" s="16">
        <v>0.505740523</v>
      </c>
      <c r="I1153" s="16">
        <v>0.392578781</v>
      </c>
      <c r="J1153" s="16">
        <v>0.135638788</v>
      </c>
      <c r="K1153" s="16">
        <v>7.09963226318359</v>
      </c>
      <c r="L1153" s="16">
        <v>0.882085919380188</v>
      </c>
      <c r="M1153" s="16">
        <v>1.88040332191975</v>
      </c>
      <c r="N1153" s="16">
        <v>2.136</v>
      </c>
      <c r="O1153" s="16">
        <v>1.84449</v>
      </c>
      <c r="P1153" s="16">
        <v>2.32504844665527</v>
      </c>
      <c r="Q1153" s="17" t="s">
        <v>43</v>
      </c>
      <c r="S1153" s="14">
        <v>1.50728488</v>
      </c>
      <c r="T1153" s="14">
        <v>0.913</v>
      </c>
      <c r="U1153" s="14">
        <v>0.883691847</v>
      </c>
    </row>
    <row r="1154">
      <c r="A1154" s="10" t="s">
        <v>172</v>
      </c>
      <c r="B1154" s="11">
        <v>2018.0</v>
      </c>
      <c r="C1154" s="11">
        <v>18.0</v>
      </c>
      <c r="D1154" s="11">
        <v>6.886</v>
      </c>
      <c r="E1154" s="11">
        <v>1.398</v>
      </c>
      <c r="F1154" s="11">
        <v>1.471</v>
      </c>
      <c r="G1154" s="11">
        <v>0.819</v>
      </c>
      <c r="H1154" s="11">
        <v>0.547</v>
      </c>
      <c r="I1154" s="11">
        <v>0.291</v>
      </c>
      <c r="J1154" s="11">
        <v>0.133</v>
      </c>
      <c r="K1154" s="11">
        <v>25.599998474121</v>
      </c>
      <c r="L1154" s="11">
        <v>1.40461361408233</v>
      </c>
      <c r="M1154" s="11">
        <v>2.40089128214651</v>
      </c>
      <c r="N1154" s="11">
        <v>2.44</v>
      </c>
      <c r="O1154" s="11">
        <v>2.139733</v>
      </c>
      <c r="P1154" s="11">
        <v>2.89930129051208</v>
      </c>
      <c r="Q1154" s="13" t="s">
        <v>43</v>
      </c>
      <c r="S1154" s="14">
        <v>1.508</v>
      </c>
      <c r="T1154" s="14">
        <v>0.914</v>
      </c>
      <c r="U1154" s="14">
        <v>0.884</v>
      </c>
    </row>
    <row r="1155">
      <c r="A1155" s="15" t="s">
        <v>172</v>
      </c>
      <c r="B1155" s="16">
        <v>2019.0</v>
      </c>
      <c r="C1155" s="16">
        <v>19.0</v>
      </c>
      <c r="D1155" s="16">
        <v>6.892</v>
      </c>
      <c r="E1155" s="16">
        <v>1.433</v>
      </c>
      <c r="F1155" s="16">
        <v>1.457</v>
      </c>
      <c r="G1155" s="16">
        <v>0.874</v>
      </c>
      <c r="H1155" s="16">
        <v>0.454</v>
      </c>
      <c r="I1155" s="16">
        <v>0.28</v>
      </c>
      <c r="J1155" s="16">
        <v>0.128</v>
      </c>
      <c r="K1155" s="16">
        <v>21.2715682983398</v>
      </c>
      <c r="L1155" s="16">
        <v>0.885505314548011</v>
      </c>
      <c r="M1155" s="16">
        <v>1.78519619931819</v>
      </c>
      <c r="N1155" s="16">
        <v>1.81200003623962</v>
      </c>
      <c r="O1155" s="16">
        <v>2.19197</v>
      </c>
      <c r="P1155" s="16">
        <v>1.69199073314666</v>
      </c>
      <c r="Q1155" s="17" t="s">
        <v>43</v>
      </c>
      <c r="S1155" s="14">
        <v>1.510041952</v>
      </c>
      <c r="T1155" s="14">
        <v>0.915</v>
      </c>
      <c r="U1155" s="14">
        <v>0.886272311</v>
      </c>
    </row>
    <row r="1156">
      <c r="A1156" s="10" t="s">
        <v>172</v>
      </c>
      <c r="B1156" s="11">
        <v>2020.0</v>
      </c>
      <c r="C1156" s="11">
        <v>18.0</v>
      </c>
      <c r="D1156" s="11">
        <v>6.939599991</v>
      </c>
      <c r="E1156" s="11">
        <v>1.37398684</v>
      </c>
      <c r="F1156" s="11">
        <v>0.914219022</v>
      </c>
      <c r="G1156" s="11">
        <v>68.29949951</v>
      </c>
      <c r="H1156" s="11">
        <v>0.842619538</v>
      </c>
      <c r="I1156" s="11">
        <v>0.149891734</v>
      </c>
      <c r="J1156" s="11">
        <v>0.699715316</v>
      </c>
      <c r="K1156" s="11">
        <v>2.58817325832322</v>
      </c>
      <c r="L1156" s="11">
        <v>3.50606884341085</v>
      </c>
      <c r="M1156" s="11">
        <v>1.2123101589988</v>
      </c>
      <c r="N1156" s="11">
        <v>1.23358439630664</v>
      </c>
      <c r="O1156" s="11">
        <v>1.702817</v>
      </c>
      <c r="P1156" s="11">
        <v>-2.12319376405706</v>
      </c>
      <c r="Q1156" s="13" t="s">
        <v>43</v>
      </c>
      <c r="S1156" s="14">
        <v>1.513</v>
      </c>
      <c r="T1156" s="14">
        <v>0.915</v>
      </c>
      <c r="U1156" s="14">
        <v>0.887</v>
      </c>
    </row>
    <row r="1157">
      <c r="A1157" s="15" t="s">
        <v>172</v>
      </c>
      <c r="B1157" s="16">
        <v>2021.0</v>
      </c>
      <c r="C1157" s="16">
        <v>19.0</v>
      </c>
      <c r="D1157" s="16">
        <v>6.951</v>
      </c>
      <c r="E1157" s="16">
        <v>11.023</v>
      </c>
      <c r="F1157" s="16">
        <v>0.92</v>
      </c>
      <c r="G1157" s="16">
        <v>68.2</v>
      </c>
      <c r="H1157" s="16">
        <v>0.837</v>
      </c>
      <c r="I1157" s="16">
        <v>0.098</v>
      </c>
      <c r="J1157" s="16">
        <v>0.698</v>
      </c>
      <c r="K1157" s="16">
        <v>21.0082</v>
      </c>
      <c r="L1157" s="16">
        <v>3.469</v>
      </c>
      <c r="M1157" s="16">
        <v>4.4927922357685</v>
      </c>
      <c r="N1157" s="16">
        <v>4.697859</v>
      </c>
      <c r="O1157" s="16">
        <v>3.572</v>
      </c>
      <c r="P1157" s="16">
        <v>8.95479633899282</v>
      </c>
      <c r="Q1157" s="17" t="s">
        <v>43</v>
      </c>
      <c r="S1157" s="14">
        <v>1.515</v>
      </c>
      <c r="T1157" s="14">
        <v>0.915431738</v>
      </c>
      <c r="U1157" s="14">
        <v>0.888</v>
      </c>
    </row>
    <row r="1158">
      <c r="A1158" s="10" t="s">
        <v>172</v>
      </c>
      <c r="B1158" s="11">
        <v>2022.0</v>
      </c>
      <c r="C1158" s="11">
        <v>16.0</v>
      </c>
      <c r="D1158" s="11">
        <v>6.977</v>
      </c>
      <c r="E1158" s="11">
        <v>1.982</v>
      </c>
      <c r="F1158" s="11">
        <v>1.182</v>
      </c>
      <c r="G1158" s="11">
        <v>0.628</v>
      </c>
      <c r="H1158" s="11">
        <v>0.574</v>
      </c>
      <c r="I1158" s="11">
        <v>0.22</v>
      </c>
      <c r="J1158" s="11">
        <v>0.177</v>
      </c>
      <c r="K1158" s="11">
        <v>25.5044109774492</v>
      </c>
      <c r="L1158" s="11">
        <v>11.43888</v>
      </c>
      <c r="M1158" s="11">
        <v>6.54654663088127</v>
      </c>
      <c r="N1158" s="11">
        <v>8.0028</v>
      </c>
      <c r="O1158" s="11">
        <v>6.15203145478373</v>
      </c>
      <c r="P1158" s="11">
        <v>8.05340530438147</v>
      </c>
      <c r="Q1158" s="13" t="s">
        <v>43</v>
      </c>
      <c r="S1158" s="14">
        <v>1.515</v>
      </c>
      <c r="T1158" s="14">
        <v>0.915463448</v>
      </c>
      <c r="U1158" s="14">
        <v>0.888890028</v>
      </c>
    </row>
    <row r="1159">
      <c r="A1159" s="15" t="s">
        <v>172</v>
      </c>
      <c r="B1159" s="16">
        <v>2023.0</v>
      </c>
      <c r="C1159" s="16">
        <v>15.0</v>
      </c>
      <c r="D1159" s="16">
        <v>6.894</v>
      </c>
      <c r="E1159" s="16">
        <v>11.048</v>
      </c>
      <c r="F1159" s="16">
        <v>0.919</v>
      </c>
      <c r="G1159" s="16">
        <v>65.85</v>
      </c>
      <c r="H1159" s="16">
        <v>0.8</v>
      </c>
      <c r="I1159" s="16">
        <v>0.137</v>
      </c>
      <c r="J1159" s="16">
        <v>0.689</v>
      </c>
      <c r="K1159" s="16">
        <v>-4.54373378212399</v>
      </c>
      <c r="L1159" s="16">
        <v>4.9442979373991</v>
      </c>
      <c r="M1159" s="16">
        <v>3.65089208133505</v>
      </c>
      <c r="N1159" s="16">
        <v>4.11633838374488</v>
      </c>
      <c r="O1159" s="16">
        <v>4.78192587422257</v>
      </c>
      <c r="P1159" s="16">
        <v>2.74421124922781</v>
      </c>
      <c r="Q1159" s="17" t="s">
        <v>43</v>
      </c>
      <c r="S1159" s="14">
        <v>1.516</v>
      </c>
      <c r="T1159" s="14">
        <v>0.917</v>
      </c>
      <c r="U1159" s="14">
        <v>0.891</v>
      </c>
    </row>
    <row r="1160">
      <c r="A1160" s="10" t="s">
        <v>173</v>
      </c>
      <c r="B1160" s="11">
        <v>2015.0</v>
      </c>
      <c r="C1160" s="11">
        <v>32.0</v>
      </c>
      <c r="D1160" s="11">
        <v>6.485</v>
      </c>
      <c r="E1160" s="11">
        <v>1.06166</v>
      </c>
      <c r="F1160" s="11">
        <v>1.2089</v>
      </c>
      <c r="G1160" s="11">
        <v>0.8116</v>
      </c>
      <c r="H1160" s="11">
        <v>0.60362</v>
      </c>
      <c r="I1160" s="11">
        <v>0.2324</v>
      </c>
      <c r="J1160" s="11">
        <v>0.24558</v>
      </c>
      <c r="K1160" s="11">
        <v>2.07798218727111</v>
      </c>
      <c r="L1160" s="11">
        <v>9.47414302825927</v>
      </c>
      <c r="M1160" s="11">
        <v>9.01548219489075</v>
      </c>
      <c r="N1160" s="11">
        <v>8.66815280914306</v>
      </c>
      <c r="O1160" s="11">
        <v>-12.8237600326538</v>
      </c>
      <c r="P1160" s="11">
        <v>6.83348035812377</v>
      </c>
      <c r="Q1160" s="13" t="s">
        <v>32</v>
      </c>
      <c r="S1160" s="14">
        <v>1.516911745</v>
      </c>
      <c r="T1160" s="14">
        <v>0.918</v>
      </c>
      <c r="U1160" s="14">
        <v>0.891</v>
      </c>
    </row>
    <row r="1161">
      <c r="A1161" s="15" t="s">
        <v>173</v>
      </c>
      <c r="B1161" s="16">
        <v>2016.0</v>
      </c>
      <c r="C1161" s="16">
        <v>29.0</v>
      </c>
      <c r="D1161" s="16">
        <v>6.545</v>
      </c>
      <c r="E1161" s="16">
        <v>1.18157</v>
      </c>
      <c r="F1161" s="16">
        <v>1.03143</v>
      </c>
      <c r="G1161" s="16">
        <v>0.72183</v>
      </c>
      <c r="H1161" s="16">
        <v>0.54388</v>
      </c>
      <c r="I1161" s="16">
        <v>0.18056</v>
      </c>
      <c r="J1161" s="16">
        <v>0.21394</v>
      </c>
      <c r="K1161" s="16">
        <v>2.48389267921447</v>
      </c>
      <c r="L1161" s="16">
        <v>9.62208747863769</v>
      </c>
      <c r="M1161" s="16">
        <v>7.34566377191193</v>
      </c>
      <c r="N1161" s="16">
        <v>9.63379669189453</v>
      </c>
      <c r="O1161" s="16">
        <v>-10.9941759109497</v>
      </c>
      <c r="P1161" s="16">
        <v>3.35194730758667</v>
      </c>
      <c r="Q1161" s="17" t="s">
        <v>32</v>
      </c>
      <c r="S1161" s="14">
        <v>1.517</v>
      </c>
      <c r="T1161" s="14">
        <v>0.919</v>
      </c>
      <c r="U1161" s="14">
        <v>0.891806662</v>
      </c>
    </row>
    <row r="1162">
      <c r="A1162" s="10" t="s">
        <v>173</v>
      </c>
      <c r="B1162" s="11">
        <v>2017.0</v>
      </c>
      <c r="C1162" s="11">
        <v>28.0</v>
      </c>
      <c r="D1162" s="11">
        <v>6.453999996</v>
      </c>
      <c r="E1162" s="11">
        <v>1.217559695</v>
      </c>
      <c r="F1162" s="11">
        <v>1.412227869</v>
      </c>
      <c r="G1162" s="11">
        <v>0.719216824</v>
      </c>
      <c r="H1162" s="11">
        <v>0.579392254</v>
      </c>
      <c r="I1162" s="11">
        <v>0.175096929</v>
      </c>
      <c r="J1162" s="11">
        <v>0.178061873</v>
      </c>
      <c r="K1162" s="11">
        <v>2.97425389289856</v>
      </c>
      <c r="L1162" s="11">
        <v>2.81013250350952</v>
      </c>
      <c r="M1162" s="11">
        <v>4.98699999999999</v>
      </c>
      <c r="N1162" s="11">
        <v>6.218</v>
      </c>
      <c r="O1162" s="12"/>
      <c r="P1162" s="11">
        <v>1.67463982105255</v>
      </c>
      <c r="Q1162" s="13" t="s">
        <v>32</v>
      </c>
      <c r="S1162" s="14">
        <v>1.52</v>
      </c>
      <c r="T1162" s="14">
        <v>0.919</v>
      </c>
      <c r="U1162" s="14">
        <v>0.892</v>
      </c>
    </row>
    <row r="1163">
      <c r="A1163" s="15" t="s">
        <v>173</v>
      </c>
      <c r="B1163" s="16">
        <v>2018.0</v>
      </c>
      <c r="C1163" s="16">
        <v>31.0</v>
      </c>
      <c r="D1163" s="16">
        <v>6.379</v>
      </c>
      <c r="E1163" s="16">
        <v>1.093</v>
      </c>
      <c r="F1163" s="16">
        <v>1.459</v>
      </c>
      <c r="G1163" s="16">
        <v>0.771</v>
      </c>
      <c r="H1163" s="16">
        <v>0.625</v>
      </c>
      <c r="I1163" s="16">
        <v>0.13</v>
      </c>
      <c r="J1163" s="16">
        <v>0.155</v>
      </c>
      <c r="K1163" s="16">
        <v>2.88529801368713</v>
      </c>
      <c r="L1163" s="16">
        <v>8.33771324157714</v>
      </c>
      <c r="M1163" s="16">
        <v>7.1018316553478</v>
      </c>
      <c r="N1163" s="16">
        <v>7.61</v>
      </c>
      <c r="O1163" s="12"/>
      <c r="P1163" s="16">
        <v>9.6727647781372</v>
      </c>
      <c r="Q1163" s="17" t="s">
        <v>32</v>
      </c>
      <c r="S1163" s="14">
        <v>1.52</v>
      </c>
      <c r="T1163" s="14">
        <v>0.921336651</v>
      </c>
      <c r="U1163" s="14">
        <v>0.892629504</v>
      </c>
    </row>
    <row r="1164">
      <c r="A1164" s="10" t="s">
        <v>173</v>
      </c>
      <c r="B1164" s="11">
        <v>2019.0</v>
      </c>
      <c r="C1164" s="11">
        <v>33.0</v>
      </c>
      <c r="D1164" s="11">
        <v>6.293</v>
      </c>
      <c r="E1164" s="11">
        <v>1.124</v>
      </c>
      <c r="F1164" s="11">
        <v>1.465</v>
      </c>
      <c r="G1164" s="11">
        <v>0.891</v>
      </c>
      <c r="H1164" s="11">
        <v>0.523</v>
      </c>
      <c r="I1164" s="11">
        <v>0.127</v>
      </c>
      <c r="J1164" s="11">
        <v>0.15</v>
      </c>
      <c r="K1164" s="11">
        <v>-2.11295008659362</v>
      </c>
      <c r="L1164" s="11">
        <v>8.76123619079589</v>
      </c>
      <c r="M1164" s="11">
        <v>9.03746787261101</v>
      </c>
      <c r="N1164" s="11">
        <v>7.88199996948242</v>
      </c>
      <c r="O1164" s="12"/>
      <c r="P1164" s="11">
        <v>12.7828283309936</v>
      </c>
      <c r="Q1164" s="13" t="s">
        <v>32</v>
      </c>
      <c r="S1164" s="14">
        <v>1.522</v>
      </c>
      <c r="T1164" s="14">
        <v>0.924911439</v>
      </c>
      <c r="U1164" s="14">
        <v>0.892916501</v>
      </c>
    </row>
    <row r="1165">
      <c r="A1165" s="15" t="s">
        <v>173</v>
      </c>
      <c r="B1165" s="16">
        <v>2020.0</v>
      </c>
      <c r="C1165" s="16">
        <v>26.0</v>
      </c>
      <c r="D1165" s="16">
        <v>6.440100193</v>
      </c>
      <c r="E1165" s="16">
        <v>1.071000457</v>
      </c>
      <c r="F1165" s="16">
        <v>0.92281127</v>
      </c>
      <c r="G1165" s="16">
        <v>69.00254822</v>
      </c>
      <c r="H1165" s="16">
        <v>0.892395437</v>
      </c>
      <c r="I1165" s="16">
        <v>-0.101103112</v>
      </c>
      <c r="J1165" s="16">
        <v>0.635994136</v>
      </c>
      <c r="K1165" s="16">
        <v>7.18302395984373</v>
      </c>
      <c r="L1165" s="16">
        <v>13.7626152038574</v>
      </c>
      <c r="M1165" s="16">
        <v>8.49312833897475</v>
      </c>
      <c r="N1165" s="16">
        <v>9.75640636078163</v>
      </c>
      <c r="O1165" s="12"/>
      <c r="P1165" s="16">
        <v>10.4628105163574</v>
      </c>
      <c r="Q1165" s="17" t="s">
        <v>32</v>
      </c>
      <c r="S1165" s="14">
        <v>1.522</v>
      </c>
      <c r="T1165" s="14">
        <v>0.925</v>
      </c>
      <c r="U1165" s="14">
        <v>0.893714964</v>
      </c>
    </row>
    <row r="1166">
      <c r="A1166" s="10" t="s">
        <v>173</v>
      </c>
      <c r="B1166" s="11">
        <v>2021.0</v>
      </c>
      <c r="C1166" s="11">
        <v>31.0</v>
      </c>
      <c r="D1166" s="11">
        <v>6.431</v>
      </c>
      <c r="E1166" s="11">
        <v>9.966</v>
      </c>
      <c r="F1166" s="11">
        <v>0.925</v>
      </c>
      <c r="G1166" s="11">
        <v>69.1</v>
      </c>
      <c r="H1166" s="11">
        <v>0.896</v>
      </c>
      <c r="I1166" s="11">
        <v>-0.092</v>
      </c>
      <c r="J1166" s="11">
        <v>0.59</v>
      </c>
      <c r="K1166" s="11">
        <v>7.95</v>
      </c>
      <c r="L1166" s="11">
        <v>6.8</v>
      </c>
      <c r="M1166" s="11">
        <v>10.0070996974746</v>
      </c>
      <c r="N1166" s="11">
        <v>7.74791402314763</v>
      </c>
      <c r="O1166" s="12"/>
      <c r="P1166" s="11">
        <v>14.4216924134437</v>
      </c>
      <c r="Q1166" s="13" t="s">
        <v>32</v>
      </c>
      <c r="S1166" s="14">
        <v>1.523</v>
      </c>
      <c r="T1166" s="14">
        <v>0.926645339</v>
      </c>
      <c r="U1166" s="14">
        <v>0.895</v>
      </c>
    </row>
    <row r="1167">
      <c r="A1167" s="15" t="s">
        <v>173</v>
      </c>
      <c r="B1167" s="16">
        <v>2022.0</v>
      </c>
      <c r="C1167" s="16">
        <v>30.0</v>
      </c>
      <c r="D1167" s="16">
        <v>6.474</v>
      </c>
      <c r="E1167" s="16">
        <v>1.615</v>
      </c>
      <c r="F1167" s="16">
        <v>1.18</v>
      </c>
      <c r="G1167" s="16">
        <v>0.672</v>
      </c>
      <c r="H1167" s="16">
        <v>0.665</v>
      </c>
      <c r="I1167" s="16">
        <v>0.103</v>
      </c>
      <c r="J1167" s="16">
        <v>0.265</v>
      </c>
      <c r="K1167" s="16">
        <v>7.05844585775002</v>
      </c>
      <c r="L1167" s="16">
        <v>10.5933818733157</v>
      </c>
      <c r="M1167" s="16">
        <v>4.50287592440426</v>
      </c>
      <c r="N1167" s="16">
        <v>9.10437983075442</v>
      </c>
      <c r="O1167" s="12"/>
      <c r="P1167" s="16">
        <v>12.8295018846769</v>
      </c>
      <c r="Q1167" s="17" t="s">
        <v>32</v>
      </c>
      <c r="S1167" s="14">
        <v>1.525</v>
      </c>
      <c r="T1167" s="14">
        <v>0.927</v>
      </c>
      <c r="U1167" s="14">
        <v>0.896303713</v>
      </c>
    </row>
    <row r="1168">
      <c r="A1168" s="10" t="s">
        <v>173</v>
      </c>
      <c r="B1168" s="11">
        <v>2023.0</v>
      </c>
      <c r="C1168" s="11">
        <v>28.0</v>
      </c>
      <c r="D1168" s="11">
        <v>6.494</v>
      </c>
      <c r="E1168" s="11">
        <v>10.037</v>
      </c>
      <c r="F1168" s="11">
        <v>0.913</v>
      </c>
      <c r="G1168" s="11">
        <v>67.5</v>
      </c>
      <c r="H1168" s="11">
        <v>0.895</v>
      </c>
      <c r="I1168" s="11">
        <v>-0.065</v>
      </c>
      <c r="J1168" s="11">
        <v>0.575</v>
      </c>
      <c r="K1168" s="12"/>
      <c r="L1168" s="11">
        <v>8.73770534123861</v>
      </c>
      <c r="M1168" s="11">
        <v>4.16513687364914</v>
      </c>
      <c r="N1168" s="11">
        <v>5.86910359896119</v>
      </c>
      <c r="O1168" s="12"/>
      <c r="P1168" s="12"/>
      <c r="Q1168" s="13" t="s">
        <v>32</v>
      </c>
      <c r="S1168" s="14">
        <v>1.526</v>
      </c>
      <c r="T1168" s="14">
        <v>0.927</v>
      </c>
      <c r="U1168" s="14">
        <v>0.898</v>
      </c>
    </row>
    <row r="1169">
      <c r="A1169" s="15" t="s">
        <v>174</v>
      </c>
      <c r="B1169" s="16">
        <v>2015.0</v>
      </c>
      <c r="C1169" s="16">
        <v>44.0</v>
      </c>
      <c r="D1169" s="16">
        <v>6.003</v>
      </c>
      <c r="E1169" s="16">
        <v>0.63244</v>
      </c>
      <c r="F1169" s="16">
        <v>1.34043</v>
      </c>
      <c r="G1169" s="16">
        <v>0.59772</v>
      </c>
      <c r="H1169" s="16">
        <v>0.65821</v>
      </c>
      <c r="I1169" s="16">
        <v>0.22837</v>
      </c>
      <c r="J1169" s="16">
        <v>0.30826</v>
      </c>
      <c r="K1169" s="12"/>
      <c r="L1169" s="12"/>
      <c r="M1169" s="16">
        <v>10.4203703499221</v>
      </c>
      <c r="N1169" s="16">
        <v>8.46399974822998</v>
      </c>
      <c r="O1169" s="12"/>
      <c r="P1169" s="12"/>
      <c r="Q1169" s="17" t="s">
        <v>24</v>
      </c>
      <c r="S1169" s="14">
        <v>1.527</v>
      </c>
      <c r="T1169" s="14">
        <v>0.929</v>
      </c>
      <c r="U1169" s="14">
        <v>0.898</v>
      </c>
    </row>
    <row r="1170">
      <c r="A1170" s="10" t="s">
        <v>174</v>
      </c>
      <c r="B1170" s="11">
        <v>2016.0</v>
      </c>
      <c r="C1170" s="11">
        <v>49.0</v>
      </c>
      <c r="D1170" s="11">
        <v>5.987</v>
      </c>
      <c r="E1170" s="11">
        <v>0.73591</v>
      </c>
      <c r="F1170" s="11">
        <v>1.1681</v>
      </c>
      <c r="G1170" s="11">
        <v>0.50163</v>
      </c>
      <c r="H1170" s="11">
        <v>0.60848</v>
      </c>
      <c r="I1170" s="11">
        <v>0.34326</v>
      </c>
      <c r="J1170" s="11">
        <v>0.28333</v>
      </c>
      <c r="K1170" s="12"/>
      <c r="L1170" s="11">
        <v>0.29991465806961</v>
      </c>
      <c r="M1170" s="11">
        <v>8.74599999999999</v>
      </c>
      <c r="N1170" s="11">
        <v>7.98199987411499</v>
      </c>
      <c r="O1170" s="12"/>
      <c r="P1170" s="11">
        <v>16.2873789961854</v>
      </c>
      <c r="Q1170" s="13" t="s">
        <v>24</v>
      </c>
      <c r="S1170" s="14">
        <v>1.528</v>
      </c>
      <c r="T1170" s="14">
        <v>0.929</v>
      </c>
      <c r="U1170" s="14">
        <v>0.901</v>
      </c>
    </row>
    <row r="1171">
      <c r="A1171" s="15" t="s">
        <v>174</v>
      </c>
      <c r="B1171" s="16">
        <v>2017.0</v>
      </c>
      <c r="C1171" s="16">
        <v>47.0</v>
      </c>
      <c r="D1171" s="16">
        <v>5.971000195</v>
      </c>
      <c r="E1171" s="16">
        <v>0.786441088</v>
      </c>
      <c r="F1171" s="16">
        <v>1.54896915</v>
      </c>
      <c r="G1171" s="16">
        <v>0.498272628</v>
      </c>
      <c r="H1171" s="16">
        <v>0.658248663</v>
      </c>
      <c r="I1171" s="16">
        <v>0.415983647</v>
      </c>
      <c r="J1171" s="16">
        <v>0.246528223</v>
      </c>
      <c r="K1171" s="12"/>
      <c r="L1171" s="16">
        <v>15.9003744125366</v>
      </c>
      <c r="M1171" s="16">
        <v>19.4315193202508</v>
      </c>
      <c r="N1171" s="16">
        <v>13.876</v>
      </c>
      <c r="O1171" s="12"/>
      <c r="P1171" s="16">
        <v>17.4182109832763</v>
      </c>
      <c r="Q1171" s="17" t="s">
        <v>24</v>
      </c>
      <c r="S1171" s="14">
        <v>1.529</v>
      </c>
      <c r="T1171" s="14">
        <v>0.932</v>
      </c>
      <c r="U1171" s="14">
        <v>0.901</v>
      </c>
    </row>
    <row r="1172">
      <c r="A1172" s="10" t="s">
        <v>174</v>
      </c>
      <c r="B1172" s="11">
        <v>2018.0</v>
      </c>
      <c r="C1172" s="11">
        <v>44.0</v>
      </c>
      <c r="D1172" s="11">
        <v>6.096</v>
      </c>
      <c r="E1172" s="11">
        <v>0.719</v>
      </c>
      <c r="F1172" s="11">
        <v>1.584</v>
      </c>
      <c r="G1172" s="11">
        <v>0.605</v>
      </c>
      <c r="H1172" s="11">
        <v>0.724</v>
      </c>
      <c r="I1172" s="11">
        <v>0.328</v>
      </c>
      <c r="J1172" s="11">
        <v>0.259</v>
      </c>
      <c r="K1172" s="12"/>
      <c r="L1172" s="11">
        <v>14.9000015258789</v>
      </c>
      <c r="M1172" s="11">
        <v>27.4706068049</v>
      </c>
      <c r="N1172" s="11">
        <v>17.68</v>
      </c>
      <c r="O1172" s="12"/>
      <c r="P1172" s="11">
        <v>31.6961669921875</v>
      </c>
      <c r="Q1172" s="13" t="s">
        <v>24</v>
      </c>
      <c r="S1172" s="14">
        <v>1.531</v>
      </c>
      <c r="T1172" s="14">
        <v>0.933913231</v>
      </c>
      <c r="U1172" s="14">
        <v>0.902</v>
      </c>
    </row>
    <row r="1173">
      <c r="A1173" s="15" t="s">
        <v>174</v>
      </c>
      <c r="B1173" s="16">
        <v>2019.0</v>
      </c>
      <c r="C1173" s="16">
        <v>41.0</v>
      </c>
      <c r="D1173" s="16">
        <v>6.174</v>
      </c>
      <c r="E1173" s="16">
        <v>0.745</v>
      </c>
      <c r="F1173" s="16">
        <v>1.529</v>
      </c>
      <c r="G1173" s="16">
        <v>0.756</v>
      </c>
      <c r="H1173" s="16">
        <v>0.631</v>
      </c>
      <c r="I1173" s="16">
        <v>0.322</v>
      </c>
      <c r="J1173" s="16">
        <v>0.24</v>
      </c>
      <c r="K1173" s="12"/>
      <c r="L1173" s="12"/>
      <c r="M1173" s="16">
        <v>18.5690556008577</v>
      </c>
      <c r="N1173" s="16">
        <v>14.5260000228881</v>
      </c>
      <c r="O1173" s="12"/>
      <c r="P1173" s="16">
        <v>43.3525009155273</v>
      </c>
      <c r="Q1173" s="17" t="s">
        <v>24</v>
      </c>
      <c r="S1173" s="14">
        <v>1.532</v>
      </c>
      <c r="T1173" s="14">
        <v>0.934</v>
      </c>
      <c r="U1173" s="14">
        <v>0.902</v>
      </c>
    </row>
    <row r="1174">
      <c r="A1174" s="10" t="s">
        <v>174</v>
      </c>
      <c r="B1174" s="11">
        <v>2020.0</v>
      </c>
      <c r="C1174" s="11">
        <v>38.0</v>
      </c>
      <c r="D1174" s="11">
        <v>6.257599831</v>
      </c>
      <c r="E1174" s="11">
        <v>0.696652949</v>
      </c>
      <c r="F1174" s="11">
        <v>0.926595807</v>
      </c>
      <c r="G1174" s="11">
        <v>65.10757446</v>
      </c>
      <c r="H1174" s="11">
        <v>0.974998116</v>
      </c>
      <c r="I1174" s="11">
        <v>0.248427153</v>
      </c>
      <c r="J1174" s="11">
        <v>0.501497388</v>
      </c>
      <c r="K1174" s="12"/>
      <c r="L1174" s="12"/>
      <c r="M1174" s="11">
        <v>11.8952403755533</v>
      </c>
      <c r="N1174" s="11">
        <v>12.855</v>
      </c>
      <c r="O1174" s="12"/>
      <c r="P1174" s="11">
        <v>14.8006324768066</v>
      </c>
      <c r="Q1174" s="13" t="s">
        <v>24</v>
      </c>
      <c r="S1174" s="14">
        <v>1.532</v>
      </c>
      <c r="T1174" s="14">
        <v>0.934</v>
      </c>
      <c r="U1174" s="14">
        <v>0.90225625</v>
      </c>
    </row>
    <row r="1175">
      <c r="A1175" s="15" t="s">
        <v>174</v>
      </c>
      <c r="B1175" s="16">
        <v>2021.0</v>
      </c>
      <c r="C1175" s="16">
        <v>42.0</v>
      </c>
      <c r="D1175" s="16">
        <v>6.179</v>
      </c>
      <c r="E1175" s="16">
        <v>8.836</v>
      </c>
      <c r="F1175" s="16">
        <v>0.918</v>
      </c>
      <c r="G1175" s="16">
        <v>65.255</v>
      </c>
      <c r="H1175" s="16">
        <v>0.97</v>
      </c>
      <c r="I1175" s="16">
        <v>0.311</v>
      </c>
      <c r="J1175" s="16">
        <v>0.515</v>
      </c>
      <c r="K1175" s="12"/>
      <c r="L1175" s="16">
        <v>14.42</v>
      </c>
      <c r="M1175" s="16">
        <v>13.5592053799169</v>
      </c>
      <c r="N1175" s="16">
        <v>10.6908666068798</v>
      </c>
      <c r="O1175" s="12"/>
      <c r="P1175" s="16">
        <v>9.32034481069456</v>
      </c>
      <c r="Q1175" s="17" t="s">
        <v>24</v>
      </c>
      <c r="S1175" s="14">
        <v>1.532090902</v>
      </c>
      <c r="T1175" s="14">
        <v>0.934738934</v>
      </c>
      <c r="U1175" s="14">
        <v>0.905</v>
      </c>
    </row>
    <row r="1176">
      <c r="A1176" s="10" t="s">
        <v>174</v>
      </c>
      <c r="B1176" s="11">
        <v>2022.0</v>
      </c>
      <c r="C1176" s="11">
        <v>53.0</v>
      </c>
      <c r="D1176" s="11">
        <v>6.063</v>
      </c>
      <c r="E1176" s="11">
        <v>1.219</v>
      </c>
      <c r="F1176" s="11">
        <v>1.092</v>
      </c>
      <c r="G1176" s="11">
        <v>0.6</v>
      </c>
      <c r="H1176" s="11">
        <v>0.716</v>
      </c>
      <c r="I1176" s="11">
        <v>0.283</v>
      </c>
      <c r="J1176" s="11">
        <v>0.24</v>
      </c>
      <c r="K1176" s="12"/>
      <c r="L1176" s="11">
        <v>15.0462517415322</v>
      </c>
      <c r="M1176" s="11">
        <v>13.5439999999999</v>
      </c>
      <c r="N1176" s="11">
        <v>11.4466436998836</v>
      </c>
      <c r="O1176" s="12"/>
      <c r="P1176" s="11">
        <v>16.6551958557872</v>
      </c>
      <c r="Q1176" s="13" t="s">
        <v>24</v>
      </c>
      <c r="S1176" s="14">
        <v>1.533</v>
      </c>
      <c r="T1176" s="14">
        <v>0.936</v>
      </c>
      <c r="U1176" s="14">
        <v>0.907</v>
      </c>
    </row>
    <row r="1177">
      <c r="A1177" s="15" t="s">
        <v>174</v>
      </c>
      <c r="B1177" s="16">
        <v>2023.0</v>
      </c>
      <c r="C1177" s="16">
        <v>54.0</v>
      </c>
      <c r="D1177" s="16">
        <v>6.014</v>
      </c>
      <c r="E1177" s="16">
        <v>8.948</v>
      </c>
      <c r="F1177" s="16">
        <v>0.875</v>
      </c>
      <c r="G1177" s="16">
        <v>65.301</v>
      </c>
      <c r="H1177" s="16">
        <v>0.938</v>
      </c>
      <c r="I1177" s="16">
        <v>0.23</v>
      </c>
      <c r="J1177" s="16">
        <v>0.638</v>
      </c>
      <c r="K1177" s="12"/>
      <c r="L1177" s="16">
        <v>12.0541035217409</v>
      </c>
      <c r="M1177" s="16">
        <v>12.2338387012708</v>
      </c>
      <c r="N1177" s="16">
        <v>9.951</v>
      </c>
      <c r="O1177" s="12"/>
      <c r="P1177" s="16">
        <v>16.6629574979493</v>
      </c>
      <c r="Q1177" s="17" t="s">
        <v>24</v>
      </c>
      <c r="S1177" s="14">
        <v>1.53352356</v>
      </c>
      <c r="T1177" s="14">
        <v>0.936142623</v>
      </c>
      <c r="U1177" s="14">
        <v>0.907</v>
      </c>
    </row>
    <row r="1178">
      <c r="A1178" s="10" t="s">
        <v>175</v>
      </c>
      <c r="B1178" s="11">
        <v>2015.0</v>
      </c>
      <c r="C1178" s="11">
        <v>75.0</v>
      </c>
      <c r="D1178" s="11">
        <v>5.36</v>
      </c>
      <c r="E1178" s="11">
        <v>0.63216</v>
      </c>
      <c r="F1178" s="11">
        <v>0.91226</v>
      </c>
      <c r="G1178" s="11">
        <v>0.74676</v>
      </c>
      <c r="H1178" s="11">
        <v>0.59444</v>
      </c>
      <c r="I1178" s="11">
        <v>0.1686</v>
      </c>
      <c r="J1178" s="11">
        <v>0.10441</v>
      </c>
      <c r="K1178" s="11">
        <v>-1.61869609355926</v>
      </c>
      <c r="L1178" s="11">
        <v>1.47833251953125</v>
      </c>
      <c r="M1178" s="11">
        <v>-1.71613743097306</v>
      </c>
      <c r="N1178" s="11">
        <v>0.644181668758392</v>
      </c>
      <c r="O1178" s="11">
        <v>2.05</v>
      </c>
      <c r="P1178" s="11">
        <v>-0.585893511772155</v>
      </c>
      <c r="Q1178" s="13" t="s">
        <v>24</v>
      </c>
      <c r="S1178" s="14">
        <v>1.537</v>
      </c>
      <c r="T1178" s="14">
        <v>0.936217487</v>
      </c>
      <c r="U1178" s="14">
        <v>0.91</v>
      </c>
    </row>
    <row r="1179">
      <c r="A1179" s="15" t="s">
        <v>175</v>
      </c>
      <c r="B1179" s="16">
        <v>2016.0</v>
      </c>
      <c r="C1179" s="16">
        <v>96.0</v>
      </c>
      <c r="D1179" s="16">
        <v>5.061</v>
      </c>
      <c r="E1179" s="16">
        <v>0.74037</v>
      </c>
      <c r="F1179" s="16">
        <v>0.79117</v>
      </c>
      <c r="G1179" s="16">
        <v>0.66157</v>
      </c>
      <c r="H1179" s="16">
        <v>0.55954</v>
      </c>
      <c r="I1179" s="16">
        <v>0.25075</v>
      </c>
      <c r="J1179" s="16">
        <v>0.11556</v>
      </c>
      <c r="K1179" s="16">
        <v>2.40275979042053</v>
      </c>
      <c r="L1179" s="16">
        <v>2.60893034934997</v>
      </c>
      <c r="M1179" s="16">
        <v>1.81945067543991</v>
      </c>
      <c r="N1179" s="16">
        <v>2.68039655685424</v>
      </c>
      <c r="O1179" s="16">
        <v>1.83</v>
      </c>
      <c r="P1179" s="16">
        <v>-0.612013578414917</v>
      </c>
      <c r="Q1179" s="17" t="s">
        <v>24</v>
      </c>
      <c r="S1179" s="14">
        <v>1.538</v>
      </c>
      <c r="T1179" s="14">
        <v>0.938</v>
      </c>
      <c r="U1179" s="14">
        <v>0.911</v>
      </c>
    </row>
    <row r="1180">
      <c r="A1180" s="10" t="s">
        <v>175</v>
      </c>
      <c r="B1180" s="11">
        <v>2017.0</v>
      </c>
      <c r="C1180" s="11">
        <v>94.0</v>
      </c>
      <c r="D1180" s="11">
        <v>5.073999882</v>
      </c>
      <c r="E1180" s="11">
        <v>0.788547575</v>
      </c>
      <c r="F1180" s="11">
        <v>1.277491331</v>
      </c>
      <c r="G1180" s="11">
        <v>0.652168989</v>
      </c>
      <c r="H1180" s="11">
        <v>0.571055591</v>
      </c>
      <c r="I1180" s="11">
        <v>0.234968051</v>
      </c>
      <c r="J1180" s="11">
        <v>0.087633237</v>
      </c>
      <c r="K1180" s="11">
        <v>4.29314708709716</v>
      </c>
      <c r="L1180" s="11">
        <v>-1.07962489128112</v>
      </c>
      <c r="M1180" s="11">
        <v>4.36278692422822</v>
      </c>
      <c r="N1180" s="11">
        <v>3.521</v>
      </c>
      <c r="O1180" s="11">
        <v>1.40758824348449</v>
      </c>
      <c r="P1180" s="12"/>
      <c r="Q1180" s="13" t="s">
        <v>24</v>
      </c>
      <c r="S1180" s="14">
        <v>1.538</v>
      </c>
      <c r="T1180" s="14">
        <v>0.939</v>
      </c>
      <c r="U1180" s="14">
        <v>0.911</v>
      </c>
    </row>
    <row r="1181">
      <c r="A1181" s="15" t="s">
        <v>175</v>
      </c>
      <c r="B1181" s="16">
        <v>2018.0</v>
      </c>
      <c r="C1181" s="16">
        <v>95.0</v>
      </c>
      <c r="D1181" s="16">
        <v>5.103</v>
      </c>
      <c r="E1181" s="16">
        <v>0.715</v>
      </c>
      <c r="F1181" s="16">
        <v>1.365</v>
      </c>
      <c r="G1181" s="16">
        <v>0.702</v>
      </c>
      <c r="H1181" s="16">
        <v>0.618</v>
      </c>
      <c r="I1181" s="16">
        <v>0.177</v>
      </c>
      <c r="J1181" s="16">
        <v>0.079</v>
      </c>
      <c r="K1181" s="16">
        <v>3.31360077857971</v>
      </c>
      <c r="L1181" s="16">
        <v>3.23943305015564</v>
      </c>
      <c r="M1181" s="16">
        <v>3.84398874145556</v>
      </c>
      <c r="N1181" s="16">
        <v>3.54</v>
      </c>
      <c r="O1181" s="16">
        <v>1.47949409484863</v>
      </c>
      <c r="P1181" s="12"/>
      <c r="Q1181" s="17" t="s">
        <v>24</v>
      </c>
      <c r="S1181" s="14">
        <v>1.538</v>
      </c>
      <c r="T1181" s="14">
        <v>0.939144194</v>
      </c>
      <c r="U1181" s="14">
        <v>0.911</v>
      </c>
    </row>
    <row r="1182">
      <c r="A1182" s="10" t="s">
        <v>175</v>
      </c>
      <c r="B1182" s="11">
        <v>2019.0</v>
      </c>
      <c r="C1182" s="11">
        <v>94.0</v>
      </c>
      <c r="D1182" s="11">
        <v>5.175</v>
      </c>
      <c r="E1182" s="11">
        <v>0.741</v>
      </c>
      <c r="F1182" s="11">
        <v>1.346</v>
      </c>
      <c r="G1182" s="11">
        <v>0.851</v>
      </c>
      <c r="H1182" s="11">
        <v>0.543</v>
      </c>
      <c r="I1182" s="11">
        <v>0.147</v>
      </c>
      <c r="J1182" s="11">
        <v>0.073</v>
      </c>
      <c r="K1182" s="11">
        <v>3.04232454299926</v>
      </c>
      <c r="L1182" s="11">
        <v>4.07278299331665</v>
      </c>
      <c r="M1182" s="11">
        <v>2.20127003794625</v>
      </c>
      <c r="N1182" s="11">
        <v>2.79699993133544</v>
      </c>
      <c r="O1182" s="11">
        <v>2.01219034194946</v>
      </c>
      <c r="P1182" s="12"/>
      <c r="Q1182" s="13" t="s">
        <v>24</v>
      </c>
      <c r="S1182" s="14">
        <v>1.540246725</v>
      </c>
      <c r="T1182" s="14">
        <v>0.939592957</v>
      </c>
      <c r="U1182" s="14">
        <v>0.912230611</v>
      </c>
    </row>
    <row r="1183">
      <c r="A1183" s="15" t="s">
        <v>175</v>
      </c>
      <c r="B1183" s="16">
        <v>2020.0</v>
      </c>
      <c r="C1183" s="16">
        <v>83.0</v>
      </c>
      <c r="D1183" s="16">
        <v>5.353499889</v>
      </c>
      <c r="E1183" s="16">
        <v>0.718092382</v>
      </c>
      <c r="F1183" s="16">
        <v>0.849987149</v>
      </c>
      <c r="G1183" s="16">
        <v>67.9527359</v>
      </c>
      <c r="H1183" s="16">
        <v>0.939592957</v>
      </c>
      <c r="I1183" s="16">
        <v>-0.094533332</v>
      </c>
      <c r="J1183" s="16">
        <v>0.79642123</v>
      </c>
      <c r="K1183" s="16">
        <v>0.63482645049855</v>
      </c>
      <c r="L1183" s="16">
        <v>9.43849086761474</v>
      </c>
      <c r="M1183" s="16">
        <v>0.4495886137895</v>
      </c>
      <c r="N1183" s="16">
        <v>3.22093436652503</v>
      </c>
      <c r="O1183" s="16">
        <v>2.30916666984558</v>
      </c>
      <c r="P1183" s="12"/>
      <c r="Q1183" s="17" t="s">
        <v>24</v>
      </c>
      <c r="S1183" s="14">
        <v>1.548</v>
      </c>
      <c r="T1183" s="14">
        <v>0.94</v>
      </c>
      <c r="U1183" s="14">
        <v>0.913314283</v>
      </c>
    </row>
    <row r="1184">
      <c r="A1184" s="10" t="s">
        <v>175</v>
      </c>
      <c r="B1184" s="11">
        <v>2021.0</v>
      </c>
      <c r="C1184" s="11">
        <v>79.0</v>
      </c>
      <c r="D1184" s="11">
        <v>5.411</v>
      </c>
      <c r="E1184" s="11">
        <v>8.973</v>
      </c>
      <c r="F1184" s="11">
        <v>0.85</v>
      </c>
      <c r="G1184" s="11">
        <v>68.034</v>
      </c>
      <c r="H1184" s="11">
        <v>0.94</v>
      </c>
      <c r="I1184" s="11">
        <v>-0.098</v>
      </c>
      <c r="J1184" s="11">
        <v>0.796</v>
      </c>
      <c r="K1184" s="11">
        <v>1.76</v>
      </c>
      <c r="L1184" s="11">
        <v>0.73</v>
      </c>
      <c r="M1184" s="11">
        <v>2.77827294467803</v>
      </c>
      <c r="N1184" s="11">
        <v>1.83471554810462</v>
      </c>
      <c r="O1184" s="11">
        <v>0.808008405893901</v>
      </c>
      <c r="P1184" s="12"/>
      <c r="Q1184" s="13" t="s">
        <v>24</v>
      </c>
      <c r="S1184" s="14">
        <v>1.548195124</v>
      </c>
      <c r="T1184" s="14">
        <v>0.941345513</v>
      </c>
      <c r="U1184" s="14">
        <v>0.915</v>
      </c>
    </row>
    <row r="1185">
      <c r="A1185" s="15" t="s">
        <v>175</v>
      </c>
      <c r="B1185" s="16">
        <v>2022.0</v>
      </c>
      <c r="C1185" s="16">
        <v>77.0</v>
      </c>
      <c r="D1185" s="16">
        <v>5.485</v>
      </c>
      <c r="E1185" s="16">
        <v>1.252</v>
      </c>
      <c r="F1185" s="16">
        <v>0.932</v>
      </c>
      <c r="G1185" s="16">
        <v>0.611</v>
      </c>
      <c r="H1185" s="16">
        <v>0.707</v>
      </c>
      <c r="I1185" s="16">
        <v>0.143</v>
      </c>
      <c r="J1185" s="16">
        <v>0.105</v>
      </c>
      <c r="K1185" s="16">
        <v>3.12082696652161</v>
      </c>
      <c r="L1185" s="16">
        <v>2.41338707818073</v>
      </c>
      <c r="M1185" s="16">
        <v>3.71698440567164</v>
      </c>
      <c r="N1185" s="16">
        <v>3.15650749963111</v>
      </c>
      <c r="O1185" s="16">
        <v>2.60659486276187</v>
      </c>
      <c r="P1185" s="12"/>
      <c r="Q1185" s="17" t="s">
        <v>24</v>
      </c>
      <c r="S1185" s="14">
        <v>1.54896915</v>
      </c>
      <c r="T1185" s="14">
        <v>0.942</v>
      </c>
      <c r="U1185" s="14">
        <v>0.916495264</v>
      </c>
    </row>
    <row r="1186">
      <c r="A1186" s="10" t="s">
        <v>175</v>
      </c>
      <c r="B1186" s="11">
        <v>2023.0</v>
      </c>
      <c r="C1186" s="11">
        <v>65.0</v>
      </c>
      <c r="D1186" s="11">
        <v>5.763</v>
      </c>
      <c r="E1186" s="11">
        <v>9.287</v>
      </c>
      <c r="F1186" s="11">
        <v>0.821</v>
      </c>
      <c r="G1186" s="11">
        <v>65.502</v>
      </c>
      <c r="H1186" s="11">
        <v>0.939</v>
      </c>
      <c r="I1186" s="11">
        <v>-0.004</v>
      </c>
      <c r="J1186" s="11">
        <v>0.759</v>
      </c>
      <c r="K1186" s="11">
        <v>6.52789701257877</v>
      </c>
      <c r="L1186" s="11">
        <v>3.43289943345136</v>
      </c>
      <c r="M1186" s="11">
        <v>1.92031136913051</v>
      </c>
      <c r="N1186" s="11">
        <v>3.25289282667662</v>
      </c>
      <c r="O1186" s="11">
        <v>4.15469056374965</v>
      </c>
      <c r="P1186" s="12"/>
      <c r="Q1186" s="13" t="s">
        <v>24</v>
      </c>
      <c r="S1186" s="14">
        <v>1.549</v>
      </c>
      <c r="T1186" s="14">
        <v>0.944</v>
      </c>
      <c r="U1186" s="14">
        <v>0.917</v>
      </c>
    </row>
    <row r="1187">
      <c r="A1187" s="15" t="s">
        <v>176</v>
      </c>
      <c r="B1187" s="16">
        <v>2015.0</v>
      </c>
      <c r="C1187" s="16">
        <v>85.0</v>
      </c>
      <c r="D1187" s="16">
        <v>5.129</v>
      </c>
      <c r="E1187" s="16">
        <v>0.47038</v>
      </c>
      <c r="F1187" s="16">
        <v>0.91612</v>
      </c>
      <c r="G1187" s="16">
        <v>0.29924</v>
      </c>
      <c r="H1187" s="16">
        <v>0.48827</v>
      </c>
      <c r="I1187" s="16">
        <v>0.19591</v>
      </c>
      <c r="J1187" s="16">
        <v>0.12468</v>
      </c>
      <c r="K1187" s="16">
        <v>7.58505725860595</v>
      </c>
      <c r="L1187" s="16">
        <v>11.0804290771484</v>
      </c>
      <c r="M1187" s="16">
        <v>6.66060782317871</v>
      </c>
      <c r="N1187" s="16">
        <v>10.1124429702758</v>
      </c>
      <c r="O1187" s="12"/>
      <c r="P1187" s="12"/>
      <c r="Q1187" s="17" t="s">
        <v>28</v>
      </c>
      <c r="S1187" s="14">
        <v>1.551121593</v>
      </c>
      <c r="T1187" s="14">
        <v>0.945</v>
      </c>
      <c r="U1187" s="14">
        <v>0.918</v>
      </c>
    </row>
    <row r="1188">
      <c r="A1188" s="10" t="s">
        <v>176</v>
      </c>
      <c r="B1188" s="11">
        <v>2016.0</v>
      </c>
      <c r="C1188" s="11">
        <v>106.0</v>
      </c>
      <c r="D1188" s="11">
        <v>4.795</v>
      </c>
      <c r="E1188" s="11">
        <v>0.61202</v>
      </c>
      <c r="F1188" s="11">
        <v>0.6376</v>
      </c>
      <c r="G1188" s="11">
        <v>0.23573</v>
      </c>
      <c r="H1188" s="11">
        <v>0.42662</v>
      </c>
      <c r="I1188" s="11">
        <v>0.17866</v>
      </c>
      <c r="J1188" s="11">
        <v>0.11479</v>
      </c>
      <c r="K1188" s="11">
        <v>5.40138435363769</v>
      </c>
      <c r="L1188" s="11">
        <v>21.2648334503173</v>
      </c>
      <c r="M1188" s="11">
        <v>13.552054859885</v>
      </c>
      <c r="N1188" s="11">
        <v>17.8611755371093</v>
      </c>
      <c r="O1188" s="12"/>
      <c r="P1188" s="12"/>
      <c r="Q1188" s="13" t="s">
        <v>28</v>
      </c>
      <c r="S1188" s="14">
        <v>1.553</v>
      </c>
      <c r="T1188" s="14">
        <v>0.946</v>
      </c>
      <c r="U1188" s="14">
        <v>0.918</v>
      </c>
    </row>
    <row r="1189">
      <c r="A1189" s="15" t="s">
        <v>176</v>
      </c>
      <c r="B1189" s="16">
        <v>2017.0</v>
      </c>
      <c r="C1189" s="16">
        <v>116.0</v>
      </c>
      <c r="D1189" s="16">
        <v>4.513999939</v>
      </c>
      <c r="E1189" s="16">
        <v>0.636406779</v>
      </c>
      <c r="F1189" s="16">
        <v>1.003187299</v>
      </c>
      <c r="G1189" s="16">
        <v>0.257835895</v>
      </c>
      <c r="H1189" s="16">
        <v>0.461603492</v>
      </c>
      <c r="I1189" s="16">
        <v>0.249580145</v>
      </c>
      <c r="J1189" s="16">
        <v>0.07821355</v>
      </c>
      <c r="K1189" s="16">
        <v>10.9013710021972</v>
      </c>
      <c r="L1189" s="16">
        <v>5.76104927062988</v>
      </c>
      <c r="M1189" s="16">
        <v>10.0959287317957</v>
      </c>
      <c r="N1189" s="16">
        <v>6.577</v>
      </c>
      <c r="O1189" s="12"/>
      <c r="P1189" s="12"/>
      <c r="Q1189" s="17" t="s">
        <v>28</v>
      </c>
      <c r="S1189" s="14">
        <v>1.557</v>
      </c>
      <c r="T1189" s="14">
        <v>0.947</v>
      </c>
      <c r="U1189" s="14">
        <v>0.918096125</v>
      </c>
    </row>
    <row r="1190">
      <c r="A1190" s="10" t="s">
        <v>176</v>
      </c>
      <c r="B1190" s="11">
        <v>2018.0</v>
      </c>
      <c r="C1190" s="11">
        <v>125.0</v>
      </c>
      <c r="D1190" s="11">
        <v>4.377</v>
      </c>
      <c r="E1190" s="11">
        <v>0.562</v>
      </c>
      <c r="F1190" s="11">
        <v>1.047</v>
      </c>
      <c r="G1190" s="11">
        <v>0.295</v>
      </c>
      <c r="H1190" s="11">
        <v>0.503</v>
      </c>
      <c r="I1190" s="11">
        <v>0.221</v>
      </c>
      <c r="J1190" s="11">
        <v>0.082</v>
      </c>
      <c r="K1190" s="11">
        <v>11.3106718063354</v>
      </c>
      <c r="L1190" s="11">
        <v>7.14221239089965</v>
      </c>
      <c r="M1190" s="11">
        <v>7.41112322791711</v>
      </c>
      <c r="N1190" s="11">
        <v>7.49</v>
      </c>
      <c r="O1190" s="12"/>
      <c r="P1190" s="12"/>
      <c r="Q1190" s="13" t="s">
        <v>28</v>
      </c>
      <c r="S1190" s="14">
        <v>1.558231115</v>
      </c>
      <c r="T1190" s="14">
        <v>0.948</v>
      </c>
      <c r="U1190" s="14">
        <v>0.920636714</v>
      </c>
    </row>
    <row r="1191">
      <c r="A1191" s="15" t="s">
        <v>176</v>
      </c>
      <c r="B1191" s="16">
        <v>2019.0</v>
      </c>
      <c r="C1191" s="16">
        <v>138.0</v>
      </c>
      <c r="D1191" s="16">
        <v>4.107</v>
      </c>
      <c r="E1191" s="16">
        <v>0.578</v>
      </c>
      <c r="F1191" s="16">
        <v>1.058</v>
      </c>
      <c r="G1191" s="16">
        <v>0.426</v>
      </c>
      <c r="H1191" s="16">
        <v>0.431</v>
      </c>
      <c r="I1191" s="16">
        <v>0.247</v>
      </c>
      <c r="J1191" s="16">
        <v>0.087</v>
      </c>
      <c r="K1191" s="16">
        <v>5.69076061248779</v>
      </c>
      <c r="L1191" s="16">
        <v>10.4405832290649</v>
      </c>
      <c r="M1191" s="16">
        <v>7.63330490578298</v>
      </c>
      <c r="N1191" s="16">
        <v>9.80000019073486</v>
      </c>
      <c r="O1191" s="12"/>
      <c r="P1191" s="12"/>
      <c r="Q1191" s="17" t="s">
        <v>28</v>
      </c>
      <c r="S1191" s="14">
        <v>1.559</v>
      </c>
      <c r="T1191" s="14">
        <v>0.948891878</v>
      </c>
      <c r="U1191" s="14">
        <v>0.922328293</v>
      </c>
    </row>
    <row r="1192">
      <c r="A1192" s="10" t="s">
        <v>176</v>
      </c>
      <c r="B1192" s="11">
        <v>2020.0</v>
      </c>
      <c r="C1192" s="11">
        <v>141.0</v>
      </c>
      <c r="D1192" s="11">
        <v>3.759399891</v>
      </c>
      <c r="E1192" s="11">
        <v>0.536833763</v>
      </c>
      <c r="F1192" s="11">
        <v>0.698824465</v>
      </c>
      <c r="G1192" s="11">
        <v>55.29937744</v>
      </c>
      <c r="H1192" s="11">
        <v>0.806500256</v>
      </c>
      <c r="I1192" s="11">
        <v>0.078037128</v>
      </c>
      <c r="J1192" s="11">
        <v>0.801289678</v>
      </c>
      <c r="K1192" s="11">
        <v>18.8208378689179</v>
      </c>
      <c r="L1192" s="11">
        <v>16.2362213134765</v>
      </c>
      <c r="M1192" s="11">
        <v>17.1485975974984</v>
      </c>
      <c r="N1192" s="11">
        <v>15.7325851421275</v>
      </c>
      <c r="O1192" s="12"/>
      <c r="P1192" s="12"/>
      <c r="Q1192" s="13" t="s">
        <v>28</v>
      </c>
      <c r="S1192" s="14">
        <v>1.573</v>
      </c>
      <c r="T1192" s="14">
        <v>0.949</v>
      </c>
      <c r="U1192" s="14">
        <v>0.924</v>
      </c>
    </row>
    <row r="1193">
      <c r="A1193" s="15" t="s">
        <v>176</v>
      </c>
      <c r="B1193" s="16">
        <v>2021.0</v>
      </c>
      <c r="C1193" s="16">
        <v>137.0</v>
      </c>
      <c r="D1193" s="16">
        <v>4.073</v>
      </c>
      <c r="E1193" s="16">
        <v>8.145</v>
      </c>
      <c r="F1193" s="16">
        <v>0.708</v>
      </c>
      <c r="G1193" s="16">
        <v>55.809</v>
      </c>
      <c r="H1193" s="16">
        <v>0.782</v>
      </c>
      <c r="I1193" s="16">
        <v>0.061</v>
      </c>
      <c r="J1193" s="16">
        <v>0.823</v>
      </c>
      <c r="K1193" s="16">
        <v>18.48</v>
      </c>
      <c r="L1193" s="16">
        <v>27.71</v>
      </c>
      <c r="M1193" s="16">
        <v>27.5858339005016</v>
      </c>
      <c r="N1193" s="16">
        <v>22.0207676245775</v>
      </c>
      <c r="O1193" s="12"/>
      <c r="P1193" s="12"/>
      <c r="Q1193" s="17" t="s">
        <v>28</v>
      </c>
      <c r="S1193" s="14">
        <v>1.573</v>
      </c>
      <c r="T1193" s="14">
        <v>0.949</v>
      </c>
      <c r="U1193" s="14">
        <v>0.924</v>
      </c>
    </row>
    <row r="1194">
      <c r="A1194" s="10" t="s">
        <v>176</v>
      </c>
      <c r="B1194" s="11">
        <v>2022.0</v>
      </c>
      <c r="C1194" s="11">
        <v>137.0</v>
      </c>
      <c r="D1194" s="11">
        <v>3.76</v>
      </c>
      <c r="E1194" s="11">
        <v>0.93</v>
      </c>
      <c r="F1194" s="11">
        <v>0.577</v>
      </c>
      <c r="G1194" s="11">
        <v>0.306</v>
      </c>
      <c r="H1194" s="11">
        <v>0.525</v>
      </c>
      <c r="I1194" s="11">
        <v>0.203</v>
      </c>
      <c r="J1194" s="11">
        <v>0.083</v>
      </c>
      <c r="K1194" s="11">
        <v>8.21379007316308</v>
      </c>
      <c r="L1194" s="11">
        <v>12.8479187167345</v>
      </c>
      <c r="M1194" s="11">
        <v>8.73930002897822</v>
      </c>
      <c r="N1194" s="11">
        <v>10.9932039209136</v>
      </c>
      <c r="O1194" s="12"/>
      <c r="P1194" s="12"/>
      <c r="Q1194" s="13" t="s">
        <v>28</v>
      </c>
      <c r="S1194" s="14">
        <v>1.582</v>
      </c>
      <c r="T1194" s="14">
        <v>0.949172199</v>
      </c>
      <c r="U1194" s="14">
        <v>0.925</v>
      </c>
    </row>
    <row r="1195">
      <c r="A1195" s="15" t="s">
        <v>176</v>
      </c>
      <c r="B1195" s="16">
        <v>2023.0</v>
      </c>
      <c r="C1195" s="16">
        <v>128.0</v>
      </c>
      <c r="D1195" s="16">
        <v>3.982</v>
      </c>
      <c r="E1195" s="16">
        <v>8.074</v>
      </c>
      <c r="F1195" s="16">
        <v>0.694</v>
      </c>
      <c r="G1195" s="16">
        <v>55.032</v>
      </c>
      <c r="H1195" s="16">
        <v>0.791</v>
      </c>
      <c r="I1195" s="16">
        <v>0.098</v>
      </c>
      <c r="J1195" s="16">
        <v>0.818</v>
      </c>
      <c r="K1195" s="16">
        <v>7.89349594026239</v>
      </c>
      <c r="L1195" s="16">
        <v>12.4391298706915</v>
      </c>
      <c r="M1195" s="16">
        <v>6.67177744469538</v>
      </c>
      <c r="N1195" s="16">
        <v>10.953</v>
      </c>
      <c r="O1195" s="12"/>
      <c r="P1195" s="12"/>
      <c r="Q1195" s="17" t="s">
        <v>28</v>
      </c>
      <c r="S1195" s="14">
        <v>1.582</v>
      </c>
      <c r="T1195" s="14">
        <v>0.951444268</v>
      </c>
      <c r="U1195" s="14">
        <v>0.929</v>
      </c>
    </row>
    <row r="1196">
      <c r="A1196" s="10" t="s">
        <v>177</v>
      </c>
      <c r="B1196" s="11">
        <v>2015.0</v>
      </c>
      <c r="C1196" s="11">
        <v>115.0</v>
      </c>
      <c r="D1196" s="11">
        <v>4.61</v>
      </c>
      <c r="E1196" s="11">
        <v>0.271</v>
      </c>
      <c r="F1196" s="11">
        <v>1.03276</v>
      </c>
      <c r="G1196" s="11">
        <v>0.33475</v>
      </c>
      <c r="H1196" s="11">
        <v>0.25861</v>
      </c>
      <c r="I1196" s="11">
        <v>0.18987</v>
      </c>
      <c r="J1196" s="11">
        <v>0.08079</v>
      </c>
      <c r="K1196" s="11">
        <v>-2.55999994277954</v>
      </c>
      <c r="L1196" s="11">
        <v>-3.33999991416931</v>
      </c>
      <c r="M1196" s="11">
        <v>0.607813919052404</v>
      </c>
      <c r="N1196" s="11">
        <v>-2.41000008583068</v>
      </c>
      <c r="O1196" s="12"/>
      <c r="P1196" s="12"/>
      <c r="Q1196" s="13" t="s">
        <v>28</v>
      </c>
      <c r="S1196" s="14">
        <v>1.583</v>
      </c>
      <c r="T1196" s="14">
        <v>0.955</v>
      </c>
      <c r="U1196" s="14">
        <v>0.931</v>
      </c>
    </row>
    <row r="1197">
      <c r="A1197" s="15" t="s">
        <v>177</v>
      </c>
      <c r="B1197" s="16">
        <v>2016.0</v>
      </c>
      <c r="C1197" s="16">
        <v>131.0</v>
      </c>
      <c r="D1197" s="16">
        <v>4.193</v>
      </c>
      <c r="E1197" s="16">
        <v>0.35041</v>
      </c>
      <c r="F1197" s="16">
        <v>0.71478</v>
      </c>
      <c r="G1197" s="16">
        <v>0.1595</v>
      </c>
      <c r="H1197" s="16">
        <v>0.25429</v>
      </c>
      <c r="I1197" s="16">
        <v>0.18503</v>
      </c>
      <c r="J1197" s="16">
        <v>0.08582</v>
      </c>
      <c r="K1197" s="16">
        <v>-2.4300000667572</v>
      </c>
      <c r="L1197" s="16">
        <v>-3.25999999046325</v>
      </c>
      <c r="M1197" s="16">
        <v>2.16099269561298</v>
      </c>
      <c r="N1197" s="16">
        <v>-1.56599998474121</v>
      </c>
      <c r="O1197" s="12"/>
      <c r="P1197" s="12"/>
      <c r="Q1197" s="17" t="s">
        <v>28</v>
      </c>
      <c r="S1197" s="14">
        <v>1.584</v>
      </c>
      <c r="T1197" s="14">
        <v>0.955750287</v>
      </c>
      <c r="U1197" s="14">
        <v>0.932</v>
      </c>
    </row>
    <row r="1198">
      <c r="A1198" s="10" t="s">
        <v>177</v>
      </c>
      <c r="B1198" s="11">
        <v>2017.0</v>
      </c>
      <c r="C1198" s="11">
        <v>138.0</v>
      </c>
      <c r="D1198" s="11">
        <v>3.875</v>
      </c>
      <c r="E1198" s="11">
        <v>0.375846535</v>
      </c>
      <c r="F1198" s="11">
        <v>1.083095908</v>
      </c>
      <c r="G1198" s="11">
        <v>0.196763754</v>
      </c>
      <c r="H1198" s="11">
        <v>0.336384207</v>
      </c>
      <c r="I1198" s="11">
        <v>0.189143494</v>
      </c>
      <c r="J1198" s="11">
        <v>0.095375381</v>
      </c>
      <c r="K1198" s="11">
        <v>-1.40999996662139</v>
      </c>
      <c r="L1198" s="11">
        <v>2.5</v>
      </c>
      <c r="M1198" s="11">
        <v>2.44294630978574</v>
      </c>
      <c r="N1198" s="11">
        <v>0.907</v>
      </c>
      <c r="O1198" s="12"/>
      <c r="P1198" s="12"/>
      <c r="Q1198" s="13" t="s">
        <v>28</v>
      </c>
      <c r="S1198" s="14">
        <v>1.587</v>
      </c>
      <c r="T1198" s="14">
        <v>0.958</v>
      </c>
      <c r="U1198" s="14">
        <v>0.933686554</v>
      </c>
    </row>
    <row r="1199">
      <c r="A1199" s="15" t="s">
        <v>177</v>
      </c>
      <c r="B1199" s="16">
        <v>2018.0</v>
      </c>
      <c r="C1199" s="16">
        <v>144.0</v>
      </c>
      <c r="D1199" s="16">
        <v>3.692</v>
      </c>
      <c r="E1199" s="16">
        <v>0.357</v>
      </c>
      <c r="F1199" s="16">
        <v>1.094</v>
      </c>
      <c r="G1199" s="16">
        <v>0.248</v>
      </c>
      <c r="H1199" s="16">
        <v>0.406</v>
      </c>
      <c r="I1199" s="16">
        <v>0.132</v>
      </c>
      <c r="J1199" s="16">
        <v>0.099</v>
      </c>
      <c r="K1199" s="16">
        <v>0.994290214609177</v>
      </c>
      <c r="L1199" s="16">
        <v>14.58994313219</v>
      </c>
      <c r="M1199" s="16">
        <v>5.22022666745081</v>
      </c>
      <c r="N1199" s="16">
        <v>10.61</v>
      </c>
      <c r="O1199" s="12"/>
      <c r="P1199" s="12"/>
      <c r="Q1199" s="17" t="s">
        <v>28</v>
      </c>
      <c r="S1199" s="14">
        <v>1.59</v>
      </c>
      <c r="T1199" s="14">
        <v>0.959</v>
      </c>
      <c r="U1199" s="14">
        <v>0.933769107</v>
      </c>
    </row>
    <row r="1200">
      <c r="A1200" s="10" t="s">
        <v>177</v>
      </c>
      <c r="B1200" s="11">
        <v>2019.0</v>
      </c>
      <c r="C1200" s="11">
        <v>146.0</v>
      </c>
      <c r="D1200" s="11">
        <v>3.663</v>
      </c>
      <c r="E1200" s="11">
        <v>0.366</v>
      </c>
      <c r="F1200" s="11">
        <v>1.114</v>
      </c>
      <c r="G1200" s="11">
        <v>0.433</v>
      </c>
      <c r="H1200" s="11">
        <v>0.361</v>
      </c>
      <c r="I1200" s="11">
        <v>0.151</v>
      </c>
      <c r="J1200" s="11">
        <v>0.089</v>
      </c>
      <c r="K1200" s="11">
        <v>90.8080709620821</v>
      </c>
      <c r="L1200" s="11">
        <v>86.1243705217116</v>
      </c>
      <c r="M1200" s="11">
        <v>-4.03523487122301</v>
      </c>
      <c r="N1200" s="11">
        <v>255.292007446289</v>
      </c>
      <c r="O1200" s="12"/>
      <c r="P1200" s="12"/>
      <c r="Q1200" s="13" t="s">
        <v>28</v>
      </c>
      <c r="S1200" s="14">
        <v>1.592</v>
      </c>
      <c r="T1200" s="14">
        <v>0.959704638</v>
      </c>
      <c r="U1200" s="14">
        <v>0.934300244</v>
      </c>
    </row>
    <row r="1201">
      <c r="A1201" s="15" t="s">
        <v>177</v>
      </c>
      <c r="B1201" s="16">
        <v>2020.0</v>
      </c>
      <c r="C1201" s="16">
        <v>151.0</v>
      </c>
      <c r="D1201" s="16">
        <v>3.299200058</v>
      </c>
      <c r="E1201" s="16">
        <v>0.425564021</v>
      </c>
      <c r="F1201" s="16">
        <v>0.763092756</v>
      </c>
      <c r="G1201" s="16">
        <v>55.61725998</v>
      </c>
      <c r="H1201" s="16">
        <v>0.711457908</v>
      </c>
      <c r="I1201" s="16">
        <v>-0.072063953</v>
      </c>
      <c r="J1201" s="16">
        <v>0.81023699</v>
      </c>
      <c r="K1201" s="16">
        <v>306.431673052363</v>
      </c>
      <c r="L1201" s="16">
        <v>601.020235612423</v>
      </c>
      <c r="M1201" s="16">
        <v>568.971861591681</v>
      </c>
      <c r="N1201" s="16">
        <v>557.21</v>
      </c>
      <c r="O1201" s="12"/>
      <c r="P1201" s="12"/>
      <c r="Q1201" s="17" t="s">
        <v>28</v>
      </c>
      <c r="S1201" s="14">
        <v>1.601</v>
      </c>
      <c r="T1201" s="14">
        <v>0.96</v>
      </c>
      <c r="U1201" s="14">
        <v>0.935585141</v>
      </c>
    </row>
    <row r="1202">
      <c r="A1202" s="10" t="s">
        <v>177</v>
      </c>
      <c r="B1202" s="11">
        <v>2021.0</v>
      </c>
      <c r="C1202" s="11">
        <v>148.0</v>
      </c>
      <c r="D1202" s="11">
        <v>3.145</v>
      </c>
      <c r="E1202" s="11">
        <v>7.943</v>
      </c>
      <c r="F1202" s="11">
        <v>0.75</v>
      </c>
      <c r="G1202" s="11">
        <v>56.201</v>
      </c>
      <c r="H1202" s="11">
        <v>0.677</v>
      </c>
      <c r="I1202" s="11">
        <v>-0.047</v>
      </c>
      <c r="J1202" s="11">
        <v>0.821</v>
      </c>
      <c r="K1202" s="11">
        <v>69.82</v>
      </c>
      <c r="L1202" s="11">
        <v>105.8</v>
      </c>
      <c r="M1202" s="11">
        <v>113.294980646572</v>
      </c>
      <c r="N1202" s="11">
        <v>98.546</v>
      </c>
      <c r="O1202" s="12"/>
      <c r="P1202" s="12"/>
      <c r="Q1202" s="13" t="s">
        <v>28</v>
      </c>
      <c r="S1202" s="14">
        <v>1.610574007</v>
      </c>
      <c r="T1202" s="14">
        <v>0.961</v>
      </c>
      <c r="U1202" s="14">
        <v>0.938</v>
      </c>
    </row>
    <row r="1203">
      <c r="A1203" s="15" t="s">
        <v>177</v>
      </c>
      <c r="B1203" s="16">
        <v>2022.0</v>
      </c>
      <c r="C1203" s="16">
        <v>144.0</v>
      </c>
      <c r="D1203" s="16">
        <v>2.995</v>
      </c>
      <c r="E1203" s="16">
        <v>0.947</v>
      </c>
      <c r="F1203" s="16">
        <v>0.69</v>
      </c>
      <c r="G1203" s="16">
        <v>0.27</v>
      </c>
      <c r="H1203" s="16">
        <v>0.329</v>
      </c>
      <c r="I1203" s="16">
        <v>0.106</v>
      </c>
      <c r="J1203" s="16">
        <v>0.105</v>
      </c>
      <c r="K1203" s="16">
        <v>97.2465499685116</v>
      </c>
      <c r="L1203" s="16">
        <v>149.967034495748</v>
      </c>
      <c r="M1203" s="16">
        <v>113.018433586615</v>
      </c>
      <c r="N1203" s="16">
        <v>104.705170628667</v>
      </c>
      <c r="O1203" s="12"/>
      <c r="P1203" s="12"/>
      <c r="Q1203" s="17" t="s">
        <v>28</v>
      </c>
      <c r="S1203" s="14">
        <v>1.624</v>
      </c>
      <c r="T1203" s="14">
        <v>0.97</v>
      </c>
      <c r="U1203" s="14">
        <v>0.939</v>
      </c>
    </row>
    <row r="1204">
      <c r="A1204" s="19" t="s">
        <v>177</v>
      </c>
      <c r="B1204" s="20">
        <v>2023.0</v>
      </c>
      <c r="C1204" s="20">
        <v>134.0</v>
      </c>
      <c r="D1204" s="20">
        <v>3.204</v>
      </c>
      <c r="E1204" s="20">
        <v>7.641</v>
      </c>
      <c r="F1204" s="20">
        <v>0.69</v>
      </c>
      <c r="G1204" s="20">
        <v>54.05</v>
      </c>
      <c r="H1204" s="20">
        <v>0.654</v>
      </c>
      <c r="I1204" s="20">
        <v>-0.046</v>
      </c>
      <c r="J1204" s="20">
        <v>0.766</v>
      </c>
      <c r="K1204" s="20">
        <v>115.380648422666</v>
      </c>
      <c r="L1204" s="12"/>
      <c r="M1204" s="20">
        <v>812.247462801613</v>
      </c>
      <c r="N1204" s="20">
        <v>105.401982264308</v>
      </c>
      <c r="O1204" s="12"/>
      <c r="P1204" s="12"/>
      <c r="Q1204" s="21" t="s">
        <v>28</v>
      </c>
      <c r="S1204" s="14">
        <v>1.644</v>
      </c>
      <c r="T1204" s="14">
        <v>0.974998116</v>
      </c>
      <c r="U1204" s="1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2"/>
    </row>
  </sheetData>
  <mergeCells count="1">
    <mergeCell ref="A1:G4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8" t="s">
        <v>19</v>
      </c>
      <c r="B1" s="8" t="s">
        <v>178</v>
      </c>
      <c r="C1" s="8" t="s">
        <v>179</v>
      </c>
      <c r="D1" s="23" t="s">
        <v>180</v>
      </c>
      <c r="E1" s="24" t="s">
        <v>181</v>
      </c>
      <c r="F1" s="23" t="s">
        <v>182</v>
      </c>
    </row>
    <row r="2">
      <c r="A2" s="14">
        <f t="array" ref="A2:A1204">SORT(Raw!F2:F1204)</f>
        <v>0</v>
      </c>
      <c r="B2" s="14">
        <f t="array" ref="B2:B1204">SORT(Raw!H2:H1204)</f>
        <v>0</v>
      </c>
      <c r="C2" s="14">
        <f t="array" ref="C2:C1204">SORT(Raw!J2:J1204)</f>
        <v>0</v>
      </c>
      <c r="D2" s="25">
        <f t="array" ref="D2:D1204">SEQUENCE(1203, 1, 1, 1)</f>
        <v>1</v>
      </c>
      <c r="E2" s="26">
        <f t="shared" ref="E2:E1204" si="1">(D2-0.5)/COUNT(D:D)</f>
        <v>0.0004156275977</v>
      </c>
      <c r="F2" s="18">
        <f t="shared" ref="F2:F1204" si="2">_xlfn.NORM.S.INV(E2)</f>
        <v>-3.342172044</v>
      </c>
    </row>
    <row r="3">
      <c r="A3" s="14">
        <v>0.0</v>
      </c>
      <c r="B3" s="14">
        <v>0.0</v>
      </c>
      <c r="C3" s="14">
        <v>0.0</v>
      </c>
      <c r="D3" s="25">
        <v>2.0</v>
      </c>
      <c r="E3" s="26">
        <f t="shared" si="1"/>
        <v>0.001246882793</v>
      </c>
      <c r="F3" s="18">
        <f t="shared" si="2"/>
        <v>-3.02409689</v>
      </c>
    </row>
    <row r="4">
      <c r="A4" s="14">
        <v>0.0</v>
      </c>
      <c r="B4" s="14">
        <v>0.0</v>
      </c>
      <c r="C4" s="14">
        <v>0.0</v>
      </c>
      <c r="D4" s="25">
        <v>3.0</v>
      </c>
      <c r="E4" s="26">
        <f t="shared" si="1"/>
        <v>0.002078137988</v>
      </c>
      <c r="F4" s="18">
        <f t="shared" si="2"/>
        <v>-2.866050761</v>
      </c>
    </row>
    <row r="5">
      <c r="A5" s="14">
        <v>0.0</v>
      </c>
      <c r="B5" s="14">
        <v>0.0</v>
      </c>
      <c r="C5" s="14">
        <v>0.0</v>
      </c>
      <c r="D5" s="25">
        <v>4.0</v>
      </c>
      <c r="E5" s="26">
        <f t="shared" si="1"/>
        <v>0.002909393184</v>
      </c>
      <c r="F5" s="18">
        <f t="shared" si="2"/>
        <v>-2.757822056</v>
      </c>
    </row>
    <row r="6">
      <c r="A6" s="14">
        <v>0.0</v>
      </c>
      <c r="B6" s="14">
        <v>0.0</v>
      </c>
      <c r="C6" s="14">
        <v>0.0</v>
      </c>
      <c r="D6" s="25">
        <v>5.0</v>
      </c>
      <c r="E6" s="26">
        <f t="shared" si="1"/>
        <v>0.003740648379</v>
      </c>
      <c r="F6" s="18">
        <f t="shared" si="2"/>
        <v>-2.674624614</v>
      </c>
    </row>
    <row r="7">
      <c r="A7" s="14">
        <v>0.0</v>
      </c>
      <c r="B7" s="14">
        <v>0.0</v>
      </c>
      <c r="C7" s="14">
        <v>0.0</v>
      </c>
      <c r="D7" s="25">
        <v>6.0</v>
      </c>
      <c r="E7" s="26">
        <f t="shared" si="1"/>
        <v>0.004571903574</v>
      </c>
      <c r="F7" s="18">
        <f t="shared" si="2"/>
        <v>-2.606630135</v>
      </c>
    </row>
    <row r="8">
      <c r="A8" s="14">
        <v>0.064</v>
      </c>
      <c r="B8" s="14">
        <v>0.00589</v>
      </c>
      <c r="C8" s="14">
        <v>0.0</v>
      </c>
      <c r="D8" s="25">
        <v>7.0</v>
      </c>
      <c r="E8" s="26">
        <f t="shared" si="1"/>
        <v>0.00540315877</v>
      </c>
      <c r="F8" s="18">
        <f t="shared" si="2"/>
        <v>-2.548900346</v>
      </c>
    </row>
    <row r="9">
      <c r="A9" s="14">
        <v>0.10419</v>
      </c>
      <c r="B9" s="14">
        <v>0.01</v>
      </c>
      <c r="C9" s="14">
        <v>0.001</v>
      </c>
      <c r="D9" s="25">
        <v>8.0</v>
      </c>
      <c r="E9" s="26">
        <f t="shared" si="1"/>
        <v>0.006234413965</v>
      </c>
      <c r="F9" s="18">
        <f t="shared" si="2"/>
        <v>-2.498590564</v>
      </c>
    </row>
    <row r="10">
      <c r="A10" s="14">
        <v>0.11037</v>
      </c>
      <c r="B10" s="14">
        <v>0.014995855</v>
      </c>
      <c r="C10" s="14">
        <v>0.00227</v>
      </c>
      <c r="D10" s="25">
        <v>9.0</v>
      </c>
      <c r="E10" s="26">
        <f t="shared" si="1"/>
        <v>0.00706566916</v>
      </c>
      <c r="F10" s="18">
        <f t="shared" si="2"/>
        <v>-2.453907358</v>
      </c>
    </row>
    <row r="11">
      <c r="A11" s="14">
        <v>0.13995</v>
      </c>
      <c r="B11" s="14">
        <v>0.016</v>
      </c>
      <c r="C11" s="14">
        <v>0.00322</v>
      </c>
      <c r="D11" s="25">
        <v>10.0</v>
      </c>
      <c r="E11" s="26">
        <f t="shared" si="1"/>
        <v>0.007896924356</v>
      </c>
      <c r="F11" s="18">
        <f t="shared" si="2"/>
        <v>-2.413644851</v>
      </c>
    </row>
    <row r="12">
      <c r="A12" s="14">
        <v>0.147</v>
      </c>
      <c r="B12" s="14">
        <v>0.025</v>
      </c>
      <c r="C12" s="14">
        <v>0.004</v>
      </c>
      <c r="D12" s="25">
        <v>11.0</v>
      </c>
      <c r="E12" s="26">
        <f t="shared" si="1"/>
        <v>0.008728179551</v>
      </c>
      <c r="F12" s="18">
        <f t="shared" si="2"/>
        <v>-2.37695201</v>
      </c>
    </row>
    <row r="13">
      <c r="A13" s="14">
        <v>0.18519</v>
      </c>
      <c r="B13" s="14">
        <v>0.026</v>
      </c>
      <c r="C13" s="14">
        <v>0.004387901</v>
      </c>
      <c r="D13" s="25">
        <v>12.0</v>
      </c>
      <c r="E13" s="26">
        <f t="shared" si="1"/>
        <v>0.009559434746</v>
      </c>
      <c r="F13" s="18">
        <f t="shared" si="2"/>
        <v>-2.343205106</v>
      </c>
    </row>
    <row r="14">
      <c r="A14" s="14">
        <v>0.19249</v>
      </c>
      <c r="B14" s="14">
        <v>0.030369857</v>
      </c>
      <c r="C14" s="14">
        <v>0.005</v>
      </c>
      <c r="D14" s="25">
        <v>13.0</v>
      </c>
      <c r="E14" s="26">
        <f t="shared" si="1"/>
        <v>0.01039068994</v>
      </c>
      <c r="F14" s="18">
        <f t="shared" si="2"/>
        <v>-2.311932926</v>
      </c>
    </row>
    <row r="15">
      <c r="A15" s="14">
        <v>0.23442</v>
      </c>
      <c r="B15" s="14">
        <v>0.0432</v>
      </c>
      <c r="C15" s="14">
        <v>0.005</v>
      </c>
      <c r="D15" s="25">
        <v>14.0</v>
      </c>
      <c r="E15" s="26">
        <f t="shared" si="1"/>
        <v>0.01122194514</v>
      </c>
      <c r="F15" s="18">
        <f t="shared" si="2"/>
        <v>-2.282770504</v>
      </c>
    </row>
    <row r="16">
      <c r="A16" s="14">
        <v>0.24749</v>
      </c>
      <c r="B16" s="14">
        <v>0.05822</v>
      </c>
      <c r="C16" s="14">
        <v>0.006</v>
      </c>
      <c r="D16" s="25">
        <v>15.0</v>
      </c>
      <c r="E16" s="26">
        <f t="shared" si="1"/>
        <v>0.01205320033</v>
      </c>
      <c r="F16" s="18">
        <f t="shared" si="2"/>
        <v>-2.255429214</v>
      </c>
    </row>
    <row r="17">
      <c r="A17" s="14">
        <v>0.26135</v>
      </c>
      <c r="B17" s="14">
        <v>0.059900753</v>
      </c>
      <c r="C17" s="14">
        <v>0.006</v>
      </c>
      <c r="D17" s="25">
        <v>16.0</v>
      </c>
      <c r="E17" s="26">
        <f t="shared" si="1"/>
        <v>0.01288445553</v>
      </c>
      <c r="F17" s="18">
        <f t="shared" si="2"/>
        <v>-2.22967674</v>
      </c>
    </row>
    <row r="18">
      <c r="A18" s="14">
        <v>0.268</v>
      </c>
      <c r="B18" s="14">
        <v>0.065</v>
      </c>
      <c r="C18" s="14">
        <v>0.006</v>
      </c>
      <c r="D18" s="25">
        <v>17.0</v>
      </c>
      <c r="E18" s="26">
        <f t="shared" si="1"/>
        <v>0.01371571072</v>
      </c>
      <c r="F18" s="18">
        <f t="shared" si="2"/>
        <v>-2.20532322</v>
      </c>
    </row>
    <row r="19">
      <c r="A19" s="14">
        <v>0.279</v>
      </c>
      <c r="B19" s="14">
        <v>0.066</v>
      </c>
      <c r="C19" s="14">
        <v>0.006</v>
      </c>
      <c r="D19" s="25">
        <v>18.0</v>
      </c>
      <c r="E19" s="26">
        <f t="shared" si="1"/>
        <v>0.01454696592</v>
      </c>
      <c r="F19" s="18">
        <f t="shared" si="2"/>
        <v>-2.182211432</v>
      </c>
    </row>
    <row r="20">
      <c r="A20" s="14">
        <v>0.29247</v>
      </c>
      <c r="B20" s="14">
        <v>0.067</v>
      </c>
      <c r="C20" s="14">
        <v>0.006</v>
      </c>
      <c r="D20" s="25">
        <v>19.0</v>
      </c>
      <c r="E20" s="26">
        <f t="shared" si="1"/>
        <v>0.01537822111</v>
      </c>
      <c r="F20" s="18">
        <f t="shared" si="2"/>
        <v>-2.160209664</v>
      </c>
    </row>
    <row r="21">
      <c r="A21" s="14">
        <v>0.29561</v>
      </c>
      <c r="B21" s="14">
        <v>0.07699</v>
      </c>
      <c r="C21" s="14">
        <v>0.00615</v>
      </c>
      <c r="D21" s="25">
        <v>20.0</v>
      </c>
      <c r="E21" s="26">
        <f t="shared" si="1"/>
        <v>0.01620947631</v>
      </c>
      <c r="F21" s="18">
        <f t="shared" si="2"/>
        <v>-2.139206441</v>
      </c>
    </row>
    <row r="22">
      <c r="A22" s="14">
        <v>0.30285</v>
      </c>
      <c r="B22" s="14">
        <v>0.077</v>
      </c>
      <c r="C22" s="14">
        <v>0.00649</v>
      </c>
      <c r="D22" s="25">
        <v>21.0</v>
      </c>
      <c r="E22" s="26">
        <f t="shared" si="1"/>
        <v>0.0170407315</v>
      </c>
      <c r="F22" s="18">
        <f t="shared" si="2"/>
        <v>-2.119106551</v>
      </c>
    </row>
    <row r="23">
      <c r="A23" s="14">
        <v>0.3109</v>
      </c>
      <c r="B23" s="14">
        <v>0.085</v>
      </c>
      <c r="C23" s="14">
        <v>0.00679</v>
      </c>
      <c r="D23" s="25">
        <v>22.0</v>
      </c>
      <c r="E23" s="26">
        <f t="shared" si="1"/>
        <v>0.0178719867</v>
      </c>
      <c r="F23" s="18">
        <f t="shared" si="2"/>
        <v>-2.099828007</v>
      </c>
    </row>
    <row r="24">
      <c r="A24" s="14">
        <v>0.319459856</v>
      </c>
      <c r="B24" s="14">
        <v>0.086</v>
      </c>
      <c r="C24" s="14">
        <v>0.00872</v>
      </c>
      <c r="D24" s="25">
        <v>23.0</v>
      </c>
      <c r="E24" s="26">
        <f t="shared" si="1"/>
        <v>0.0187032419</v>
      </c>
      <c r="F24" s="18">
        <f t="shared" si="2"/>
        <v>-2.081299685</v>
      </c>
    </row>
    <row r="25">
      <c r="A25" s="14">
        <v>0.322</v>
      </c>
      <c r="B25" s="14">
        <v>0.09245</v>
      </c>
      <c r="C25" s="14">
        <v>0.008964816</v>
      </c>
      <c r="D25" s="25">
        <v>24.0</v>
      </c>
      <c r="E25" s="26">
        <f t="shared" si="1"/>
        <v>0.01953449709</v>
      </c>
      <c r="F25" s="18">
        <f t="shared" si="2"/>
        <v>-2.063459474</v>
      </c>
    </row>
    <row r="26">
      <c r="A26" s="14">
        <v>0.33613</v>
      </c>
      <c r="B26" s="14">
        <v>0.09511</v>
      </c>
      <c r="C26" s="14">
        <v>0.009</v>
      </c>
      <c r="D26" s="25">
        <v>25.0</v>
      </c>
      <c r="E26" s="26">
        <f t="shared" si="1"/>
        <v>0.02036575229</v>
      </c>
      <c r="F26" s="18">
        <f t="shared" si="2"/>
        <v>-2.046252802</v>
      </c>
    </row>
    <row r="27">
      <c r="A27" s="14">
        <v>0.341</v>
      </c>
      <c r="B27" s="14">
        <v>0.095731251</v>
      </c>
      <c r="C27" s="14">
        <v>0.01</v>
      </c>
      <c r="D27" s="25">
        <v>26.0</v>
      </c>
      <c r="E27" s="26">
        <f t="shared" si="1"/>
        <v>0.02119700748</v>
      </c>
      <c r="F27" s="18">
        <f t="shared" si="2"/>
        <v>-2.029631455</v>
      </c>
    </row>
    <row r="28">
      <c r="A28" s="14">
        <v>0.35386</v>
      </c>
      <c r="B28" s="14">
        <v>0.096098043</v>
      </c>
      <c r="C28" s="14">
        <v>0.010091286</v>
      </c>
      <c r="D28" s="25">
        <v>27.0</v>
      </c>
      <c r="E28" s="26">
        <f t="shared" si="1"/>
        <v>0.02202826268</v>
      </c>
      <c r="F28" s="18">
        <f t="shared" si="2"/>
        <v>-2.013552618</v>
      </c>
    </row>
    <row r="29">
      <c r="A29" s="14">
        <v>0.372</v>
      </c>
      <c r="B29" s="14">
        <v>0.10081</v>
      </c>
      <c r="C29" s="14">
        <v>0.01031</v>
      </c>
      <c r="D29" s="25">
        <v>28.0</v>
      </c>
      <c r="E29" s="26">
        <f t="shared" si="1"/>
        <v>0.02285951787</v>
      </c>
      <c r="F29" s="18">
        <f t="shared" si="2"/>
        <v>-1.997978089</v>
      </c>
    </row>
    <row r="30">
      <c r="A30" s="14">
        <v>0.376</v>
      </c>
      <c r="B30" s="14">
        <v>0.103</v>
      </c>
      <c r="C30" s="14">
        <v>0.01078</v>
      </c>
      <c r="D30" s="25">
        <v>29.0</v>
      </c>
      <c r="E30" s="26">
        <f t="shared" si="1"/>
        <v>0.02369077307</v>
      </c>
      <c r="F30" s="18">
        <f t="shared" si="2"/>
        <v>-1.982873638</v>
      </c>
    </row>
    <row r="31">
      <c r="A31" s="14">
        <v>0.37932</v>
      </c>
      <c r="B31" s="14">
        <v>0.10384</v>
      </c>
      <c r="C31" s="14">
        <v>0.011</v>
      </c>
      <c r="D31" s="25">
        <v>30.0</v>
      </c>
      <c r="E31" s="26">
        <f t="shared" si="1"/>
        <v>0.02452202826</v>
      </c>
      <c r="F31" s="18">
        <f t="shared" si="2"/>
        <v>-1.968208466</v>
      </c>
    </row>
    <row r="32">
      <c r="A32" s="14">
        <v>0.38174</v>
      </c>
      <c r="B32" s="14">
        <v>0.10617952</v>
      </c>
      <c r="C32" s="14">
        <v>0.011051531</v>
      </c>
      <c r="D32" s="25">
        <v>31.0</v>
      </c>
      <c r="E32" s="26">
        <f t="shared" si="1"/>
        <v>0.02535328346</v>
      </c>
      <c r="F32" s="18">
        <f t="shared" si="2"/>
        <v>-1.953954768</v>
      </c>
    </row>
    <row r="33">
      <c r="A33" s="14">
        <v>0.38562</v>
      </c>
      <c r="B33" s="14">
        <v>0.112</v>
      </c>
      <c r="C33" s="14">
        <v>0.0114</v>
      </c>
      <c r="D33" s="25">
        <v>32.0</v>
      </c>
      <c r="E33" s="26">
        <f t="shared" si="1"/>
        <v>0.02618453865</v>
      </c>
      <c r="F33" s="18">
        <f t="shared" si="2"/>
        <v>-1.940087334</v>
      </c>
    </row>
    <row r="34">
      <c r="A34" s="14">
        <v>0.38595</v>
      </c>
      <c r="B34" s="14">
        <v>0.1185</v>
      </c>
      <c r="C34" s="14">
        <v>0.011865643</v>
      </c>
      <c r="D34" s="25">
        <v>33.0</v>
      </c>
      <c r="E34" s="26">
        <f t="shared" si="1"/>
        <v>0.02701579385</v>
      </c>
      <c r="F34" s="18">
        <f t="shared" si="2"/>
        <v>-1.926583251</v>
      </c>
    </row>
    <row r="35">
      <c r="A35" s="14">
        <v>0.41134</v>
      </c>
      <c r="B35" s="14">
        <v>0.12072</v>
      </c>
      <c r="C35" s="14">
        <v>0.01241</v>
      </c>
      <c r="D35" s="25">
        <v>34.0</v>
      </c>
      <c r="E35" s="26">
        <f t="shared" si="1"/>
        <v>0.02784704904</v>
      </c>
      <c r="F35" s="18">
        <f t="shared" si="2"/>
        <v>-1.913421625</v>
      </c>
    </row>
    <row r="36">
      <c r="A36" s="14">
        <v>0.413</v>
      </c>
      <c r="B36" s="14">
        <v>0.12102</v>
      </c>
      <c r="C36" s="14">
        <v>0.01397</v>
      </c>
      <c r="D36" s="25">
        <v>35.0</v>
      </c>
      <c r="E36" s="26">
        <f t="shared" si="1"/>
        <v>0.02867830424</v>
      </c>
      <c r="F36" s="18">
        <f t="shared" si="2"/>
        <v>-1.900583345</v>
      </c>
    </row>
    <row r="37">
      <c r="A37" s="14">
        <v>0.41411</v>
      </c>
      <c r="B37" s="14">
        <v>0.122974776</v>
      </c>
      <c r="C37" s="14">
        <v>0.014</v>
      </c>
      <c r="D37" s="25">
        <v>36.0</v>
      </c>
      <c r="E37" s="26">
        <f t="shared" si="1"/>
        <v>0.02950955943</v>
      </c>
      <c r="F37" s="18">
        <f t="shared" si="2"/>
        <v>-1.888050888</v>
      </c>
    </row>
    <row r="38">
      <c r="A38" s="14">
        <v>0.41587</v>
      </c>
      <c r="B38" s="14">
        <v>0.1268</v>
      </c>
      <c r="C38" s="14">
        <v>0.014</v>
      </c>
      <c r="D38" s="25">
        <v>37.0</v>
      </c>
      <c r="E38" s="26">
        <f t="shared" si="1"/>
        <v>0.03034081463</v>
      </c>
      <c r="F38" s="18">
        <f t="shared" si="2"/>
        <v>-1.875808142</v>
      </c>
    </row>
    <row r="39">
      <c r="A39" s="14">
        <v>0.416</v>
      </c>
      <c r="B39" s="14">
        <v>0.12807</v>
      </c>
      <c r="C39" s="14">
        <v>0.01521</v>
      </c>
      <c r="D39" s="25">
        <v>38.0</v>
      </c>
      <c r="E39" s="26">
        <f t="shared" si="1"/>
        <v>0.03117206983</v>
      </c>
      <c r="F39" s="18">
        <f t="shared" si="2"/>
        <v>-1.863840262</v>
      </c>
    </row>
    <row r="40">
      <c r="A40" s="14">
        <v>0.43106</v>
      </c>
      <c r="B40" s="14">
        <v>0.12859</v>
      </c>
      <c r="C40" s="14">
        <v>0.015317135</v>
      </c>
      <c r="D40" s="25">
        <v>39.0</v>
      </c>
      <c r="E40" s="26">
        <f t="shared" si="1"/>
        <v>0.03200332502</v>
      </c>
      <c r="F40" s="18">
        <f t="shared" si="2"/>
        <v>-1.852133534</v>
      </c>
    </row>
    <row r="41">
      <c r="A41" s="14">
        <v>0.43165</v>
      </c>
      <c r="B41" s="14">
        <v>0.129</v>
      </c>
      <c r="C41" s="14">
        <v>0.015869452</v>
      </c>
      <c r="D41" s="25">
        <v>40.0</v>
      </c>
      <c r="E41" s="26">
        <f t="shared" si="1"/>
        <v>0.03283458022</v>
      </c>
      <c r="F41" s="18">
        <f t="shared" si="2"/>
        <v>-1.840675267</v>
      </c>
    </row>
    <row r="42">
      <c r="A42" s="14">
        <v>0.43188253</v>
      </c>
      <c r="B42" s="14">
        <v>0.131</v>
      </c>
      <c r="C42" s="14">
        <v>0.01615</v>
      </c>
      <c r="D42" s="25">
        <v>41.0</v>
      </c>
      <c r="E42" s="26">
        <f t="shared" si="1"/>
        <v>0.03366583541</v>
      </c>
      <c r="F42" s="18">
        <f t="shared" si="2"/>
        <v>-1.82945369</v>
      </c>
    </row>
    <row r="43">
      <c r="A43" s="14">
        <v>0.435299844</v>
      </c>
      <c r="B43" s="14">
        <v>0.13684</v>
      </c>
      <c r="C43" s="14">
        <v>0.017</v>
      </c>
      <c r="D43" s="25">
        <v>42.0</v>
      </c>
      <c r="E43" s="26">
        <f t="shared" si="1"/>
        <v>0.03449709061</v>
      </c>
      <c r="F43" s="18">
        <f t="shared" si="2"/>
        <v>-1.818457865</v>
      </c>
    </row>
    <row r="44">
      <c r="A44" s="14">
        <v>0.437</v>
      </c>
      <c r="B44" s="14">
        <v>0.14037</v>
      </c>
      <c r="C44" s="14">
        <v>0.017</v>
      </c>
      <c r="D44" s="25">
        <v>43.0</v>
      </c>
      <c r="E44" s="26">
        <f t="shared" si="1"/>
        <v>0.0353283458</v>
      </c>
      <c r="F44" s="18">
        <f t="shared" si="2"/>
        <v>-1.807677609</v>
      </c>
    </row>
    <row r="45">
      <c r="A45" s="14">
        <v>0.437</v>
      </c>
      <c r="B45" s="14">
        <v>0.142</v>
      </c>
      <c r="C45" s="14">
        <v>0.018</v>
      </c>
      <c r="D45" s="25">
        <v>44.0</v>
      </c>
      <c r="E45" s="26">
        <f t="shared" si="1"/>
        <v>0.036159601</v>
      </c>
      <c r="F45" s="18">
        <f t="shared" si="2"/>
        <v>-1.797103427</v>
      </c>
    </row>
    <row r="46">
      <c r="A46" s="14">
        <v>0.447</v>
      </c>
      <c r="B46" s="14">
        <v>0.14396</v>
      </c>
      <c r="C46" s="14">
        <v>0.0182</v>
      </c>
      <c r="D46" s="25">
        <v>45.0</v>
      </c>
      <c r="E46" s="26">
        <f t="shared" si="1"/>
        <v>0.03699085619</v>
      </c>
      <c r="F46" s="18">
        <f t="shared" si="2"/>
        <v>-1.786726449</v>
      </c>
    </row>
    <row r="47">
      <c r="A47" s="14">
        <v>0.46115</v>
      </c>
      <c r="B47" s="14">
        <v>0.146</v>
      </c>
      <c r="C47" s="14">
        <v>0.01829</v>
      </c>
      <c r="D47" s="25">
        <v>46.0</v>
      </c>
      <c r="E47" s="26">
        <f t="shared" si="1"/>
        <v>0.03782211139</v>
      </c>
      <c r="F47" s="18">
        <f t="shared" si="2"/>
        <v>-1.776538376</v>
      </c>
    </row>
    <row r="48">
      <c r="A48" s="14">
        <v>0.463</v>
      </c>
      <c r="B48" s="14">
        <v>0.14622</v>
      </c>
      <c r="C48" s="14">
        <v>0.01903</v>
      </c>
      <c r="D48" s="25">
        <v>47.0</v>
      </c>
      <c r="E48" s="26">
        <f t="shared" si="1"/>
        <v>0.03865336658</v>
      </c>
      <c r="F48" s="18">
        <f t="shared" si="2"/>
        <v>-1.766531433</v>
      </c>
    </row>
    <row r="49">
      <c r="A49" s="14">
        <v>0.46475</v>
      </c>
      <c r="B49" s="14">
        <v>0.147062436</v>
      </c>
      <c r="C49" s="14">
        <v>0.02</v>
      </c>
      <c r="D49" s="25">
        <v>48.0</v>
      </c>
      <c r="E49" s="26">
        <f t="shared" si="1"/>
        <v>0.03948462178</v>
      </c>
      <c r="F49" s="18">
        <f t="shared" si="2"/>
        <v>-1.756698325</v>
      </c>
    </row>
    <row r="50">
      <c r="A50" s="14">
        <v>0.468671143</v>
      </c>
      <c r="B50" s="14">
        <v>0.148</v>
      </c>
      <c r="C50" s="14">
        <v>0.021</v>
      </c>
      <c r="D50" s="25">
        <v>49.0</v>
      </c>
      <c r="E50" s="26">
        <f t="shared" si="1"/>
        <v>0.04031587697</v>
      </c>
      <c r="F50" s="18">
        <f t="shared" si="2"/>
        <v>-1.747032195</v>
      </c>
    </row>
    <row r="51">
      <c r="A51" s="14">
        <v>0.470366955</v>
      </c>
      <c r="B51" s="14">
        <v>0.15111</v>
      </c>
      <c r="C51" s="14">
        <v>0.022</v>
      </c>
      <c r="D51" s="25">
        <v>50.0</v>
      </c>
      <c r="E51" s="26">
        <f t="shared" si="1"/>
        <v>0.04114713217</v>
      </c>
      <c r="F51" s="18">
        <f t="shared" si="2"/>
        <v>-1.737526594</v>
      </c>
    </row>
    <row r="52">
      <c r="A52" s="14">
        <v>0.471</v>
      </c>
      <c r="B52" s="14">
        <v>0.15412</v>
      </c>
      <c r="C52" s="14">
        <v>0.022</v>
      </c>
      <c r="D52" s="25">
        <v>51.0</v>
      </c>
      <c r="E52" s="26">
        <f t="shared" si="1"/>
        <v>0.04197838736</v>
      </c>
      <c r="F52" s="18">
        <f t="shared" si="2"/>
        <v>-1.728175445</v>
      </c>
    </row>
    <row r="53">
      <c r="A53" s="14">
        <v>0.474</v>
      </c>
      <c r="B53" s="14">
        <v>0.15718</v>
      </c>
      <c r="C53" s="14">
        <v>0.022794275</v>
      </c>
      <c r="D53" s="25">
        <v>52.0</v>
      </c>
      <c r="E53" s="26">
        <f t="shared" si="1"/>
        <v>0.04280964256</v>
      </c>
      <c r="F53" s="18">
        <f t="shared" si="2"/>
        <v>-1.718973018</v>
      </c>
    </row>
    <row r="54">
      <c r="A54" s="14">
        <v>0.483</v>
      </c>
      <c r="B54" s="14">
        <v>0.162342027</v>
      </c>
      <c r="C54" s="14">
        <v>0.02299</v>
      </c>
      <c r="D54" s="25">
        <v>53.0</v>
      </c>
      <c r="E54" s="26">
        <f t="shared" si="1"/>
        <v>0.04364089776</v>
      </c>
      <c r="F54" s="18">
        <f t="shared" si="2"/>
        <v>-1.709913901</v>
      </c>
    </row>
    <row r="55">
      <c r="A55" s="14">
        <v>0.489</v>
      </c>
      <c r="B55" s="14">
        <v>0.163</v>
      </c>
      <c r="C55" s="14">
        <v>0.023</v>
      </c>
      <c r="D55" s="25">
        <v>54.0</v>
      </c>
      <c r="E55" s="26">
        <f t="shared" si="1"/>
        <v>0.04447215295</v>
      </c>
      <c r="F55" s="18">
        <f t="shared" si="2"/>
        <v>-1.700992977</v>
      </c>
    </row>
    <row r="56">
      <c r="A56" s="14">
        <v>0.49</v>
      </c>
      <c r="B56" s="14">
        <v>0.1643</v>
      </c>
      <c r="C56" s="14">
        <v>0.023029471</v>
      </c>
      <c r="D56" s="25">
        <v>55.0</v>
      </c>
      <c r="E56" s="26">
        <f t="shared" si="1"/>
        <v>0.04530340815</v>
      </c>
      <c r="F56" s="18">
        <f t="shared" si="2"/>
        <v>-1.692205405</v>
      </c>
    </row>
    <row r="57">
      <c r="A57" s="14">
        <v>0.490325719</v>
      </c>
      <c r="B57" s="14">
        <v>0.167</v>
      </c>
      <c r="C57" s="14">
        <v>0.024</v>
      </c>
      <c r="D57" s="25">
        <v>56.0</v>
      </c>
      <c r="E57" s="26">
        <f t="shared" si="1"/>
        <v>0.04613466334</v>
      </c>
      <c r="F57" s="18">
        <f t="shared" si="2"/>
        <v>-1.683546597</v>
      </c>
    </row>
    <row r="58">
      <c r="A58" s="14">
        <v>0.49353</v>
      </c>
      <c r="B58" s="14">
        <v>0.174</v>
      </c>
      <c r="C58" s="14">
        <v>0.024210852</v>
      </c>
      <c r="D58" s="25">
        <v>57.0</v>
      </c>
      <c r="E58" s="26">
        <f t="shared" si="1"/>
        <v>0.04696591854</v>
      </c>
      <c r="F58" s="18">
        <f t="shared" si="2"/>
        <v>-1.675012203</v>
      </c>
    </row>
    <row r="59">
      <c r="A59" s="14">
        <v>0.498</v>
      </c>
      <c r="B59" s="14">
        <v>0.175863519</v>
      </c>
      <c r="C59" s="14">
        <v>0.0243</v>
      </c>
      <c r="D59" s="25">
        <v>58.0</v>
      </c>
      <c r="E59" s="26">
        <f t="shared" si="1"/>
        <v>0.04779717373</v>
      </c>
      <c r="F59" s="18">
        <f t="shared" si="2"/>
        <v>-1.666598096</v>
      </c>
    </row>
    <row r="60">
      <c r="A60" s="14">
        <v>0.50163</v>
      </c>
      <c r="B60" s="14">
        <v>0.178</v>
      </c>
      <c r="C60" s="14">
        <v>0.025</v>
      </c>
      <c r="D60" s="25">
        <v>59.0</v>
      </c>
      <c r="E60" s="26">
        <f t="shared" si="1"/>
        <v>0.04862842893</v>
      </c>
      <c r="F60" s="18">
        <f t="shared" si="2"/>
        <v>-1.658300351</v>
      </c>
    </row>
    <row r="61">
      <c r="A61" s="14">
        <v>0.50353</v>
      </c>
      <c r="B61" s="14">
        <v>0.1826</v>
      </c>
      <c r="C61" s="14">
        <v>0.025</v>
      </c>
      <c r="D61" s="25">
        <v>60.0</v>
      </c>
      <c r="E61" s="26">
        <f t="shared" si="1"/>
        <v>0.04945968412</v>
      </c>
      <c r="F61" s="18">
        <f t="shared" si="2"/>
        <v>-1.650115238</v>
      </c>
    </row>
    <row r="62">
      <c r="A62" s="14">
        <v>0.512568831</v>
      </c>
      <c r="B62" s="14">
        <v>0.18827</v>
      </c>
      <c r="C62" s="14">
        <v>0.025</v>
      </c>
      <c r="D62" s="25">
        <v>61.0</v>
      </c>
      <c r="E62" s="26">
        <f t="shared" si="1"/>
        <v>0.05029093932</v>
      </c>
      <c r="F62" s="18">
        <f t="shared" si="2"/>
        <v>-1.642039207</v>
      </c>
    </row>
    <row r="63">
      <c r="A63" s="14">
        <v>0.517</v>
      </c>
      <c r="B63" s="14">
        <v>0.189</v>
      </c>
      <c r="C63" s="14">
        <v>0.02533637</v>
      </c>
      <c r="D63" s="25">
        <v>62.0</v>
      </c>
      <c r="E63" s="26">
        <f t="shared" si="1"/>
        <v>0.05112219451</v>
      </c>
      <c r="F63" s="18">
        <f t="shared" si="2"/>
        <v>-1.634068875</v>
      </c>
    </row>
    <row r="64">
      <c r="A64" s="14">
        <v>0.53</v>
      </c>
      <c r="B64" s="14">
        <v>0.189196765</v>
      </c>
      <c r="C64" s="14">
        <v>0.02556</v>
      </c>
      <c r="D64" s="25">
        <v>63.0</v>
      </c>
      <c r="E64" s="26">
        <f t="shared" si="1"/>
        <v>0.05195344971</v>
      </c>
      <c r="F64" s="18">
        <f t="shared" si="2"/>
        <v>-1.626201018</v>
      </c>
    </row>
    <row r="65">
      <c r="A65" s="14">
        <v>0.53</v>
      </c>
      <c r="B65" s="14">
        <v>0.18929</v>
      </c>
      <c r="C65" s="14">
        <v>0.026</v>
      </c>
      <c r="D65" s="25">
        <v>64.0</v>
      </c>
      <c r="E65" s="26">
        <f t="shared" si="1"/>
        <v>0.0527847049</v>
      </c>
      <c r="F65" s="18">
        <f t="shared" si="2"/>
        <v>-1.618432558</v>
      </c>
    </row>
    <row r="66">
      <c r="A66" s="14">
        <v>0.531</v>
      </c>
      <c r="B66" s="14">
        <v>0.19184</v>
      </c>
      <c r="C66" s="14">
        <v>0.026121566</v>
      </c>
      <c r="D66" s="25">
        <v>65.0</v>
      </c>
      <c r="E66" s="26">
        <f t="shared" si="1"/>
        <v>0.0536159601</v>
      </c>
      <c r="F66" s="18">
        <f t="shared" si="2"/>
        <v>-1.610760559</v>
      </c>
    </row>
    <row r="67">
      <c r="A67" s="14">
        <v>0.537</v>
      </c>
      <c r="B67" s="14">
        <v>0.194989055</v>
      </c>
      <c r="C67" s="14">
        <v>0.02617</v>
      </c>
      <c r="D67" s="25">
        <v>66.0</v>
      </c>
      <c r="E67" s="26">
        <f t="shared" si="1"/>
        <v>0.0544472153</v>
      </c>
      <c r="F67" s="18">
        <f t="shared" si="2"/>
        <v>-1.603182215</v>
      </c>
    </row>
    <row r="68">
      <c r="A68" s="14">
        <v>0.537</v>
      </c>
      <c r="B68" s="14">
        <v>0.195</v>
      </c>
      <c r="C68" s="14">
        <v>0.02652</v>
      </c>
      <c r="D68" s="25">
        <v>67.0</v>
      </c>
      <c r="E68" s="26">
        <f t="shared" si="1"/>
        <v>0.05527847049</v>
      </c>
      <c r="F68" s="18">
        <f t="shared" si="2"/>
        <v>-1.59569484</v>
      </c>
    </row>
    <row r="69">
      <c r="A69" s="14">
        <v>0.5375</v>
      </c>
      <c r="B69" s="14">
        <v>0.19662</v>
      </c>
      <c r="C69" s="14">
        <v>0.02666</v>
      </c>
      <c r="D69" s="25">
        <v>68.0</v>
      </c>
      <c r="E69" s="26">
        <f t="shared" si="1"/>
        <v>0.05610972569</v>
      </c>
      <c r="F69" s="18">
        <f t="shared" si="2"/>
        <v>-1.588295867</v>
      </c>
    </row>
    <row r="70">
      <c r="A70" s="14">
        <v>0.54</v>
      </c>
      <c r="B70" s="14">
        <v>0.197</v>
      </c>
      <c r="C70" s="14">
        <v>0.026674422</v>
      </c>
      <c r="D70" s="25">
        <v>69.0</v>
      </c>
      <c r="E70" s="26">
        <f t="shared" si="1"/>
        <v>0.05694098088</v>
      </c>
      <c r="F70" s="18">
        <f t="shared" si="2"/>
        <v>-1.580982837</v>
      </c>
    </row>
    <row r="71">
      <c r="A71" s="14">
        <v>0.54083544</v>
      </c>
      <c r="B71" s="14">
        <v>0.1977</v>
      </c>
      <c r="C71" s="14">
        <v>0.027</v>
      </c>
      <c r="D71" s="25">
        <v>70.0</v>
      </c>
      <c r="E71" s="26">
        <f t="shared" si="1"/>
        <v>0.05777223608</v>
      </c>
      <c r="F71" s="18">
        <f t="shared" si="2"/>
        <v>-1.573753395</v>
      </c>
    </row>
    <row r="72">
      <c r="A72" s="14">
        <v>0.541</v>
      </c>
      <c r="B72" s="14">
        <v>0.198303267</v>
      </c>
      <c r="C72" s="14">
        <v>0.027</v>
      </c>
      <c r="D72" s="25">
        <v>71.0</v>
      </c>
      <c r="E72" s="26">
        <f t="shared" si="1"/>
        <v>0.05860349127</v>
      </c>
      <c r="F72" s="18">
        <f t="shared" si="2"/>
        <v>-1.566605281</v>
      </c>
    </row>
    <row r="73">
      <c r="A73" s="14">
        <v>0.544</v>
      </c>
      <c r="B73" s="14">
        <v>0.19847</v>
      </c>
      <c r="C73" s="14">
        <v>0.027</v>
      </c>
      <c r="D73" s="25">
        <v>72.0</v>
      </c>
      <c r="E73" s="26">
        <f t="shared" si="1"/>
        <v>0.05943474647</v>
      </c>
      <c r="F73" s="18">
        <f t="shared" si="2"/>
        <v>-1.559536329</v>
      </c>
    </row>
    <row r="74">
      <c r="A74" s="14">
        <v>0.544007301</v>
      </c>
      <c r="B74" s="14">
        <v>0.199</v>
      </c>
      <c r="C74" s="14">
        <v>0.02745</v>
      </c>
      <c r="D74" s="25">
        <v>73.0</v>
      </c>
      <c r="E74" s="26">
        <f t="shared" si="1"/>
        <v>0.06026600166</v>
      </c>
      <c r="F74" s="18">
        <f t="shared" si="2"/>
        <v>-1.552544459</v>
      </c>
    </row>
    <row r="75">
      <c r="A75" s="14">
        <v>0.551312625</v>
      </c>
      <c r="B75" s="14">
        <v>0.20107</v>
      </c>
      <c r="C75" s="14">
        <v>0.02758</v>
      </c>
      <c r="D75" s="25">
        <v>74.0</v>
      </c>
      <c r="E75" s="26">
        <f t="shared" si="1"/>
        <v>0.06109725686</v>
      </c>
      <c r="F75" s="18">
        <f t="shared" si="2"/>
        <v>-1.545627674</v>
      </c>
    </row>
    <row r="76">
      <c r="A76" s="14">
        <v>0.552</v>
      </c>
      <c r="B76" s="14">
        <v>0.204403177</v>
      </c>
      <c r="C76" s="14">
        <v>0.02781</v>
      </c>
      <c r="D76" s="25">
        <v>75.0</v>
      </c>
      <c r="E76" s="26">
        <f t="shared" si="1"/>
        <v>0.06192851205</v>
      </c>
      <c r="F76" s="18">
        <f t="shared" si="2"/>
        <v>-1.538784054</v>
      </c>
    </row>
    <row r="77">
      <c r="A77" s="14">
        <v>0.553</v>
      </c>
      <c r="B77" s="14">
        <v>0.208715528</v>
      </c>
      <c r="C77" s="14">
        <v>0.028</v>
      </c>
      <c r="D77" s="25">
        <v>76.0</v>
      </c>
      <c r="E77" s="26">
        <f t="shared" si="1"/>
        <v>0.06275976725</v>
      </c>
      <c r="F77" s="18">
        <f t="shared" si="2"/>
        <v>-1.532011754</v>
      </c>
    </row>
    <row r="78">
      <c r="A78" s="14">
        <v>0.553707123</v>
      </c>
      <c r="B78" s="14">
        <v>0.209</v>
      </c>
      <c r="C78" s="14">
        <v>0.028</v>
      </c>
      <c r="D78" s="25">
        <v>77.0</v>
      </c>
      <c r="E78" s="26">
        <f t="shared" si="1"/>
        <v>0.06359102244</v>
      </c>
      <c r="F78" s="18">
        <f t="shared" si="2"/>
        <v>-1.525308997</v>
      </c>
    </row>
    <row r="79">
      <c r="A79" s="14">
        <v>0.555</v>
      </c>
      <c r="B79" s="14">
        <v>0.21006</v>
      </c>
      <c r="C79" s="14">
        <v>0.028</v>
      </c>
      <c r="D79" s="25">
        <v>78.0</v>
      </c>
      <c r="E79" s="26">
        <f t="shared" si="1"/>
        <v>0.06442227764</v>
      </c>
      <c r="F79" s="18">
        <f t="shared" si="2"/>
        <v>-1.518674076</v>
      </c>
    </row>
    <row r="80">
      <c r="A80" s="14">
        <v>0.56</v>
      </c>
      <c r="B80" s="14">
        <v>0.212</v>
      </c>
      <c r="C80" s="14">
        <v>0.028</v>
      </c>
      <c r="D80" s="25">
        <v>79.0</v>
      </c>
      <c r="E80" s="26">
        <f t="shared" si="1"/>
        <v>0.06525353283</v>
      </c>
      <c r="F80" s="18">
        <f t="shared" si="2"/>
        <v>-1.512105345</v>
      </c>
    </row>
    <row r="81">
      <c r="A81" s="14">
        <v>0.56</v>
      </c>
      <c r="B81" s="14">
        <v>0.21219</v>
      </c>
      <c r="C81" s="14">
        <v>0.028</v>
      </c>
      <c r="D81" s="25">
        <v>80.0</v>
      </c>
      <c r="E81" s="26">
        <f t="shared" si="1"/>
        <v>0.06608478803</v>
      </c>
      <c r="F81" s="18">
        <f t="shared" si="2"/>
        <v>-1.505601218</v>
      </c>
    </row>
    <row r="82">
      <c r="A82" s="14">
        <v>0.565</v>
      </c>
      <c r="B82" s="14">
        <v>0.21342</v>
      </c>
      <c r="C82" s="14">
        <v>0.028</v>
      </c>
      <c r="D82" s="25">
        <v>81.0</v>
      </c>
      <c r="E82" s="26">
        <f t="shared" si="1"/>
        <v>0.06691604323</v>
      </c>
      <c r="F82" s="18">
        <f t="shared" si="2"/>
        <v>-1.499160166</v>
      </c>
    </row>
    <row r="83">
      <c r="A83" s="14">
        <v>0.566</v>
      </c>
      <c r="B83" s="14">
        <v>0.216</v>
      </c>
      <c r="C83" s="14">
        <v>0.028</v>
      </c>
      <c r="D83" s="25">
        <v>82.0</v>
      </c>
      <c r="E83" s="26">
        <f t="shared" si="1"/>
        <v>0.06774729842</v>
      </c>
      <c r="F83" s="18">
        <f t="shared" si="2"/>
        <v>-1.492780717</v>
      </c>
    </row>
    <row r="84">
      <c r="A84" s="14">
        <v>0.569</v>
      </c>
      <c r="B84" s="14">
        <v>0.22</v>
      </c>
      <c r="C84" s="14">
        <v>0.028</v>
      </c>
      <c r="D84" s="25">
        <v>83.0</v>
      </c>
      <c r="E84" s="26">
        <f t="shared" si="1"/>
        <v>0.06857855362</v>
      </c>
      <c r="F84" s="18">
        <f t="shared" si="2"/>
        <v>-1.486461448</v>
      </c>
    </row>
    <row r="85">
      <c r="A85" s="14">
        <v>0.570614934</v>
      </c>
      <c r="B85" s="14">
        <v>0.221</v>
      </c>
      <c r="C85" s="14">
        <v>0.028028091</v>
      </c>
      <c r="D85" s="25">
        <v>84.0</v>
      </c>
      <c r="E85" s="26">
        <f t="shared" si="1"/>
        <v>0.06940980881</v>
      </c>
      <c r="F85" s="18">
        <f t="shared" si="2"/>
        <v>-1.480200987</v>
      </c>
    </row>
    <row r="86">
      <c r="A86" s="14">
        <v>0.572</v>
      </c>
      <c r="B86" s="14">
        <v>0.225</v>
      </c>
      <c r="C86" s="14">
        <v>0.02833</v>
      </c>
      <c r="D86" s="25">
        <v>85.0</v>
      </c>
      <c r="E86" s="26">
        <f t="shared" si="1"/>
        <v>0.07024106401</v>
      </c>
      <c r="F86" s="18">
        <f t="shared" si="2"/>
        <v>-1.473998008</v>
      </c>
    </row>
    <row r="87">
      <c r="A87" s="14">
        <v>0.575</v>
      </c>
      <c r="B87" s="14">
        <v>0.22815</v>
      </c>
      <c r="C87" s="14">
        <v>0.029</v>
      </c>
      <c r="D87" s="25">
        <v>86.0</v>
      </c>
      <c r="E87" s="26">
        <f t="shared" si="1"/>
        <v>0.0710723192</v>
      </c>
      <c r="F87" s="18">
        <f t="shared" si="2"/>
        <v>-1.467851231</v>
      </c>
    </row>
    <row r="88">
      <c r="A88" s="14">
        <v>0.577</v>
      </c>
      <c r="B88" s="14">
        <v>0.22917</v>
      </c>
      <c r="C88" s="14">
        <v>0.029</v>
      </c>
      <c r="D88" s="25">
        <v>87.0</v>
      </c>
      <c r="E88" s="26">
        <f t="shared" si="1"/>
        <v>0.0719035744</v>
      </c>
      <c r="F88" s="18">
        <f t="shared" si="2"/>
        <v>-1.461759418</v>
      </c>
    </row>
    <row r="89">
      <c r="A89" s="14">
        <v>0.581543326</v>
      </c>
      <c r="B89" s="14">
        <v>0.231</v>
      </c>
      <c r="C89" s="14">
        <v>0.029</v>
      </c>
      <c r="D89" s="25">
        <v>88.0</v>
      </c>
      <c r="E89" s="26">
        <f t="shared" si="1"/>
        <v>0.07273482959</v>
      </c>
      <c r="F89" s="18">
        <f t="shared" si="2"/>
        <v>-1.455721374</v>
      </c>
    </row>
    <row r="90">
      <c r="A90" s="14">
        <v>0.59</v>
      </c>
      <c r="B90" s="14">
        <v>0.232</v>
      </c>
      <c r="C90" s="14">
        <v>0.02901</v>
      </c>
      <c r="D90" s="25">
        <v>89.0</v>
      </c>
      <c r="E90" s="26">
        <f t="shared" si="1"/>
        <v>0.07356608479</v>
      </c>
      <c r="F90" s="18">
        <f t="shared" si="2"/>
        <v>-1.449735941</v>
      </c>
    </row>
    <row r="91">
      <c r="A91" s="14">
        <v>0.592</v>
      </c>
      <c r="B91" s="14">
        <v>0.233335808</v>
      </c>
      <c r="C91" s="14">
        <v>0.02947</v>
      </c>
      <c r="D91" s="25">
        <v>90.0</v>
      </c>
      <c r="E91" s="26">
        <f t="shared" si="1"/>
        <v>0.07439733998</v>
      </c>
      <c r="F91" s="18">
        <f t="shared" si="2"/>
        <v>-1.443801999</v>
      </c>
    </row>
    <row r="92">
      <c r="A92" s="14">
        <v>0.59205</v>
      </c>
      <c r="B92" s="14">
        <v>0.23391</v>
      </c>
      <c r="C92" s="14">
        <v>0.02961</v>
      </c>
      <c r="D92" s="25">
        <v>91.0</v>
      </c>
      <c r="E92" s="26">
        <f t="shared" si="1"/>
        <v>0.07522859518</v>
      </c>
      <c r="F92" s="18">
        <f t="shared" si="2"/>
        <v>-1.437918465</v>
      </c>
    </row>
    <row r="93">
      <c r="A93" s="14">
        <v>0.59207</v>
      </c>
      <c r="B93" s="14">
        <v>0.23414</v>
      </c>
      <c r="C93" s="14">
        <v>0.03</v>
      </c>
      <c r="D93" s="25">
        <v>92.0</v>
      </c>
      <c r="E93" s="26">
        <f t="shared" si="1"/>
        <v>0.07605985037</v>
      </c>
      <c r="F93" s="18">
        <f t="shared" si="2"/>
        <v>-1.432084288</v>
      </c>
    </row>
    <row r="94">
      <c r="A94" s="14">
        <v>0.592200935</v>
      </c>
      <c r="B94" s="14">
        <v>0.234231785</v>
      </c>
      <c r="C94" s="14">
        <v>0.03</v>
      </c>
      <c r="D94" s="25">
        <v>93.0</v>
      </c>
      <c r="E94" s="26">
        <f t="shared" si="1"/>
        <v>0.07689110557</v>
      </c>
      <c r="F94" s="18">
        <f t="shared" si="2"/>
        <v>-1.426298454</v>
      </c>
    </row>
    <row r="95">
      <c r="A95" s="14">
        <v>0.592628479</v>
      </c>
      <c r="B95" s="14">
        <v>0.235</v>
      </c>
      <c r="C95" s="14">
        <v>0.0305</v>
      </c>
      <c r="D95" s="25">
        <v>94.0</v>
      </c>
      <c r="E95" s="26">
        <f t="shared" si="1"/>
        <v>0.07772236076</v>
      </c>
      <c r="F95" s="18">
        <f t="shared" si="2"/>
        <v>-1.420559975</v>
      </c>
    </row>
    <row r="96">
      <c r="A96" s="14">
        <v>0.593</v>
      </c>
      <c r="B96" s="14">
        <v>0.23501</v>
      </c>
      <c r="C96" s="14">
        <v>0.0306</v>
      </c>
      <c r="D96" s="25">
        <v>95.0</v>
      </c>
      <c r="E96" s="26">
        <f t="shared" si="1"/>
        <v>0.07855361596</v>
      </c>
      <c r="F96" s="18">
        <f t="shared" si="2"/>
        <v>-1.414867899</v>
      </c>
    </row>
    <row r="97">
      <c r="A97" s="14">
        <v>0.593247831</v>
      </c>
      <c r="B97" s="14">
        <v>0.235215262</v>
      </c>
      <c r="C97" s="14">
        <v>0.03061</v>
      </c>
      <c r="D97" s="25">
        <v>96.0</v>
      </c>
      <c r="E97" s="26">
        <f t="shared" si="1"/>
        <v>0.07938487116</v>
      </c>
      <c r="F97" s="18">
        <f t="shared" si="2"/>
        <v>-1.409221298</v>
      </c>
    </row>
    <row r="98">
      <c r="A98" s="14">
        <v>0.595</v>
      </c>
      <c r="B98" s="14">
        <v>0.23553</v>
      </c>
      <c r="C98" s="14">
        <v>0.031</v>
      </c>
      <c r="D98" s="25">
        <v>97.0</v>
      </c>
      <c r="E98" s="26">
        <f t="shared" si="1"/>
        <v>0.08021612635</v>
      </c>
      <c r="F98" s="18">
        <f t="shared" si="2"/>
        <v>-1.403619274</v>
      </c>
    </row>
    <row r="99">
      <c r="A99" s="14">
        <v>0.595</v>
      </c>
      <c r="B99" s="14">
        <v>0.23889</v>
      </c>
      <c r="C99" s="14">
        <v>0.031</v>
      </c>
      <c r="D99" s="25">
        <v>98.0</v>
      </c>
      <c r="E99" s="26">
        <f t="shared" si="1"/>
        <v>0.08104738155</v>
      </c>
      <c r="F99" s="18">
        <f t="shared" si="2"/>
        <v>-1.398060957</v>
      </c>
    </row>
    <row r="100">
      <c r="A100" s="14">
        <v>0.596</v>
      </c>
      <c r="B100" s="14">
        <v>0.23907</v>
      </c>
      <c r="C100" s="14">
        <v>0.031612735</v>
      </c>
      <c r="D100" s="25">
        <v>99.0</v>
      </c>
      <c r="E100" s="26">
        <f t="shared" si="1"/>
        <v>0.08187863674</v>
      </c>
      <c r="F100" s="18">
        <f t="shared" si="2"/>
        <v>-1.392545501</v>
      </c>
    </row>
    <row r="101">
      <c r="A101" s="14">
        <v>0.596</v>
      </c>
      <c r="B101" s="14">
        <v>0.240729049</v>
      </c>
      <c r="C101" s="14">
        <v>0.03187</v>
      </c>
      <c r="D101" s="25">
        <v>100.0</v>
      </c>
      <c r="E101" s="26">
        <f t="shared" si="1"/>
        <v>0.08270989194</v>
      </c>
      <c r="F101" s="18">
        <f t="shared" si="2"/>
        <v>-1.387072083</v>
      </c>
    </row>
    <row r="102">
      <c r="A102" s="14">
        <v>0.597</v>
      </c>
      <c r="B102" s="14">
        <v>0.241</v>
      </c>
      <c r="C102" s="14">
        <v>0.032</v>
      </c>
      <c r="D102" s="25">
        <v>101.0</v>
      </c>
      <c r="E102" s="26">
        <f t="shared" si="1"/>
        <v>0.08354114713</v>
      </c>
      <c r="F102" s="18">
        <f t="shared" si="2"/>
        <v>-1.381639907</v>
      </c>
    </row>
    <row r="103">
      <c r="A103" s="14">
        <v>0.601</v>
      </c>
      <c r="B103" s="14">
        <v>0.24232</v>
      </c>
      <c r="C103" s="14">
        <v>0.032</v>
      </c>
      <c r="D103" s="25">
        <v>102.0</v>
      </c>
      <c r="E103" s="26">
        <f t="shared" si="1"/>
        <v>0.08437240233</v>
      </c>
      <c r="F103" s="18">
        <f t="shared" si="2"/>
        <v>-1.376248198</v>
      </c>
    </row>
    <row r="104">
      <c r="A104" s="14">
        <v>0.601323128</v>
      </c>
      <c r="B104" s="14">
        <v>0.24425</v>
      </c>
      <c r="C104" s="14">
        <v>0.032</v>
      </c>
      <c r="D104" s="25">
        <v>103.0</v>
      </c>
      <c r="E104" s="26">
        <f t="shared" si="1"/>
        <v>0.08520365752</v>
      </c>
      <c r="F104" s="18">
        <f t="shared" si="2"/>
        <v>-1.370896203</v>
      </c>
    </row>
    <row r="105">
      <c r="A105" s="14">
        <v>0.603</v>
      </c>
      <c r="B105" s="14">
        <v>0.245</v>
      </c>
      <c r="C105" s="14">
        <v>0.0326</v>
      </c>
      <c r="D105" s="25">
        <v>104.0</v>
      </c>
      <c r="E105" s="26">
        <f t="shared" si="1"/>
        <v>0.08603491272</v>
      </c>
      <c r="F105" s="18">
        <f t="shared" si="2"/>
        <v>-1.365583191</v>
      </c>
    </row>
    <row r="106">
      <c r="A106" s="14">
        <v>0.60323</v>
      </c>
      <c r="B106" s="14">
        <v>0.24749</v>
      </c>
      <c r="C106" s="14">
        <v>0.03285</v>
      </c>
      <c r="D106" s="25">
        <v>105.0</v>
      </c>
      <c r="E106" s="26">
        <f t="shared" si="1"/>
        <v>0.08686616791</v>
      </c>
      <c r="F106" s="18">
        <f t="shared" si="2"/>
        <v>-1.360308449</v>
      </c>
    </row>
    <row r="107">
      <c r="A107" s="14">
        <v>0.60406</v>
      </c>
      <c r="B107" s="14">
        <v>0.24856</v>
      </c>
      <c r="C107" s="14">
        <v>0.032902289</v>
      </c>
      <c r="D107" s="25">
        <v>106.0</v>
      </c>
      <c r="E107" s="26">
        <f t="shared" si="1"/>
        <v>0.08769742311</v>
      </c>
      <c r="F107" s="18">
        <f t="shared" si="2"/>
        <v>-1.355071285</v>
      </c>
    </row>
    <row r="108">
      <c r="A108" s="14">
        <v>0.60429</v>
      </c>
      <c r="B108" s="14">
        <v>0.249</v>
      </c>
      <c r="C108" s="14">
        <v>0.033</v>
      </c>
      <c r="D108" s="25">
        <v>107.0</v>
      </c>
      <c r="E108" s="26">
        <f t="shared" si="1"/>
        <v>0.0885286783</v>
      </c>
      <c r="F108" s="18">
        <f t="shared" si="2"/>
        <v>-1.349871027</v>
      </c>
    </row>
    <row r="109">
      <c r="A109" s="14">
        <v>0.605</v>
      </c>
      <c r="B109" s="14">
        <v>0.25123</v>
      </c>
      <c r="C109" s="14">
        <v>0.034</v>
      </c>
      <c r="D109" s="25">
        <v>108.0</v>
      </c>
      <c r="E109" s="26">
        <f t="shared" si="1"/>
        <v>0.0893599335</v>
      </c>
      <c r="F109" s="18">
        <f t="shared" si="2"/>
        <v>-1.344707019</v>
      </c>
    </row>
    <row r="110">
      <c r="A110" s="14">
        <v>0.6053</v>
      </c>
      <c r="B110" s="14">
        <v>0.25202</v>
      </c>
      <c r="C110" s="14">
        <v>0.034</v>
      </c>
      <c r="D110" s="25">
        <v>109.0</v>
      </c>
      <c r="E110" s="26">
        <f t="shared" si="1"/>
        <v>0.09019118869</v>
      </c>
      <c r="F110" s="18">
        <f t="shared" si="2"/>
        <v>-1.339578623</v>
      </c>
    </row>
    <row r="111">
      <c r="A111" s="14">
        <v>0.608</v>
      </c>
      <c r="B111" s="14">
        <v>0.25429</v>
      </c>
      <c r="C111" s="14">
        <v>0.034</v>
      </c>
      <c r="D111" s="25">
        <v>110.0</v>
      </c>
      <c r="E111" s="26">
        <f t="shared" si="1"/>
        <v>0.09102244389</v>
      </c>
      <c r="F111" s="18">
        <f t="shared" si="2"/>
        <v>-1.334485218</v>
      </c>
    </row>
    <row r="112">
      <c r="A112" s="14">
        <v>0.608</v>
      </c>
      <c r="B112" s="14">
        <v>0.255</v>
      </c>
      <c r="C112" s="14">
        <v>0.034</v>
      </c>
      <c r="D112" s="25">
        <v>111.0</v>
      </c>
      <c r="E112" s="26">
        <f t="shared" si="1"/>
        <v>0.09185369909</v>
      </c>
      <c r="F112" s="18">
        <f t="shared" si="2"/>
        <v>-1.329426201</v>
      </c>
    </row>
    <row r="113">
      <c r="A113" s="14">
        <v>0.60809</v>
      </c>
      <c r="B113" s="14">
        <v>0.255772293</v>
      </c>
      <c r="C113" s="14">
        <v>0.034</v>
      </c>
      <c r="D113" s="25">
        <v>112.0</v>
      </c>
      <c r="E113" s="26">
        <f t="shared" si="1"/>
        <v>0.09268495428</v>
      </c>
      <c r="F113" s="18">
        <f t="shared" si="2"/>
        <v>-1.324400981</v>
      </c>
    </row>
    <row r="114">
      <c r="A114" s="14">
        <v>0.612</v>
      </c>
      <c r="B114" s="14">
        <v>0.256450713</v>
      </c>
      <c r="C114" s="14">
        <v>0.034</v>
      </c>
      <c r="D114" s="25">
        <v>113.0</v>
      </c>
      <c r="E114" s="26">
        <f t="shared" si="1"/>
        <v>0.09351620948</v>
      </c>
      <c r="F114" s="18">
        <f t="shared" si="2"/>
        <v>-1.319408986</v>
      </c>
    </row>
    <row r="115">
      <c r="A115" s="14">
        <v>0.614</v>
      </c>
      <c r="B115" s="14">
        <v>0.25646</v>
      </c>
      <c r="C115" s="14">
        <v>0.034</v>
      </c>
      <c r="D115" s="25">
        <v>114.0</v>
      </c>
      <c r="E115" s="26">
        <f t="shared" si="1"/>
        <v>0.09434746467</v>
      </c>
      <c r="F115" s="18">
        <f t="shared" si="2"/>
        <v>-1.314449655</v>
      </c>
    </row>
    <row r="116">
      <c r="A116" s="14">
        <v>0.61586</v>
      </c>
      <c r="B116" s="14">
        <v>0.25748</v>
      </c>
      <c r="C116" s="14">
        <v>0.03431</v>
      </c>
      <c r="D116" s="25">
        <v>115.0</v>
      </c>
      <c r="E116" s="26">
        <f t="shared" si="1"/>
        <v>0.09517871987</v>
      </c>
      <c r="F116" s="18">
        <f t="shared" si="2"/>
        <v>-1.309522444</v>
      </c>
    </row>
    <row r="117">
      <c r="A117" s="14">
        <v>0.617435038</v>
      </c>
      <c r="B117" s="14">
        <v>0.25861</v>
      </c>
      <c r="C117" s="14">
        <v>0.035</v>
      </c>
      <c r="D117" s="25">
        <v>116.0</v>
      </c>
      <c r="E117" s="26">
        <f t="shared" si="1"/>
        <v>0.09600997506</v>
      </c>
      <c r="F117" s="18">
        <f t="shared" si="2"/>
        <v>-1.304626822</v>
      </c>
    </row>
    <row r="118">
      <c r="A118" s="14">
        <v>0.619</v>
      </c>
      <c r="B118" s="14">
        <v>0.25883</v>
      </c>
      <c r="C118" s="14">
        <v>0.035</v>
      </c>
      <c r="D118" s="25">
        <v>117.0</v>
      </c>
      <c r="E118" s="26">
        <f t="shared" si="1"/>
        <v>0.09684123026</v>
      </c>
      <c r="F118" s="18">
        <f t="shared" si="2"/>
        <v>-1.299762269</v>
      </c>
    </row>
    <row r="119">
      <c r="A119" s="14">
        <v>0.62477</v>
      </c>
      <c r="B119" s="14">
        <v>0.259</v>
      </c>
      <c r="C119" s="14">
        <v>0.035</v>
      </c>
      <c r="D119" s="25">
        <v>118.0</v>
      </c>
      <c r="E119" s="26">
        <f t="shared" si="1"/>
        <v>0.09767248545</v>
      </c>
      <c r="F119" s="18">
        <f t="shared" si="2"/>
        <v>-1.294928281</v>
      </c>
    </row>
    <row r="120">
      <c r="A120" s="14">
        <v>0.62542</v>
      </c>
      <c r="B120" s="14">
        <v>0.259</v>
      </c>
      <c r="C120" s="14">
        <v>0.036</v>
      </c>
      <c r="D120" s="25">
        <v>119.0</v>
      </c>
      <c r="E120" s="26">
        <f t="shared" si="1"/>
        <v>0.09850374065</v>
      </c>
      <c r="F120" s="18">
        <f t="shared" si="2"/>
        <v>-1.290124364</v>
      </c>
    </row>
    <row r="121">
      <c r="A121" s="14">
        <v>0.625662446</v>
      </c>
      <c r="B121" s="14">
        <v>0.26</v>
      </c>
      <c r="C121" s="14">
        <v>0.036</v>
      </c>
      <c r="D121" s="25">
        <v>120.0</v>
      </c>
      <c r="E121" s="26">
        <f t="shared" si="1"/>
        <v>0.09933499584</v>
      </c>
      <c r="F121" s="18">
        <f t="shared" si="2"/>
        <v>-1.285350037</v>
      </c>
    </row>
    <row r="122">
      <c r="A122" s="14">
        <v>0.626</v>
      </c>
      <c r="B122" s="14">
        <v>0.260287941</v>
      </c>
      <c r="C122" s="14">
        <v>0.03616</v>
      </c>
      <c r="D122" s="25">
        <v>121.0</v>
      </c>
      <c r="E122" s="26">
        <f t="shared" si="1"/>
        <v>0.100166251</v>
      </c>
      <c r="F122" s="18">
        <f t="shared" si="2"/>
        <v>-1.28060483</v>
      </c>
    </row>
    <row r="123">
      <c r="A123" s="14">
        <v>0.627</v>
      </c>
      <c r="B123" s="14">
        <v>0.26228</v>
      </c>
      <c r="C123" s="14">
        <v>0.03635</v>
      </c>
      <c r="D123" s="25">
        <v>122.0</v>
      </c>
      <c r="E123" s="26">
        <f t="shared" si="1"/>
        <v>0.1009975062</v>
      </c>
      <c r="F123" s="18">
        <f t="shared" si="2"/>
        <v>-1.275888285</v>
      </c>
    </row>
    <row r="124">
      <c r="A124" s="14">
        <v>0.62736</v>
      </c>
      <c r="B124" s="14">
        <v>0.26236</v>
      </c>
      <c r="C124" s="14">
        <v>0.036636937</v>
      </c>
      <c r="D124" s="25">
        <v>123.0</v>
      </c>
      <c r="E124" s="26">
        <f t="shared" si="1"/>
        <v>0.1018287614</v>
      </c>
      <c r="F124" s="18">
        <f t="shared" si="2"/>
        <v>-1.271199953</v>
      </c>
    </row>
    <row r="125">
      <c r="A125" s="14">
        <v>0.628</v>
      </c>
      <c r="B125" s="14">
        <v>0.26268</v>
      </c>
      <c r="C125" s="14">
        <v>0.036872927</v>
      </c>
      <c r="D125" s="25">
        <v>124.0</v>
      </c>
      <c r="E125" s="26">
        <f t="shared" si="1"/>
        <v>0.1026600166</v>
      </c>
      <c r="F125" s="18">
        <f t="shared" si="2"/>
        <v>-1.266539397</v>
      </c>
    </row>
    <row r="126">
      <c r="A126" s="14">
        <v>0.629</v>
      </c>
      <c r="B126" s="14">
        <v>0.264</v>
      </c>
      <c r="C126" s="14">
        <v>0.037</v>
      </c>
      <c r="D126" s="25">
        <v>125.0</v>
      </c>
      <c r="E126" s="26">
        <f t="shared" si="1"/>
        <v>0.1034912718</v>
      </c>
      <c r="F126" s="18">
        <f t="shared" si="2"/>
        <v>-1.261906191</v>
      </c>
    </row>
    <row r="127">
      <c r="A127" s="14">
        <v>0.629033029</v>
      </c>
      <c r="B127" s="14">
        <v>0.26755</v>
      </c>
      <c r="C127" s="14">
        <v>0.037</v>
      </c>
      <c r="D127" s="25">
        <v>126.0</v>
      </c>
      <c r="E127" s="26">
        <f t="shared" si="1"/>
        <v>0.104322527</v>
      </c>
      <c r="F127" s="18">
        <f t="shared" si="2"/>
        <v>-1.257299916</v>
      </c>
    </row>
    <row r="128">
      <c r="A128" s="14">
        <v>0.629793584</v>
      </c>
      <c r="B128" s="14">
        <v>0.270842046</v>
      </c>
      <c r="C128" s="14">
        <v>0.037</v>
      </c>
      <c r="D128" s="25">
        <v>127.0</v>
      </c>
      <c r="E128" s="26">
        <f t="shared" si="1"/>
        <v>0.1051537822</v>
      </c>
      <c r="F128" s="18">
        <f t="shared" si="2"/>
        <v>-1.252720164</v>
      </c>
    </row>
    <row r="129">
      <c r="A129" s="14">
        <v>0.63</v>
      </c>
      <c r="B129" s="14">
        <v>0.271</v>
      </c>
      <c r="C129" s="14">
        <v>0.03751383</v>
      </c>
      <c r="D129" s="25">
        <v>128.0</v>
      </c>
      <c r="E129" s="26">
        <f t="shared" si="1"/>
        <v>0.1059850374</v>
      </c>
      <c r="F129" s="18">
        <f t="shared" si="2"/>
        <v>-1.248166538</v>
      </c>
    </row>
    <row r="130">
      <c r="A130" s="14">
        <v>0.63054</v>
      </c>
      <c r="B130" s="14">
        <v>0.27544</v>
      </c>
      <c r="C130" s="14">
        <v>0.03787</v>
      </c>
      <c r="D130" s="25">
        <v>129.0</v>
      </c>
      <c r="E130" s="26">
        <f t="shared" si="1"/>
        <v>0.1068162926</v>
      </c>
      <c r="F130" s="18">
        <f t="shared" si="2"/>
        <v>-1.243638647</v>
      </c>
    </row>
    <row r="131">
      <c r="A131" s="14">
        <v>0.63178</v>
      </c>
      <c r="B131" s="14">
        <v>0.27854</v>
      </c>
      <c r="C131" s="14">
        <v>0.038</v>
      </c>
      <c r="D131" s="25">
        <v>130.0</v>
      </c>
      <c r="E131" s="26">
        <f t="shared" si="1"/>
        <v>0.1076475478</v>
      </c>
      <c r="F131" s="18">
        <f t="shared" si="2"/>
        <v>-1.23913611</v>
      </c>
    </row>
    <row r="132">
      <c r="A132" s="14">
        <v>0.632388055</v>
      </c>
      <c r="B132" s="14">
        <v>0.27996</v>
      </c>
      <c r="C132" s="14">
        <v>0.038</v>
      </c>
      <c r="D132" s="25">
        <v>131.0</v>
      </c>
      <c r="E132" s="26">
        <f t="shared" si="1"/>
        <v>0.108478803</v>
      </c>
      <c r="F132" s="18">
        <f t="shared" si="2"/>
        <v>-1.234658555</v>
      </c>
    </row>
    <row r="133">
      <c r="A133" s="14">
        <v>0.636142015</v>
      </c>
      <c r="B133" s="14">
        <v>0.28</v>
      </c>
      <c r="C133" s="14">
        <v>0.038</v>
      </c>
      <c r="D133" s="25">
        <v>132.0</v>
      </c>
      <c r="E133" s="26">
        <f t="shared" si="1"/>
        <v>0.1093100582</v>
      </c>
      <c r="F133" s="18">
        <f t="shared" si="2"/>
        <v>-1.230205618</v>
      </c>
    </row>
    <row r="134">
      <c r="A134" s="14">
        <v>0.637573481</v>
      </c>
      <c r="B134" s="14">
        <v>0.28098</v>
      </c>
      <c r="C134" s="14">
        <v>0.038948249</v>
      </c>
      <c r="D134" s="25">
        <v>133.0</v>
      </c>
      <c r="E134" s="26">
        <f t="shared" si="1"/>
        <v>0.1101413134</v>
      </c>
      <c r="F134" s="18">
        <f t="shared" si="2"/>
        <v>-1.22577694</v>
      </c>
    </row>
    <row r="135">
      <c r="A135" s="14">
        <v>0.6376</v>
      </c>
      <c r="B135" s="14">
        <v>0.281</v>
      </c>
      <c r="C135" s="14">
        <v>0.039</v>
      </c>
      <c r="D135" s="25">
        <v>134.0</v>
      </c>
      <c r="E135" s="26">
        <f t="shared" si="1"/>
        <v>0.1109725686</v>
      </c>
      <c r="F135" s="18">
        <f t="shared" si="2"/>
        <v>-1.221372175</v>
      </c>
    </row>
    <row r="136">
      <c r="A136" s="14">
        <v>0.639</v>
      </c>
      <c r="B136" s="14">
        <v>0.282</v>
      </c>
      <c r="C136" s="14">
        <v>0.039</v>
      </c>
      <c r="D136" s="25">
        <v>135.0</v>
      </c>
      <c r="E136" s="26">
        <f t="shared" si="1"/>
        <v>0.1118038238</v>
      </c>
      <c r="F136" s="18">
        <f t="shared" si="2"/>
        <v>-1.21699098</v>
      </c>
    </row>
    <row r="137">
      <c r="A137" s="14">
        <v>0.640449822</v>
      </c>
      <c r="B137" s="14">
        <v>0.283</v>
      </c>
      <c r="C137" s="14">
        <v>0.039</v>
      </c>
      <c r="D137" s="25">
        <v>136.0</v>
      </c>
      <c r="E137" s="26">
        <f t="shared" si="1"/>
        <v>0.112635079</v>
      </c>
      <c r="F137" s="18">
        <f t="shared" si="2"/>
        <v>-1.212633021</v>
      </c>
    </row>
    <row r="138">
      <c r="A138" s="14">
        <v>0.64095</v>
      </c>
      <c r="B138" s="14">
        <v>0.284</v>
      </c>
      <c r="C138" s="14">
        <v>0.039</v>
      </c>
      <c r="D138" s="25">
        <v>137.0</v>
      </c>
      <c r="E138" s="26">
        <f t="shared" si="1"/>
        <v>0.1134663342</v>
      </c>
      <c r="F138" s="18">
        <f t="shared" si="2"/>
        <v>-1.208297971</v>
      </c>
    </row>
    <row r="139">
      <c r="A139" s="14">
        <v>0.641</v>
      </c>
      <c r="B139" s="14">
        <v>0.28531</v>
      </c>
      <c r="C139" s="14">
        <v>0.039</v>
      </c>
      <c r="D139" s="25">
        <v>138.0</v>
      </c>
      <c r="E139" s="26">
        <f t="shared" si="1"/>
        <v>0.1142975894</v>
      </c>
      <c r="F139" s="18">
        <f t="shared" si="2"/>
        <v>-1.20398551</v>
      </c>
    </row>
    <row r="140">
      <c r="A140" s="14">
        <v>0.641</v>
      </c>
      <c r="B140" s="14">
        <v>0.28579</v>
      </c>
      <c r="C140" s="14">
        <v>0.03986</v>
      </c>
      <c r="D140" s="25">
        <v>139.0</v>
      </c>
      <c r="E140" s="26">
        <f t="shared" si="1"/>
        <v>0.1151288446</v>
      </c>
      <c r="F140" s="18">
        <f t="shared" si="2"/>
        <v>-1.199695325</v>
      </c>
    </row>
    <row r="141">
      <c r="A141" s="14">
        <v>0.64184</v>
      </c>
      <c r="B141" s="14">
        <v>0.288</v>
      </c>
      <c r="C141" s="14">
        <v>0.039864216</v>
      </c>
      <c r="D141" s="25">
        <v>140.0</v>
      </c>
      <c r="E141" s="26">
        <f t="shared" si="1"/>
        <v>0.1159600998</v>
      </c>
      <c r="F141" s="18">
        <f t="shared" si="2"/>
        <v>-1.195427108</v>
      </c>
    </row>
    <row r="142">
      <c r="A142" s="14">
        <v>0.64367</v>
      </c>
      <c r="B142" s="14">
        <v>0.288515985</v>
      </c>
      <c r="C142" s="14">
        <v>0.04</v>
      </c>
      <c r="D142" s="25">
        <v>141.0</v>
      </c>
      <c r="E142" s="26">
        <f t="shared" si="1"/>
        <v>0.1167913549</v>
      </c>
      <c r="F142" s="18">
        <f t="shared" si="2"/>
        <v>-1.191180558</v>
      </c>
    </row>
    <row r="143">
      <c r="A143" s="14">
        <v>0.644</v>
      </c>
      <c r="B143" s="14">
        <v>0.288555533</v>
      </c>
      <c r="C143" s="14">
        <v>0.04002</v>
      </c>
      <c r="D143" s="25">
        <v>142.0</v>
      </c>
      <c r="E143" s="26">
        <f t="shared" si="1"/>
        <v>0.1176226101</v>
      </c>
      <c r="F143" s="18">
        <f t="shared" si="2"/>
        <v>-1.186955382</v>
      </c>
    </row>
    <row r="144">
      <c r="A144" s="14">
        <v>0.64498</v>
      </c>
      <c r="B144" s="14">
        <v>0.289231718</v>
      </c>
      <c r="C144" s="14">
        <v>0.0403</v>
      </c>
      <c r="D144" s="25">
        <v>143.0</v>
      </c>
      <c r="E144" s="26">
        <f t="shared" si="1"/>
        <v>0.1184538653</v>
      </c>
      <c r="F144" s="18">
        <f t="shared" si="2"/>
        <v>-1.182751289</v>
      </c>
    </row>
    <row r="145">
      <c r="A145" s="14">
        <v>0.646</v>
      </c>
      <c r="B145" s="14">
        <v>0.28968069</v>
      </c>
      <c r="C145" s="14">
        <v>0.040903781</v>
      </c>
      <c r="D145" s="25">
        <v>144.0</v>
      </c>
      <c r="E145" s="26">
        <f t="shared" si="1"/>
        <v>0.1192851205</v>
      </c>
      <c r="F145" s="18">
        <f t="shared" si="2"/>
        <v>-1.178567997</v>
      </c>
    </row>
    <row r="146">
      <c r="A146" s="14">
        <v>0.649</v>
      </c>
      <c r="B146" s="14">
        <v>0.29091</v>
      </c>
      <c r="C146" s="14">
        <v>0.041</v>
      </c>
      <c r="D146" s="25">
        <v>145.0</v>
      </c>
      <c r="E146" s="26">
        <f t="shared" si="1"/>
        <v>0.1201163757</v>
      </c>
      <c r="F146" s="18">
        <f t="shared" si="2"/>
        <v>-1.17440523</v>
      </c>
    </row>
    <row r="147">
      <c r="A147" s="14">
        <v>0.65</v>
      </c>
      <c r="B147" s="14">
        <v>0.291</v>
      </c>
      <c r="C147" s="14">
        <v>0.041</v>
      </c>
      <c r="D147" s="25">
        <v>146.0</v>
      </c>
      <c r="E147" s="26">
        <f t="shared" si="1"/>
        <v>0.1209476309</v>
      </c>
      <c r="F147" s="18">
        <f t="shared" si="2"/>
        <v>-1.170262714</v>
      </c>
    </row>
    <row r="148">
      <c r="A148" s="14">
        <v>0.651</v>
      </c>
      <c r="B148" s="14">
        <v>0.292</v>
      </c>
      <c r="C148" s="14">
        <v>0.041</v>
      </c>
      <c r="D148" s="25">
        <v>147.0</v>
      </c>
      <c r="E148" s="26">
        <f t="shared" si="1"/>
        <v>0.1217788861</v>
      </c>
      <c r="F148" s="18">
        <f t="shared" si="2"/>
        <v>-1.166140183</v>
      </c>
    </row>
    <row r="149">
      <c r="A149" s="14">
        <v>0.653</v>
      </c>
      <c r="B149" s="14">
        <v>0.292</v>
      </c>
      <c r="C149" s="14">
        <v>0.041237976</v>
      </c>
      <c r="D149" s="25">
        <v>148.0</v>
      </c>
      <c r="E149" s="26">
        <f t="shared" si="1"/>
        <v>0.1226101413</v>
      </c>
      <c r="F149" s="18">
        <f t="shared" si="2"/>
        <v>-1.162037377</v>
      </c>
    </row>
    <row r="150">
      <c r="A150" s="14">
        <v>0.66</v>
      </c>
      <c r="B150" s="14">
        <v>0.292</v>
      </c>
      <c r="C150" s="14">
        <v>0.04127</v>
      </c>
      <c r="D150" s="25">
        <v>149.0</v>
      </c>
      <c r="E150" s="26">
        <f t="shared" si="1"/>
        <v>0.1234413965</v>
      </c>
      <c r="F150" s="18">
        <f t="shared" si="2"/>
        <v>-1.157954039</v>
      </c>
    </row>
    <row r="151">
      <c r="A151" s="14">
        <v>0.66062</v>
      </c>
      <c r="B151" s="14">
        <v>0.293</v>
      </c>
      <c r="C151" s="14">
        <v>0.042</v>
      </c>
      <c r="D151" s="25">
        <v>150.0</v>
      </c>
      <c r="E151" s="26">
        <f t="shared" si="1"/>
        <v>0.1242726517</v>
      </c>
      <c r="F151" s="18">
        <f t="shared" si="2"/>
        <v>-1.153889917</v>
      </c>
    </row>
    <row r="152">
      <c r="A152" s="14">
        <v>0.663</v>
      </c>
      <c r="B152" s="14">
        <v>0.295</v>
      </c>
      <c r="C152" s="14">
        <v>0.042</v>
      </c>
      <c r="D152" s="25">
        <v>151.0</v>
      </c>
      <c r="E152" s="26">
        <f t="shared" si="1"/>
        <v>0.1251039069</v>
      </c>
      <c r="F152" s="18">
        <f t="shared" si="2"/>
        <v>-1.149844766</v>
      </c>
    </row>
    <row r="153">
      <c r="A153" s="14">
        <v>0.66366</v>
      </c>
      <c r="B153" s="14">
        <v>0.29507</v>
      </c>
      <c r="C153" s="14">
        <v>0.04212</v>
      </c>
      <c r="D153" s="25">
        <v>152.0</v>
      </c>
      <c r="E153" s="26">
        <f t="shared" si="1"/>
        <v>0.1259351621</v>
      </c>
      <c r="F153" s="18">
        <f t="shared" si="2"/>
        <v>-1.145818342</v>
      </c>
    </row>
    <row r="154">
      <c r="A154" s="14">
        <v>0.666</v>
      </c>
      <c r="B154" s="14">
        <v>0.295400262</v>
      </c>
      <c r="C154" s="14">
        <v>0.042181555</v>
      </c>
      <c r="D154" s="25">
        <v>153.0</v>
      </c>
      <c r="E154" s="26">
        <f t="shared" si="1"/>
        <v>0.1267664173</v>
      </c>
      <c r="F154" s="18">
        <f t="shared" si="2"/>
        <v>-1.14181041</v>
      </c>
    </row>
    <row r="155">
      <c r="A155" s="14">
        <v>0.66801</v>
      </c>
      <c r="B155" s="14">
        <v>0.295817465</v>
      </c>
      <c r="C155" s="14">
        <v>0.04294</v>
      </c>
      <c r="D155" s="25">
        <v>154.0</v>
      </c>
      <c r="E155" s="26">
        <f t="shared" si="1"/>
        <v>0.1275976725</v>
      </c>
      <c r="F155" s="18">
        <f t="shared" si="2"/>
        <v>-1.137820735</v>
      </c>
    </row>
    <row r="156">
      <c r="A156" s="14">
        <v>0.668195903</v>
      </c>
      <c r="B156" s="14">
        <v>0.296</v>
      </c>
      <c r="C156" s="14">
        <v>0.043</v>
      </c>
      <c r="D156" s="25">
        <v>155.0</v>
      </c>
      <c r="E156" s="26">
        <f t="shared" si="1"/>
        <v>0.1284289277</v>
      </c>
      <c r="F156" s="18">
        <f t="shared" si="2"/>
        <v>-1.13384909</v>
      </c>
    </row>
    <row r="157">
      <c r="A157" s="14">
        <v>0.671</v>
      </c>
      <c r="B157" s="14">
        <v>0.29671</v>
      </c>
      <c r="C157" s="14">
        <v>0.043</v>
      </c>
      <c r="D157" s="25">
        <v>156.0</v>
      </c>
      <c r="E157" s="26">
        <f t="shared" si="1"/>
        <v>0.1292601829</v>
      </c>
      <c r="F157" s="18">
        <f t="shared" si="2"/>
        <v>-1.12989525</v>
      </c>
    </row>
    <row r="158">
      <c r="A158" s="14">
        <v>0.671070457</v>
      </c>
      <c r="B158" s="14">
        <v>0.3007406</v>
      </c>
      <c r="C158" s="14">
        <v>0.04310311</v>
      </c>
      <c r="D158" s="25">
        <v>157.0</v>
      </c>
      <c r="E158" s="26">
        <f t="shared" si="1"/>
        <v>0.1300914381</v>
      </c>
      <c r="F158" s="18">
        <f t="shared" si="2"/>
        <v>-1.125958996</v>
      </c>
    </row>
    <row r="159">
      <c r="A159" s="14">
        <v>0.672</v>
      </c>
      <c r="B159" s="14">
        <v>0.304</v>
      </c>
      <c r="C159" s="14">
        <v>0.043289777</v>
      </c>
      <c r="D159" s="25">
        <v>158.0</v>
      </c>
      <c r="E159" s="26">
        <f t="shared" si="1"/>
        <v>0.1309226933</v>
      </c>
      <c r="F159" s="18">
        <f t="shared" si="2"/>
        <v>-1.12204011</v>
      </c>
    </row>
    <row r="160">
      <c r="A160" s="14">
        <v>0.672</v>
      </c>
      <c r="B160" s="14">
        <v>0.305</v>
      </c>
      <c r="C160" s="14">
        <v>0.04339</v>
      </c>
      <c r="D160" s="25">
        <v>159.0</v>
      </c>
      <c r="E160" s="26">
        <f t="shared" si="1"/>
        <v>0.1317539485</v>
      </c>
      <c r="F160" s="18">
        <f t="shared" si="2"/>
        <v>-1.11813838</v>
      </c>
    </row>
    <row r="161">
      <c r="A161" s="14">
        <v>0.67269069</v>
      </c>
      <c r="B161" s="14">
        <v>0.30587</v>
      </c>
      <c r="C161" s="14">
        <v>0.04355</v>
      </c>
      <c r="D161" s="25">
        <v>160.0</v>
      </c>
      <c r="E161" s="26">
        <f t="shared" si="1"/>
        <v>0.1325852037</v>
      </c>
      <c r="F161" s="18">
        <f t="shared" si="2"/>
        <v>-1.114253599</v>
      </c>
    </row>
    <row r="162">
      <c r="A162" s="14">
        <v>0.67954</v>
      </c>
      <c r="B162" s="14">
        <v>0.30658</v>
      </c>
      <c r="C162" s="14">
        <v>0.044</v>
      </c>
      <c r="D162" s="25">
        <v>161.0</v>
      </c>
      <c r="E162" s="26">
        <f t="shared" si="1"/>
        <v>0.1334164589</v>
      </c>
      <c r="F162" s="18">
        <f t="shared" si="2"/>
        <v>-1.110385561</v>
      </c>
    </row>
    <row r="163">
      <c r="A163" s="14">
        <v>0.682</v>
      </c>
      <c r="B163" s="14">
        <v>0.306613743</v>
      </c>
      <c r="C163" s="14">
        <v>0.04472</v>
      </c>
      <c r="D163" s="25">
        <v>162.0</v>
      </c>
      <c r="E163" s="26">
        <f t="shared" si="1"/>
        <v>0.134247714</v>
      </c>
      <c r="F163" s="18">
        <f t="shared" si="2"/>
        <v>-1.106534066</v>
      </c>
    </row>
    <row r="164">
      <c r="A164" s="14">
        <v>0.686</v>
      </c>
      <c r="B164" s="14">
        <v>0.30685</v>
      </c>
      <c r="C164" s="14">
        <v>0.045</v>
      </c>
      <c r="D164" s="25">
        <v>163.0</v>
      </c>
      <c r="E164" s="26">
        <f t="shared" si="1"/>
        <v>0.1350789692</v>
      </c>
      <c r="F164" s="18">
        <f t="shared" si="2"/>
        <v>-1.102698915</v>
      </c>
    </row>
    <row r="165">
      <c r="A165" s="14">
        <v>0.686</v>
      </c>
      <c r="B165" s="14">
        <v>0.307</v>
      </c>
      <c r="C165" s="14">
        <v>0.045128979</v>
      </c>
      <c r="D165" s="25">
        <v>164.0</v>
      </c>
      <c r="E165" s="26">
        <f t="shared" si="1"/>
        <v>0.1359102244</v>
      </c>
      <c r="F165" s="18">
        <f t="shared" si="2"/>
        <v>-1.098879915</v>
      </c>
    </row>
    <row r="166">
      <c r="A166" s="14">
        <v>0.68655</v>
      </c>
      <c r="B166" s="14">
        <v>0.309</v>
      </c>
      <c r="C166" s="14">
        <v>0.04582</v>
      </c>
      <c r="D166" s="25">
        <v>165.0</v>
      </c>
      <c r="E166" s="26">
        <f t="shared" si="1"/>
        <v>0.1367414796</v>
      </c>
      <c r="F166" s="18">
        <f t="shared" si="2"/>
        <v>-1.095076875</v>
      </c>
    </row>
    <row r="167">
      <c r="A167" s="14">
        <v>0.687292993</v>
      </c>
      <c r="B167" s="14">
        <v>0.309410036</v>
      </c>
      <c r="C167" s="14">
        <v>0.046</v>
      </c>
      <c r="D167" s="25">
        <v>166.0</v>
      </c>
      <c r="E167" s="26">
        <f t="shared" si="1"/>
        <v>0.1375727348</v>
      </c>
      <c r="F167" s="18">
        <f t="shared" si="2"/>
        <v>-1.091289607</v>
      </c>
    </row>
    <row r="168">
      <c r="A168" s="14">
        <v>0.688</v>
      </c>
      <c r="B168" s="14">
        <v>0.30953</v>
      </c>
      <c r="C168" s="14">
        <v>0.046</v>
      </c>
      <c r="D168" s="25">
        <v>167.0</v>
      </c>
      <c r="E168" s="26">
        <f t="shared" si="1"/>
        <v>0.13840399</v>
      </c>
      <c r="F168" s="18">
        <f t="shared" si="2"/>
        <v>-1.087517928</v>
      </c>
    </row>
    <row r="169">
      <c r="A169" s="14">
        <v>0.688</v>
      </c>
      <c r="B169" s="14">
        <v>0.31048</v>
      </c>
      <c r="C169" s="14">
        <v>0.046668742</v>
      </c>
      <c r="D169" s="25">
        <v>168.0</v>
      </c>
      <c r="E169" s="26">
        <f t="shared" si="1"/>
        <v>0.1392352452</v>
      </c>
      <c r="F169" s="18">
        <f t="shared" si="2"/>
        <v>-1.083761657</v>
      </c>
    </row>
    <row r="170">
      <c r="A170" s="14">
        <v>0.688718557</v>
      </c>
      <c r="B170" s="14">
        <v>0.31056</v>
      </c>
      <c r="C170" s="14">
        <v>0.047</v>
      </c>
      <c r="D170" s="25">
        <v>169.0</v>
      </c>
      <c r="E170" s="26">
        <f t="shared" si="1"/>
        <v>0.1400665004</v>
      </c>
      <c r="F170" s="18">
        <f t="shared" si="2"/>
        <v>-1.080020615</v>
      </c>
    </row>
    <row r="171">
      <c r="A171" s="14">
        <v>0.688933194</v>
      </c>
      <c r="B171" s="14">
        <v>0.311</v>
      </c>
      <c r="C171" s="14">
        <v>0.047</v>
      </c>
      <c r="D171" s="25">
        <v>170.0</v>
      </c>
      <c r="E171" s="26">
        <f t="shared" si="1"/>
        <v>0.1408977556</v>
      </c>
      <c r="F171" s="18">
        <f t="shared" si="2"/>
        <v>-1.076294627</v>
      </c>
    </row>
    <row r="172">
      <c r="A172" s="14">
        <v>0.689062297</v>
      </c>
      <c r="B172" s="14">
        <v>0.312</v>
      </c>
      <c r="C172" s="14">
        <v>0.047049087</v>
      </c>
      <c r="D172" s="25">
        <v>171.0</v>
      </c>
      <c r="E172" s="26">
        <f t="shared" si="1"/>
        <v>0.1417290108</v>
      </c>
      <c r="F172" s="18">
        <f t="shared" si="2"/>
        <v>-1.072583522</v>
      </c>
    </row>
    <row r="173">
      <c r="A173" s="14">
        <v>0.69</v>
      </c>
      <c r="B173" s="14">
        <v>0.312328577</v>
      </c>
      <c r="C173" s="14">
        <v>0.04741</v>
      </c>
      <c r="D173" s="25">
        <v>172.0</v>
      </c>
      <c r="E173" s="26">
        <f t="shared" si="1"/>
        <v>0.142560266</v>
      </c>
      <c r="F173" s="18">
        <f t="shared" si="2"/>
        <v>-1.068887131</v>
      </c>
    </row>
    <row r="174">
      <c r="A174" s="14">
        <v>0.69</v>
      </c>
      <c r="B174" s="14">
        <v>0.313</v>
      </c>
      <c r="C174" s="14">
        <v>0.04852</v>
      </c>
      <c r="D174" s="25">
        <v>173.0</v>
      </c>
      <c r="E174" s="26">
        <f t="shared" si="1"/>
        <v>0.1433915212</v>
      </c>
      <c r="F174" s="18">
        <f t="shared" si="2"/>
        <v>-1.065205286</v>
      </c>
    </row>
    <row r="175">
      <c r="A175" s="14">
        <v>0.69</v>
      </c>
      <c r="B175" s="14">
        <v>0.313</v>
      </c>
      <c r="C175" s="14">
        <v>0.049</v>
      </c>
      <c r="D175" s="25">
        <v>174.0</v>
      </c>
      <c r="E175" s="26">
        <f t="shared" si="1"/>
        <v>0.1442227764</v>
      </c>
      <c r="F175" s="18">
        <f t="shared" si="2"/>
        <v>-1.061537826</v>
      </c>
    </row>
    <row r="176">
      <c r="A176" s="14">
        <v>0.691</v>
      </c>
      <c r="B176" s="14">
        <v>0.316</v>
      </c>
      <c r="C176" s="14">
        <v>0.04952</v>
      </c>
      <c r="D176" s="25">
        <v>175.0</v>
      </c>
      <c r="E176" s="26">
        <f t="shared" si="1"/>
        <v>0.1450540316</v>
      </c>
      <c r="F176" s="18">
        <f t="shared" si="2"/>
        <v>-1.057884587</v>
      </c>
    </row>
    <row r="177">
      <c r="A177" s="14">
        <v>0.692</v>
      </c>
      <c r="B177" s="14">
        <v>0.317</v>
      </c>
      <c r="C177" s="14">
        <v>0.05</v>
      </c>
      <c r="D177" s="25">
        <v>176.0</v>
      </c>
      <c r="E177" s="26">
        <f t="shared" si="1"/>
        <v>0.1458852868</v>
      </c>
      <c r="F177" s="18">
        <f t="shared" si="2"/>
        <v>-1.054245414</v>
      </c>
    </row>
    <row r="178">
      <c r="A178" s="14">
        <v>0.693</v>
      </c>
      <c r="B178" s="14">
        <v>0.31751</v>
      </c>
      <c r="C178" s="14">
        <v>0.05</v>
      </c>
      <c r="D178" s="25">
        <v>177.0</v>
      </c>
      <c r="E178" s="26">
        <f t="shared" si="1"/>
        <v>0.146716542</v>
      </c>
      <c r="F178" s="18">
        <f t="shared" si="2"/>
        <v>-1.050620149</v>
      </c>
    </row>
    <row r="179">
      <c r="A179" s="14">
        <v>0.694</v>
      </c>
      <c r="B179" s="14">
        <v>0.3176</v>
      </c>
      <c r="C179" s="14">
        <v>0.05</v>
      </c>
      <c r="D179" s="25">
        <v>178.0</v>
      </c>
      <c r="E179" s="26">
        <f t="shared" si="1"/>
        <v>0.1475477972</v>
      </c>
      <c r="F179" s="18">
        <f t="shared" si="2"/>
        <v>-1.047008639</v>
      </c>
    </row>
    <row r="180">
      <c r="A180" s="14">
        <v>0.69699</v>
      </c>
      <c r="B180" s="14">
        <v>0.31767</v>
      </c>
      <c r="C180" s="14">
        <v>0.05</v>
      </c>
      <c r="D180" s="25">
        <v>179.0</v>
      </c>
      <c r="E180" s="26">
        <f t="shared" si="1"/>
        <v>0.1483790524</v>
      </c>
      <c r="F180" s="18">
        <f t="shared" si="2"/>
        <v>-1.043410734</v>
      </c>
    </row>
    <row r="181">
      <c r="A181" s="14">
        <v>0.697</v>
      </c>
      <c r="B181" s="14">
        <v>0.318</v>
      </c>
      <c r="C181" s="14">
        <v>0.05099</v>
      </c>
      <c r="D181" s="25">
        <v>180.0</v>
      </c>
      <c r="E181" s="26">
        <f t="shared" si="1"/>
        <v>0.1492103076</v>
      </c>
      <c r="F181" s="18">
        <f t="shared" si="2"/>
        <v>-1.039826286</v>
      </c>
    </row>
    <row r="182">
      <c r="A182" s="14">
        <v>0.698</v>
      </c>
      <c r="B182" s="14">
        <v>0.31866</v>
      </c>
      <c r="C182" s="14">
        <v>0.051</v>
      </c>
      <c r="D182" s="25">
        <v>181.0</v>
      </c>
      <c r="E182" s="26">
        <f t="shared" si="1"/>
        <v>0.1500415628</v>
      </c>
      <c r="F182" s="18">
        <f t="shared" si="2"/>
        <v>-1.036255148</v>
      </c>
    </row>
    <row r="183">
      <c r="A183" s="14">
        <v>0.698824465</v>
      </c>
      <c r="B183" s="14">
        <v>0.318697691</v>
      </c>
      <c r="C183" s="14">
        <v>0.051</v>
      </c>
      <c r="D183" s="25">
        <v>182.0</v>
      </c>
      <c r="E183" s="26">
        <f t="shared" si="1"/>
        <v>0.150872818</v>
      </c>
      <c r="F183" s="18">
        <f t="shared" si="2"/>
        <v>-1.032697176</v>
      </c>
    </row>
    <row r="184">
      <c r="A184" s="14">
        <v>0.69981</v>
      </c>
      <c r="B184" s="14">
        <v>0.31914</v>
      </c>
      <c r="C184" s="14">
        <v>0.0512</v>
      </c>
      <c r="D184" s="25">
        <v>183.0</v>
      </c>
      <c r="E184" s="26">
        <f t="shared" si="1"/>
        <v>0.1517040732</v>
      </c>
      <c r="F184" s="18">
        <f t="shared" si="2"/>
        <v>-1.02915223</v>
      </c>
    </row>
    <row r="185">
      <c r="A185" s="14">
        <v>0.700386405</v>
      </c>
      <c r="B185" s="14">
        <v>0.32112</v>
      </c>
      <c r="C185" s="14">
        <v>0.051306631</v>
      </c>
      <c r="D185" s="25">
        <v>184.0</v>
      </c>
      <c r="E185" s="26">
        <f t="shared" si="1"/>
        <v>0.1525353283</v>
      </c>
      <c r="F185" s="18">
        <f t="shared" si="2"/>
        <v>-1.02562017</v>
      </c>
    </row>
    <row r="186">
      <c r="A186" s="14">
        <v>0.702</v>
      </c>
      <c r="B186" s="14">
        <v>0.324</v>
      </c>
      <c r="C186" s="14">
        <v>0.052</v>
      </c>
      <c r="D186" s="25">
        <v>185.0</v>
      </c>
      <c r="E186" s="26">
        <f t="shared" si="1"/>
        <v>0.1533665835</v>
      </c>
      <c r="F186" s="18">
        <f t="shared" si="2"/>
        <v>-1.022100859</v>
      </c>
    </row>
    <row r="187">
      <c r="A187" s="14">
        <v>0.702652037</v>
      </c>
      <c r="B187" s="14">
        <v>0.324367851</v>
      </c>
      <c r="C187" s="14">
        <v>0.052</v>
      </c>
      <c r="D187" s="25">
        <v>186.0</v>
      </c>
      <c r="E187" s="26">
        <f t="shared" si="1"/>
        <v>0.1541978387</v>
      </c>
      <c r="F187" s="18">
        <f t="shared" si="2"/>
        <v>-1.018594162</v>
      </c>
    </row>
    <row r="188">
      <c r="A188" s="14">
        <v>0.70362</v>
      </c>
      <c r="B188" s="14">
        <v>0.32461</v>
      </c>
      <c r="C188" s="14">
        <v>0.05203</v>
      </c>
      <c r="D188" s="25">
        <v>187.0</v>
      </c>
      <c r="E188" s="26">
        <f t="shared" si="1"/>
        <v>0.1550290939</v>
      </c>
      <c r="F188" s="18">
        <f t="shared" si="2"/>
        <v>-1.015099946</v>
      </c>
    </row>
    <row r="189">
      <c r="A189" s="14">
        <v>0.70697</v>
      </c>
      <c r="B189" s="14">
        <v>0.325707912</v>
      </c>
      <c r="C189" s="14">
        <v>0.05228</v>
      </c>
      <c r="D189" s="25">
        <v>188.0</v>
      </c>
      <c r="E189" s="26">
        <f t="shared" si="1"/>
        <v>0.1558603491</v>
      </c>
      <c r="F189" s="18">
        <f t="shared" si="2"/>
        <v>-1.01161808</v>
      </c>
    </row>
    <row r="190">
      <c r="A190" s="14">
        <v>0.708</v>
      </c>
      <c r="B190" s="14">
        <v>0.327</v>
      </c>
      <c r="C190" s="14">
        <v>0.05269</v>
      </c>
      <c r="D190" s="25">
        <v>189.0</v>
      </c>
      <c r="E190" s="26">
        <f t="shared" si="1"/>
        <v>0.1566916043</v>
      </c>
      <c r="F190" s="18">
        <f t="shared" si="2"/>
        <v>-1.008148435</v>
      </c>
    </row>
    <row r="191">
      <c r="A191" s="14">
        <v>0.70905</v>
      </c>
      <c r="B191" s="14">
        <v>0.328</v>
      </c>
      <c r="C191" s="14">
        <v>0.05292</v>
      </c>
      <c r="D191" s="25">
        <v>190.0</v>
      </c>
      <c r="E191" s="26">
        <f t="shared" si="1"/>
        <v>0.1575228595</v>
      </c>
      <c r="F191" s="18">
        <f t="shared" si="2"/>
        <v>-1.004690885</v>
      </c>
    </row>
    <row r="192">
      <c r="A192" s="14">
        <v>0.70928055</v>
      </c>
      <c r="B192" s="14">
        <v>0.32818</v>
      </c>
      <c r="C192" s="14">
        <v>0.053</v>
      </c>
      <c r="D192" s="25">
        <v>191.0</v>
      </c>
      <c r="E192" s="26">
        <f t="shared" si="1"/>
        <v>0.1583541147</v>
      </c>
      <c r="F192" s="18">
        <f t="shared" si="2"/>
        <v>-1.001245304</v>
      </c>
    </row>
    <row r="193">
      <c r="A193" s="14">
        <v>0.71</v>
      </c>
      <c r="B193" s="14">
        <v>0.32878</v>
      </c>
      <c r="C193" s="14">
        <v>0.053</v>
      </c>
      <c r="D193" s="25">
        <v>192.0</v>
      </c>
      <c r="E193" s="26">
        <f t="shared" si="1"/>
        <v>0.1591853699</v>
      </c>
      <c r="F193" s="18">
        <f t="shared" si="2"/>
        <v>-0.9978115686</v>
      </c>
    </row>
    <row r="194">
      <c r="A194" s="14">
        <v>0.71</v>
      </c>
      <c r="B194" s="14">
        <v>0.329</v>
      </c>
      <c r="C194" s="14">
        <v>0.053</v>
      </c>
      <c r="D194" s="25">
        <v>193.0</v>
      </c>
      <c r="E194" s="26">
        <f t="shared" si="1"/>
        <v>0.1600166251</v>
      </c>
      <c r="F194" s="18">
        <f t="shared" si="2"/>
        <v>-0.994389558</v>
      </c>
    </row>
    <row r="195">
      <c r="A195" s="14">
        <v>0.711</v>
      </c>
      <c r="B195" s="14">
        <v>0.332</v>
      </c>
      <c r="C195" s="14">
        <v>0.05301</v>
      </c>
      <c r="D195" s="25">
        <v>194.0</v>
      </c>
      <c r="E195" s="26">
        <f t="shared" si="1"/>
        <v>0.1608478803</v>
      </c>
      <c r="F195" s="18">
        <f t="shared" si="2"/>
        <v>-0.9909791524</v>
      </c>
    </row>
    <row r="196">
      <c r="A196" s="14">
        <v>0.712</v>
      </c>
      <c r="B196" s="14">
        <v>0.33207</v>
      </c>
      <c r="C196" s="14">
        <v>0.053581882</v>
      </c>
      <c r="D196" s="25">
        <v>195.0</v>
      </c>
      <c r="E196" s="26">
        <f t="shared" si="1"/>
        <v>0.1616791355</v>
      </c>
      <c r="F196" s="18">
        <f t="shared" si="2"/>
        <v>-0.987580234</v>
      </c>
    </row>
    <row r="197">
      <c r="A197" s="14">
        <v>0.712943614</v>
      </c>
      <c r="B197" s="14">
        <v>0.332881182</v>
      </c>
      <c r="C197" s="14">
        <v>0.05399</v>
      </c>
      <c r="D197" s="25">
        <v>196.0</v>
      </c>
      <c r="E197" s="26">
        <f t="shared" si="1"/>
        <v>0.1625103907</v>
      </c>
      <c r="F197" s="18">
        <f t="shared" si="2"/>
        <v>-0.9841926866</v>
      </c>
    </row>
    <row r="198">
      <c r="A198" s="14">
        <v>0.714</v>
      </c>
      <c r="B198" s="14">
        <v>0.3337</v>
      </c>
      <c r="C198" s="14">
        <v>0.054</v>
      </c>
      <c r="D198" s="25">
        <v>197.0</v>
      </c>
      <c r="E198" s="26">
        <f t="shared" si="1"/>
        <v>0.1633416459</v>
      </c>
      <c r="F198" s="18">
        <f t="shared" si="2"/>
        <v>-0.9808163958</v>
      </c>
    </row>
    <row r="199">
      <c r="A199" s="14">
        <v>0.7146</v>
      </c>
      <c r="B199" s="14">
        <v>0.334</v>
      </c>
      <c r="C199" s="14">
        <v>0.054</v>
      </c>
      <c r="D199" s="25">
        <v>198.0</v>
      </c>
      <c r="E199" s="26">
        <f t="shared" si="1"/>
        <v>0.1641729011</v>
      </c>
      <c r="F199" s="18">
        <f t="shared" si="2"/>
        <v>-0.9774512488</v>
      </c>
    </row>
    <row r="200">
      <c r="A200" s="14">
        <v>0.71478</v>
      </c>
      <c r="B200" s="14">
        <v>0.334</v>
      </c>
      <c r="C200" s="14">
        <v>0.054</v>
      </c>
      <c r="D200" s="25">
        <v>199.0</v>
      </c>
      <c r="E200" s="26">
        <f t="shared" si="1"/>
        <v>0.1650041563</v>
      </c>
      <c r="F200" s="18">
        <f t="shared" si="2"/>
        <v>-0.9740971344</v>
      </c>
    </row>
    <row r="201">
      <c r="A201" s="14">
        <v>0.716</v>
      </c>
      <c r="B201" s="14">
        <v>0.334</v>
      </c>
      <c r="C201" s="14">
        <v>0.055</v>
      </c>
      <c r="D201" s="25">
        <v>200.0</v>
      </c>
      <c r="E201" s="26">
        <f t="shared" si="1"/>
        <v>0.1658354115</v>
      </c>
      <c r="F201" s="18">
        <f t="shared" si="2"/>
        <v>-0.970753943</v>
      </c>
    </row>
    <row r="202">
      <c r="A202" s="14">
        <v>0.718</v>
      </c>
      <c r="B202" s="14">
        <v>0.336384207</v>
      </c>
      <c r="C202" s="14">
        <v>0.055</v>
      </c>
      <c r="D202" s="25">
        <v>201.0</v>
      </c>
      <c r="E202" s="26">
        <f t="shared" si="1"/>
        <v>0.1666666667</v>
      </c>
      <c r="F202" s="18">
        <f t="shared" si="2"/>
        <v>-0.9674215667</v>
      </c>
    </row>
    <row r="203">
      <c r="A203" s="14">
        <v>0.718</v>
      </c>
      <c r="B203" s="14">
        <v>0.33916</v>
      </c>
      <c r="C203" s="14">
        <v>0.055</v>
      </c>
      <c r="D203" s="25">
        <v>202.0</v>
      </c>
      <c r="E203" s="26">
        <f t="shared" si="1"/>
        <v>0.1674979219</v>
      </c>
      <c r="F203" s="18">
        <f t="shared" si="2"/>
        <v>-0.9640998988</v>
      </c>
    </row>
    <row r="204">
      <c r="A204" s="14">
        <v>0.72</v>
      </c>
      <c r="B204" s="14">
        <v>0.34037</v>
      </c>
      <c r="C204" s="14">
        <v>0.055</v>
      </c>
      <c r="D204" s="25">
        <v>203.0</v>
      </c>
      <c r="E204" s="26">
        <f t="shared" si="1"/>
        <v>0.1683291771</v>
      </c>
      <c r="F204" s="18">
        <f t="shared" si="2"/>
        <v>-0.9607888343</v>
      </c>
    </row>
    <row r="205">
      <c r="A205" s="14">
        <v>0.721151352</v>
      </c>
      <c r="B205" s="14">
        <v>0.343</v>
      </c>
      <c r="C205" s="14">
        <v>0.055</v>
      </c>
      <c r="D205" s="25">
        <v>204.0</v>
      </c>
      <c r="E205" s="26">
        <f t="shared" si="1"/>
        <v>0.1691604323</v>
      </c>
      <c r="F205" s="18">
        <f t="shared" si="2"/>
        <v>-0.9574882698</v>
      </c>
    </row>
    <row r="206">
      <c r="A206" s="14">
        <v>0.722</v>
      </c>
      <c r="B206" s="14">
        <v>0.34334</v>
      </c>
      <c r="C206" s="14">
        <v>0.055</v>
      </c>
      <c r="D206" s="25">
        <v>205.0</v>
      </c>
      <c r="E206" s="26">
        <f t="shared" si="1"/>
        <v>0.1699916874</v>
      </c>
      <c r="F206" s="18">
        <f t="shared" si="2"/>
        <v>-0.954198103</v>
      </c>
    </row>
    <row r="207">
      <c r="A207" s="14">
        <v>0.723616004</v>
      </c>
      <c r="B207" s="14">
        <v>0.344</v>
      </c>
      <c r="C207" s="14">
        <v>0.055267781</v>
      </c>
      <c r="D207" s="25">
        <v>206.0</v>
      </c>
      <c r="E207" s="26">
        <f t="shared" si="1"/>
        <v>0.1708229426</v>
      </c>
      <c r="F207" s="18">
        <f t="shared" si="2"/>
        <v>-0.9509182334</v>
      </c>
    </row>
    <row r="208">
      <c r="A208" s="14">
        <v>0.72368</v>
      </c>
      <c r="B208" s="14">
        <v>0.345</v>
      </c>
      <c r="C208" s="14">
        <v>0.056</v>
      </c>
      <c r="D208" s="25">
        <v>207.0</v>
      </c>
      <c r="E208" s="26">
        <f t="shared" si="1"/>
        <v>0.1716541978</v>
      </c>
      <c r="F208" s="18">
        <f t="shared" si="2"/>
        <v>-0.9476485615</v>
      </c>
    </row>
    <row r="209">
      <c r="A209" s="14">
        <v>0.723874032</v>
      </c>
      <c r="B209" s="14">
        <v>0.346</v>
      </c>
      <c r="C209" s="14">
        <v>0.056</v>
      </c>
      <c r="D209" s="25">
        <v>208.0</v>
      </c>
      <c r="E209" s="26">
        <f t="shared" si="1"/>
        <v>0.172485453</v>
      </c>
      <c r="F209" s="18">
        <f t="shared" si="2"/>
        <v>-0.9443889894</v>
      </c>
    </row>
    <row r="210">
      <c r="A210" s="14">
        <v>0.724</v>
      </c>
      <c r="B210" s="14">
        <v>0.34678</v>
      </c>
      <c r="C210" s="14">
        <v>0.056</v>
      </c>
      <c r="D210" s="25">
        <v>209.0</v>
      </c>
      <c r="E210" s="26">
        <f t="shared" si="1"/>
        <v>0.1733167082</v>
      </c>
      <c r="F210" s="18">
        <f t="shared" si="2"/>
        <v>-0.9411394205</v>
      </c>
    </row>
    <row r="211">
      <c r="A211" s="14">
        <v>0.724</v>
      </c>
      <c r="B211" s="14">
        <v>0.34807986</v>
      </c>
      <c r="C211" s="14">
        <v>0.056</v>
      </c>
      <c r="D211" s="25">
        <v>210.0</v>
      </c>
      <c r="E211" s="26">
        <f t="shared" si="1"/>
        <v>0.1741479634</v>
      </c>
      <c r="F211" s="18">
        <f t="shared" si="2"/>
        <v>-0.9378997596</v>
      </c>
    </row>
    <row r="212">
      <c r="A212" s="14">
        <v>0.727</v>
      </c>
      <c r="B212" s="14">
        <v>0.348587513</v>
      </c>
      <c r="C212" s="14">
        <v>0.056</v>
      </c>
      <c r="D212" s="25">
        <v>211.0</v>
      </c>
      <c r="E212" s="26">
        <f t="shared" si="1"/>
        <v>0.1749792186</v>
      </c>
      <c r="F212" s="18">
        <f t="shared" si="2"/>
        <v>-0.9346699124</v>
      </c>
    </row>
    <row r="213">
      <c r="A213" s="14">
        <v>0.72803</v>
      </c>
      <c r="B213" s="14">
        <v>0.349</v>
      </c>
      <c r="C213" s="14">
        <v>0.056565076</v>
      </c>
      <c r="D213" s="25">
        <v>212.0</v>
      </c>
      <c r="E213" s="26">
        <f t="shared" si="1"/>
        <v>0.1758104738</v>
      </c>
      <c r="F213" s="18">
        <f t="shared" si="2"/>
        <v>-0.9314497864</v>
      </c>
    </row>
    <row r="214">
      <c r="A214" s="14">
        <v>0.728601098</v>
      </c>
      <c r="B214" s="14">
        <v>0.35</v>
      </c>
      <c r="C214" s="14">
        <v>0.057</v>
      </c>
      <c r="D214" s="25">
        <v>213.0</v>
      </c>
      <c r="E214" s="26">
        <f t="shared" si="1"/>
        <v>0.176641729</v>
      </c>
      <c r="F214" s="18">
        <f t="shared" si="2"/>
        <v>-0.9282392899</v>
      </c>
    </row>
    <row r="215">
      <c r="A215" s="14">
        <v>0.729</v>
      </c>
      <c r="B215" s="14">
        <v>0.35</v>
      </c>
      <c r="C215" s="14">
        <v>0.057069719</v>
      </c>
      <c r="D215" s="25">
        <v>214.0</v>
      </c>
      <c r="E215" s="26">
        <f t="shared" si="1"/>
        <v>0.1774729842</v>
      </c>
      <c r="F215" s="18">
        <f t="shared" si="2"/>
        <v>-0.9250383326</v>
      </c>
    </row>
    <row r="216">
      <c r="A216" s="14">
        <v>0.73</v>
      </c>
      <c r="B216" s="14">
        <v>0.35068</v>
      </c>
      <c r="C216" s="14">
        <v>0.05747</v>
      </c>
      <c r="D216" s="25">
        <v>215.0</v>
      </c>
      <c r="E216" s="26">
        <f t="shared" si="1"/>
        <v>0.1783042394</v>
      </c>
      <c r="F216" s="18">
        <f t="shared" si="2"/>
        <v>-0.9218468254</v>
      </c>
    </row>
    <row r="217">
      <c r="A217" s="14">
        <v>0.731468976</v>
      </c>
      <c r="B217" s="14">
        <v>0.351</v>
      </c>
      <c r="C217" s="14">
        <v>0.057471618</v>
      </c>
      <c r="D217" s="25">
        <v>216.0</v>
      </c>
      <c r="E217" s="26">
        <f t="shared" si="1"/>
        <v>0.1791354946</v>
      </c>
      <c r="F217" s="18">
        <f t="shared" si="2"/>
        <v>-0.9186646804</v>
      </c>
    </row>
    <row r="218">
      <c r="A218" s="14">
        <v>0.732</v>
      </c>
      <c r="B218" s="14">
        <v>0.35327</v>
      </c>
      <c r="C218" s="14">
        <v>0.05786</v>
      </c>
      <c r="D218" s="25">
        <v>217.0</v>
      </c>
      <c r="E218" s="26">
        <f t="shared" si="1"/>
        <v>0.1799667498</v>
      </c>
      <c r="F218" s="18">
        <f t="shared" si="2"/>
        <v>-0.9154918108</v>
      </c>
    </row>
    <row r="219">
      <c r="A219" s="14">
        <v>0.732</v>
      </c>
      <c r="B219" s="14">
        <v>0.354</v>
      </c>
      <c r="C219" s="14">
        <v>0.05839</v>
      </c>
      <c r="D219" s="25">
        <v>218.0</v>
      </c>
      <c r="E219" s="26">
        <f t="shared" si="1"/>
        <v>0.180798005</v>
      </c>
      <c r="F219" s="18">
        <f t="shared" si="2"/>
        <v>-0.9123281308</v>
      </c>
    </row>
    <row r="220">
      <c r="A220" s="14">
        <v>0.735131741</v>
      </c>
      <c r="B220" s="14">
        <v>0.355</v>
      </c>
      <c r="C220" s="14">
        <v>0.059</v>
      </c>
      <c r="D220" s="25">
        <v>219.0</v>
      </c>
      <c r="E220" s="26">
        <f t="shared" si="1"/>
        <v>0.1816292602</v>
      </c>
      <c r="F220" s="18">
        <f t="shared" si="2"/>
        <v>-0.909173556</v>
      </c>
    </row>
    <row r="221">
      <c r="A221" s="14">
        <v>0.73721689</v>
      </c>
      <c r="B221" s="14">
        <v>0.355111539</v>
      </c>
      <c r="C221" s="14">
        <v>0.059</v>
      </c>
      <c r="D221" s="25">
        <v>220.0</v>
      </c>
      <c r="E221" s="26">
        <f t="shared" si="1"/>
        <v>0.1824605154</v>
      </c>
      <c r="F221" s="18">
        <f t="shared" si="2"/>
        <v>-0.9060280028</v>
      </c>
    </row>
    <row r="222">
      <c r="A222" s="14">
        <v>0.738</v>
      </c>
      <c r="B222" s="14">
        <v>0.356</v>
      </c>
      <c r="C222" s="14">
        <v>0.059</v>
      </c>
      <c r="D222" s="25">
        <v>221.0</v>
      </c>
      <c r="E222" s="26">
        <f t="shared" si="1"/>
        <v>0.1832917706</v>
      </c>
      <c r="F222" s="18">
        <f t="shared" si="2"/>
        <v>-0.9028913888</v>
      </c>
    </row>
    <row r="223">
      <c r="A223" s="14">
        <v>0.74</v>
      </c>
      <c r="B223" s="14">
        <v>0.356</v>
      </c>
      <c r="C223" s="14">
        <v>0.059</v>
      </c>
      <c r="D223" s="25">
        <v>222.0</v>
      </c>
      <c r="E223" s="26">
        <f t="shared" si="1"/>
        <v>0.1841230258</v>
      </c>
      <c r="F223" s="18">
        <f t="shared" si="2"/>
        <v>-0.8997636328</v>
      </c>
    </row>
    <row r="224">
      <c r="A224" s="14">
        <v>0.74</v>
      </c>
      <c r="B224" s="14">
        <v>0.356</v>
      </c>
      <c r="C224" s="14">
        <v>0.05907</v>
      </c>
      <c r="D224" s="25">
        <v>223.0</v>
      </c>
      <c r="E224" s="26">
        <f t="shared" si="1"/>
        <v>0.184954281</v>
      </c>
      <c r="F224" s="18">
        <f t="shared" si="2"/>
        <v>-0.8966446543</v>
      </c>
    </row>
    <row r="225">
      <c r="A225" s="14">
        <v>0.74173</v>
      </c>
      <c r="B225" s="14">
        <v>0.357</v>
      </c>
      <c r="C225" s="14">
        <v>0.059307806</v>
      </c>
      <c r="D225" s="25">
        <v>224.0</v>
      </c>
      <c r="E225" s="26">
        <f t="shared" si="1"/>
        <v>0.1857855362</v>
      </c>
      <c r="F225" s="18">
        <f t="shared" si="2"/>
        <v>-0.8935343742</v>
      </c>
    </row>
    <row r="226">
      <c r="A226" s="14">
        <v>0.74302</v>
      </c>
      <c r="B226" s="14">
        <v>0.35733</v>
      </c>
      <c r="C226" s="14">
        <v>0.059739888</v>
      </c>
      <c r="D226" s="25">
        <v>225.0</v>
      </c>
      <c r="E226" s="26">
        <f t="shared" si="1"/>
        <v>0.1866167914</v>
      </c>
      <c r="F226" s="18">
        <f t="shared" si="2"/>
        <v>-0.890432714</v>
      </c>
    </row>
    <row r="227">
      <c r="A227" s="14">
        <v>0.743307352</v>
      </c>
      <c r="B227" s="14">
        <v>0.359</v>
      </c>
      <c r="C227" s="14">
        <v>0.05989</v>
      </c>
      <c r="D227" s="25">
        <v>226.0</v>
      </c>
      <c r="E227" s="26">
        <f t="shared" si="1"/>
        <v>0.1874480466</v>
      </c>
      <c r="F227" s="18">
        <f t="shared" si="2"/>
        <v>-0.8873395965</v>
      </c>
    </row>
    <row r="228">
      <c r="A228" s="14">
        <v>0.744</v>
      </c>
      <c r="B228" s="14">
        <v>0.359</v>
      </c>
      <c r="C228" s="14">
        <v>0.06</v>
      </c>
      <c r="D228" s="25">
        <v>227.0</v>
      </c>
      <c r="E228" s="26">
        <f t="shared" si="1"/>
        <v>0.1882793017</v>
      </c>
      <c r="F228" s="18">
        <f t="shared" si="2"/>
        <v>-0.8842549453</v>
      </c>
    </row>
    <row r="229">
      <c r="A229" s="14">
        <v>0.746</v>
      </c>
      <c r="B229" s="14">
        <v>0.35972</v>
      </c>
      <c r="C229" s="14">
        <v>0.06</v>
      </c>
      <c r="D229" s="25">
        <v>228.0</v>
      </c>
      <c r="E229" s="26">
        <f t="shared" si="1"/>
        <v>0.1891105569</v>
      </c>
      <c r="F229" s="18">
        <f t="shared" si="2"/>
        <v>-0.8811786849</v>
      </c>
    </row>
    <row r="230">
      <c r="A230" s="14">
        <v>0.746</v>
      </c>
      <c r="B230" s="14">
        <v>0.36023</v>
      </c>
      <c r="C230" s="14">
        <v>0.06</v>
      </c>
      <c r="D230" s="25">
        <v>229.0</v>
      </c>
      <c r="E230" s="26">
        <f t="shared" si="1"/>
        <v>0.1899418121</v>
      </c>
      <c r="F230" s="18">
        <f t="shared" si="2"/>
        <v>-0.878110741</v>
      </c>
    </row>
    <row r="231">
      <c r="A231" s="14">
        <v>0.747</v>
      </c>
      <c r="B231" s="14">
        <v>0.361</v>
      </c>
      <c r="C231" s="14">
        <v>0.060477726</v>
      </c>
      <c r="D231" s="25">
        <v>230.0</v>
      </c>
      <c r="E231" s="26">
        <f t="shared" si="1"/>
        <v>0.1907730673</v>
      </c>
      <c r="F231" s="18">
        <f t="shared" si="2"/>
        <v>-0.8750510399</v>
      </c>
    </row>
    <row r="232">
      <c r="A232" s="14">
        <v>0.747</v>
      </c>
      <c r="B232" s="14">
        <v>0.361466587</v>
      </c>
      <c r="C232" s="14">
        <v>0.060929015</v>
      </c>
      <c r="D232" s="25">
        <v>231.0</v>
      </c>
      <c r="E232" s="26">
        <f t="shared" si="1"/>
        <v>0.1916043225</v>
      </c>
      <c r="F232" s="18">
        <f t="shared" si="2"/>
        <v>-0.871999509</v>
      </c>
    </row>
    <row r="233">
      <c r="A233" s="14">
        <v>0.747694969</v>
      </c>
      <c r="B233" s="14">
        <v>0.362</v>
      </c>
      <c r="C233" s="14">
        <v>0.061</v>
      </c>
      <c r="D233" s="25">
        <v>232.0</v>
      </c>
      <c r="E233" s="26">
        <f t="shared" si="1"/>
        <v>0.1924355777</v>
      </c>
      <c r="F233" s="18">
        <f t="shared" si="2"/>
        <v>-0.8689560765</v>
      </c>
    </row>
    <row r="234">
      <c r="A234" s="14">
        <v>0.748</v>
      </c>
      <c r="B234" s="14">
        <v>0.363</v>
      </c>
      <c r="C234" s="14">
        <v>0.061</v>
      </c>
      <c r="D234" s="25">
        <v>233.0</v>
      </c>
      <c r="E234" s="26">
        <f t="shared" si="1"/>
        <v>0.1932668329</v>
      </c>
      <c r="F234" s="18">
        <f t="shared" si="2"/>
        <v>-0.8659206715</v>
      </c>
    </row>
    <row r="235">
      <c r="A235" s="14">
        <v>0.75</v>
      </c>
      <c r="B235" s="14">
        <v>0.363658696</v>
      </c>
      <c r="C235" s="14">
        <v>0.061</v>
      </c>
      <c r="D235" s="25">
        <v>234.0</v>
      </c>
      <c r="E235" s="26">
        <f t="shared" si="1"/>
        <v>0.1940980881</v>
      </c>
      <c r="F235" s="18">
        <f t="shared" si="2"/>
        <v>-0.8628932239</v>
      </c>
    </row>
    <row r="236">
      <c r="A236" s="14">
        <v>0.753</v>
      </c>
      <c r="B236" s="14">
        <v>0.36432</v>
      </c>
      <c r="C236" s="14">
        <v>0.06115783</v>
      </c>
      <c r="D236" s="25">
        <v>235.0</v>
      </c>
      <c r="E236" s="26">
        <f t="shared" si="1"/>
        <v>0.1949293433</v>
      </c>
      <c r="F236" s="18">
        <f t="shared" si="2"/>
        <v>-0.8598736645</v>
      </c>
    </row>
    <row r="237">
      <c r="A237" s="14">
        <v>0.754372597</v>
      </c>
      <c r="B237" s="14">
        <v>0.36453</v>
      </c>
      <c r="C237" s="14">
        <v>0.06126</v>
      </c>
      <c r="D237" s="25">
        <v>236.0</v>
      </c>
      <c r="E237" s="26">
        <f t="shared" si="1"/>
        <v>0.1957605985</v>
      </c>
      <c r="F237" s="18">
        <f t="shared" si="2"/>
        <v>-0.8568619249</v>
      </c>
    </row>
    <row r="238">
      <c r="A238" s="14">
        <v>0.75473</v>
      </c>
      <c r="B238" s="14">
        <v>0.367</v>
      </c>
      <c r="C238" s="14">
        <v>0.06137</v>
      </c>
      <c r="D238" s="25">
        <v>237.0</v>
      </c>
      <c r="E238" s="26">
        <f t="shared" si="1"/>
        <v>0.1965918537</v>
      </c>
      <c r="F238" s="18">
        <f t="shared" si="2"/>
        <v>-0.8538579376</v>
      </c>
    </row>
    <row r="239">
      <c r="A239" s="14">
        <v>0.755</v>
      </c>
      <c r="B239" s="14">
        <v>0.36703</v>
      </c>
      <c r="C239" s="14">
        <v>0.06146</v>
      </c>
      <c r="D239" s="25">
        <v>238.0</v>
      </c>
      <c r="E239" s="26">
        <f t="shared" si="1"/>
        <v>0.1974231089</v>
      </c>
      <c r="F239" s="18">
        <f t="shared" si="2"/>
        <v>-0.8508616358</v>
      </c>
    </row>
    <row r="240">
      <c r="A240" s="14">
        <v>0.75596</v>
      </c>
      <c r="B240" s="14">
        <v>0.36712</v>
      </c>
      <c r="C240" s="14">
        <v>0.062</v>
      </c>
      <c r="D240" s="25">
        <v>239.0</v>
      </c>
      <c r="E240" s="26">
        <f t="shared" si="1"/>
        <v>0.1982543641</v>
      </c>
      <c r="F240" s="18">
        <f t="shared" si="2"/>
        <v>-0.8478729534</v>
      </c>
    </row>
    <row r="241">
      <c r="A241" s="14">
        <v>0.75602</v>
      </c>
      <c r="B241" s="14">
        <v>0.36772</v>
      </c>
      <c r="C241" s="14">
        <v>0.062</v>
      </c>
      <c r="D241" s="25">
        <v>240.0</v>
      </c>
      <c r="E241" s="26">
        <f t="shared" si="1"/>
        <v>0.1990856193</v>
      </c>
      <c r="F241" s="18">
        <f t="shared" si="2"/>
        <v>-0.8448918253</v>
      </c>
    </row>
    <row r="242">
      <c r="A242" s="14">
        <v>0.75695</v>
      </c>
      <c r="B242" s="14">
        <v>0.37</v>
      </c>
      <c r="C242" s="14">
        <v>0.06232</v>
      </c>
      <c r="D242" s="25">
        <v>241.0</v>
      </c>
      <c r="E242" s="26">
        <f t="shared" si="1"/>
        <v>0.1999168745</v>
      </c>
      <c r="F242" s="18">
        <f t="shared" si="2"/>
        <v>-0.8419181871</v>
      </c>
    </row>
    <row r="243">
      <c r="A243" s="14">
        <v>0.757</v>
      </c>
      <c r="B243" s="14">
        <v>0.37012</v>
      </c>
      <c r="C243" s="14">
        <v>0.063</v>
      </c>
      <c r="D243" s="25">
        <v>242.0</v>
      </c>
      <c r="E243" s="26">
        <f t="shared" si="1"/>
        <v>0.2007481297</v>
      </c>
      <c r="F243" s="18">
        <f t="shared" si="2"/>
        <v>-0.8389519749</v>
      </c>
    </row>
    <row r="244">
      <c r="A244" s="14">
        <v>0.757479429</v>
      </c>
      <c r="B244" s="14">
        <v>0.3703</v>
      </c>
      <c r="C244" s="14">
        <v>0.063</v>
      </c>
      <c r="D244" s="25">
        <v>243.0</v>
      </c>
      <c r="E244" s="26">
        <f t="shared" si="1"/>
        <v>0.2015793849</v>
      </c>
      <c r="F244" s="18">
        <f t="shared" si="2"/>
        <v>-0.8359931259</v>
      </c>
    </row>
    <row r="245">
      <c r="A245" s="14">
        <v>0.76042</v>
      </c>
      <c r="B245" s="14">
        <v>0.371</v>
      </c>
      <c r="C245" s="14">
        <v>0.06332</v>
      </c>
      <c r="D245" s="25">
        <v>244.0</v>
      </c>
      <c r="E245" s="26">
        <f t="shared" si="1"/>
        <v>0.2024106401</v>
      </c>
      <c r="F245" s="18">
        <f t="shared" si="2"/>
        <v>-0.8330415778</v>
      </c>
    </row>
    <row r="246">
      <c r="A246" s="14">
        <v>0.76062</v>
      </c>
      <c r="B246" s="14">
        <v>0.37269</v>
      </c>
      <c r="C246" s="14">
        <v>0.06358</v>
      </c>
      <c r="D246" s="25">
        <v>245.0</v>
      </c>
      <c r="E246" s="26">
        <f t="shared" si="1"/>
        <v>0.2032418953</v>
      </c>
      <c r="F246" s="18">
        <f t="shared" si="2"/>
        <v>-0.8300972691</v>
      </c>
    </row>
    <row r="247">
      <c r="A247" s="14">
        <v>0.762</v>
      </c>
      <c r="B247" s="14">
        <v>0.37408</v>
      </c>
      <c r="C247" s="14">
        <v>0.063829236</v>
      </c>
      <c r="D247" s="25">
        <v>246.0</v>
      </c>
      <c r="E247" s="26">
        <f t="shared" si="1"/>
        <v>0.2040731505</v>
      </c>
      <c r="F247" s="18">
        <f t="shared" si="2"/>
        <v>-0.8271601389</v>
      </c>
    </row>
    <row r="248">
      <c r="A248" s="14">
        <v>0.7624</v>
      </c>
      <c r="B248" s="14">
        <v>0.375</v>
      </c>
      <c r="C248" s="14">
        <v>0.06398</v>
      </c>
      <c r="D248" s="25">
        <v>247.0</v>
      </c>
      <c r="E248" s="26">
        <f t="shared" si="1"/>
        <v>0.2049044057</v>
      </c>
      <c r="F248" s="18">
        <f t="shared" si="2"/>
        <v>-0.8242301271</v>
      </c>
    </row>
    <row r="249">
      <c r="A249" s="14">
        <v>0.763092756</v>
      </c>
      <c r="B249" s="14">
        <v>0.37502</v>
      </c>
      <c r="C249" s="14">
        <v>0.064</v>
      </c>
      <c r="D249" s="25">
        <v>248.0</v>
      </c>
      <c r="E249" s="26">
        <f t="shared" si="1"/>
        <v>0.2057356608</v>
      </c>
      <c r="F249" s="18">
        <f t="shared" si="2"/>
        <v>-0.8213071743</v>
      </c>
    </row>
    <row r="250">
      <c r="A250" s="14">
        <v>0.764</v>
      </c>
      <c r="B250" s="14">
        <v>0.37545</v>
      </c>
      <c r="C250" s="14">
        <v>0.064</v>
      </c>
      <c r="D250" s="25">
        <v>249.0</v>
      </c>
      <c r="E250" s="26">
        <f t="shared" si="1"/>
        <v>0.206566916</v>
      </c>
      <c r="F250" s="18">
        <f t="shared" si="2"/>
        <v>-0.8183912217</v>
      </c>
    </row>
    <row r="251">
      <c r="A251" s="14">
        <v>0.764994621</v>
      </c>
      <c r="B251" s="14">
        <v>0.376895279</v>
      </c>
      <c r="C251" s="14">
        <v>0.064</v>
      </c>
      <c r="D251" s="25">
        <v>250.0</v>
      </c>
      <c r="E251" s="26">
        <f t="shared" si="1"/>
        <v>0.2073981712</v>
      </c>
      <c r="F251" s="18">
        <f t="shared" si="2"/>
        <v>-0.8154822111</v>
      </c>
    </row>
    <row r="252">
      <c r="A252" s="14">
        <v>0.765</v>
      </c>
      <c r="B252" s="14">
        <v>0.37709</v>
      </c>
      <c r="C252" s="14">
        <v>0.064</v>
      </c>
      <c r="D252" s="25">
        <v>251.0</v>
      </c>
      <c r="E252" s="26">
        <f t="shared" si="1"/>
        <v>0.2082294264</v>
      </c>
      <c r="F252" s="18">
        <f t="shared" si="2"/>
        <v>-0.8125800851</v>
      </c>
    </row>
    <row r="253">
      <c r="A253" s="14">
        <v>0.765</v>
      </c>
      <c r="B253" s="14">
        <v>0.37725</v>
      </c>
      <c r="C253" s="14">
        <v>0.064</v>
      </c>
      <c r="D253" s="25">
        <v>252.0</v>
      </c>
      <c r="E253" s="26">
        <f t="shared" si="1"/>
        <v>0.2090606816</v>
      </c>
      <c r="F253" s="18">
        <f t="shared" si="2"/>
        <v>-0.8096847868</v>
      </c>
    </row>
    <row r="254">
      <c r="A254" s="14">
        <v>0.766</v>
      </c>
      <c r="B254" s="14">
        <v>0.37789</v>
      </c>
      <c r="C254" s="14">
        <v>0.064</v>
      </c>
      <c r="D254" s="25">
        <v>253.0</v>
      </c>
      <c r="E254" s="26">
        <f t="shared" si="1"/>
        <v>0.2098919368</v>
      </c>
      <c r="F254" s="18">
        <f t="shared" si="2"/>
        <v>-0.8067962601</v>
      </c>
    </row>
    <row r="255">
      <c r="A255" s="14">
        <v>0.766</v>
      </c>
      <c r="B255" s="14">
        <v>0.377922267</v>
      </c>
      <c r="C255" s="14">
        <v>0.064</v>
      </c>
      <c r="D255" s="25">
        <v>254.0</v>
      </c>
      <c r="E255" s="26">
        <f t="shared" si="1"/>
        <v>0.210723192</v>
      </c>
      <c r="F255" s="18">
        <f t="shared" si="2"/>
        <v>-0.8039144493</v>
      </c>
    </row>
    <row r="256">
      <c r="A256" s="14">
        <v>0.767</v>
      </c>
      <c r="B256" s="14">
        <v>0.37904</v>
      </c>
      <c r="C256" s="14">
        <v>0.06413</v>
      </c>
      <c r="D256" s="25">
        <v>255.0</v>
      </c>
      <c r="E256" s="26">
        <f t="shared" si="1"/>
        <v>0.2115544472</v>
      </c>
      <c r="F256" s="18">
        <f t="shared" si="2"/>
        <v>-0.8010392995</v>
      </c>
    </row>
    <row r="257">
      <c r="A257" s="14">
        <v>0.768</v>
      </c>
      <c r="B257" s="14">
        <v>0.37938</v>
      </c>
      <c r="C257" s="14">
        <v>0.06442</v>
      </c>
      <c r="D257" s="25">
        <v>256.0</v>
      </c>
      <c r="E257" s="26">
        <f t="shared" si="1"/>
        <v>0.2123857024</v>
      </c>
      <c r="F257" s="18">
        <f t="shared" si="2"/>
        <v>-0.7981707563</v>
      </c>
    </row>
    <row r="258">
      <c r="A258" s="14">
        <v>0.77</v>
      </c>
      <c r="B258" s="14">
        <v>0.38</v>
      </c>
      <c r="C258" s="14">
        <v>0.064641319</v>
      </c>
      <c r="D258" s="25">
        <v>257.0</v>
      </c>
      <c r="E258" s="26">
        <f t="shared" si="1"/>
        <v>0.2132169576</v>
      </c>
      <c r="F258" s="18">
        <f t="shared" si="2"/>
        <v>-0.7953087658</v>
      </c>
    </row>
    <row r="259">
      <c r="A259" s="14">
        <v>0.770290196</v>
      </c>
      <c r="B259" s="14">
        <v>0.38041</v>
      </c>
      <c r="C259" s="14">
        <v>0.065</v>
      </c>
      <c r="D259" s="25">
        <v>258.0</v>
      </c>
      <c r="E259" s="26">
        <f t="shared" si="1"/>
        <v>0.2140482128</v>
      </c>
      <c r="F259" s="18">
        <f t="shared" si="2"/>
        <v>-0.792453275</v>
      </c>
    </row>
    <row r="260">
      <c r="A260" s="14">
        <v>0.77265</v>
      </c>
      <c r="B260" s="14">
        <v>0.380426139</v>
      </c>
      <c r="C260" s="14">
        <v>0.06547</v>
      </c>
      <c r="D260" s="25">
        <v>259.0</v>
      </c>
      <c r="E260" s="26">
        <f t="shared" si="1"/>
        <v>0.214879468</v>
      </c>
      <c r="F260" s="18">
        <f t="shared" si="2"/>
        <v>-0.7896042311</v>
      </c>
    </row>
    <row r="261">
      <c r="A261" s="14">
        <v>0.773080647</v>
      </c>
      <c r="B261" s="14">
        <v>0.381</v>
      </c>
      <c r="C261" s="14">
        <v>0.065600708</v>
      </c>
      <c r="D261" s="25">
        <v>260.0</v>
      </c>
      <c r="E261" s="26">
        <f t="shared" si="1"/>
        <v>0.2157107232</v>
      </c>
      <c r="F261" s="18">
        <f t="shared" si="2"/>
        <v>-0.7867615821</v>
      </c>
    </row>
    <row r="262">
      <c r="A262" s="14">
        <v>0.7737</v>
      </c>
      <c r="B262" s="14">
        <v>0.381</v>
      </c>
      <c r="C262" s="14">
        <v>0.066</v>
      </c>
      <c r="D262" s="25">
        <v>261.0</v>
      </c>
      <c r="E262" s="26">
        <f t="shared" si="1"/>
        <v>0.2165419784</v>
      </c>
      <c r="F262" s="18">
        <f t="shared" si="2"/>
        <v>-0.7839252764</v>
      </c>
    </row>
    <row r="263">
      <c r="A263" s="14">
        <v>0.774</v>
      </c>
      <c r="B263" s="14">
        <v>0.381498635</v>
      </c>
      <c r="C263" s="14">
        <v>0.066</v>
      </c>
      <c r="D263" s="25">
        <v>262.0</v>
      </c>
      <c r="E263" s="26">
        <f t="shared" si="1"/>
        <v>0.2173732336</v>
      </c>
      <c r="F263" s="18">
        <f t="shared" si="2"/>
        <v>-0.7810952632</v>
      </c>
    </row>
    <row r="264">
      <c r="A264" s="14">
        <v>0.774</v>
      </c>
      <c r="B264" s="14">
        <v>0.382</v>
      </c>
      <c r="C264" s="14">
        <v>0.066035107</v>
      </c>
      <c r="D264" s="25">
        <v>263.0</v>
      </c>
      <c r="E264" s="26">
        <f t="shared" si="1"/>
        <v>0.2182044888</v>
      </c>
      <c r="F264" s="18">
        <f t="shared" si="2"/>
        <v>-0.778271492</v>
      </c>
    </row>
    <row r="265">
      <c r="A265" s="14">
        <v>0.77416</v>
      </c>
      <c r="B265" s="14">
        <v>0.382</v>
      </c>
      <c r="C265" s="14">
        <v>0.06681</v>
      </c>
      <c r="D265" s="25">
        <v>264.0</v>
      </c>
      <c r="E265" s="26">
        <f t="shared" si="1"/>
        <v>0.219035744</v>
      </c>
      <c r="F265" s="18">
        <f t="shared" si="2"/>
        <v>-0.7754539128</v>
      </c>
    </row>
    <row r="266">
      <c r="A266" s="14">
        <v>0.774864435</v>
      </c>
      <c r="B266" s="14">
        <v>0.382</v>
      </c>
      <c r="C266" s="14">
        <v>0.06686</v>
      </c>
      <c r="D266" s="25">
        <v>265.0</v>
      </c>
      <c r="E266" s="26">
        <f t="shared" si="1"/>
        <v>0.2198669992</v>
      </c>
      <c r="F266" s="18">
        <f t="shared" si="2"/>
        <v>-0.7726424764</v>
      </c>
    </row>
    <row r="267">
      <c r="A267" s="14">
        <v>0.776</v>
      </c>
      <c r="B267" s="14">
        <v>0.38282</v>
      </c>
      <c r="C267" s="14">
        <v>0.067</v>
      </c>
      <c r="D267" s="25">
        <v>266.0</v>
      </c>
      <c r="E267" s="26">
        <f t="shared" si="1"/>
        <v>0.2206982544</v>
      </c>
      <c r="F267" s="18">
        <f t="shared" si="2"/>
        <v>-0.7698371339</v>
      </c>
    </row>
    <row r="268">
      <c r="A268" s="14">
        <v>0.776</v>
      </c>
      <c r="B268" s="14">
        <v>0.383</v>
      </c>
      <c r="C268" s="14">
        <v>0.067231975</v>
      </c>
      <c r="D268" s="25">
        <v>267.0</v>
      </c>
      <c r="E268" s="26">
        <f t="shared" si="1"/>
        <v>0.2215295096</v>
      </c>
      <c r="F268" s="18">
        <f t="shared" si="2"/>
        <v>-0.7670378369</v>
      </c>
    </row>
    <row r="269">
      <c r="A269" s="14">
        <v>0.77623</v>
      </c>
      <c r="B269" s="14">
        <v>0.383</v>
      </c>
      <c r="C269" s="14">
        <v>0.068</v>
      </c>
      <c r="D269" s="25">
        <v>268.0</v>
      </c>
      <c r="E269" s="26">
        <f t="shared" si="1"/>
        <v>0.2223607648</v>
      </c>
      <c r="F269" s="18">
        <f t="shared" si="2"/>
        <v>-0.7642445376</v>
      </c>
    </row>
    <row r="270">
      <c r="A270" s="14">
        <v>0.77711</v>
      </c>
      <c r="B270" s="14">
        <v>0.384</v>
      </c>
      <c r="C270" s="14">
        <v>0.068105951</v>
      </c>
      <c r="D270" s="25">
        <v>269.0</v>
      </c>
      <c r="E270" s="26">
        <f t="shared" si="1"/>
        <v>0.22319202</v>
      </c>
      <c r="F270" s="18">
        <f t="shared" si="2"/>
        <v>-0.7614571887</v>
      </c>
    </row>
    <row r="271">
      <c r="A271" s="14">
        <v>0.77866</v>
      </c>
      <c r="B271" s="14">
        <v>0.387</v>
      </c>
      <c r="C271" s="14">
        <v>0.06825</v>
      </c>
      <c r="D271" s="25">
        <v>270.0</v>
      </c>
      <c r="E271" s="26">
        <f t="shared" si="1"/>
        <v>0.2240232751</v>
      </c>
      <c r="F271" s="18">
        <f t="shared" si="2"/>
        <v>-0.7586757432</v>
      </c>
    </row>
    <row r="272">
      <c r="A272" s="14">
        <v>0.779</v>
      </c>
      <c r="B272" s="14">
        <v>0.38857</v>
      </c>
      <c r="C272" s="14">
        <v>0.069</v>
      </c>
      <c r="D272" s="25">
        <v>271.0</v>
      </c>
      <c r="E272" s="26">
        <f t="shared" si="1"/>
        <v>0.2248545303</v>
      </c>
      <c r="F272" s="18">
        <f t="shared" si="2"/>
        <v>-0.7559001549</v>
      </c>
    </row>
    <row r="273">
      <c r="A273" s="14">
        <v>0.779121757</v>
      </c>
      <c r="B273" s="14">
        <v>0.389</v>
      </c>
      <c r="C273" s="14">
        <v>0.06906</v>
      </c>
      <c r="D273" s="25">
        <v>272.0</v>
      </c>
      <c r="E273" s="26">
        <f t="shared" si="1"/>
        <v>0.2256857855</v>
      </c>
      <c r="F273" s="18">
        <f t="shared" si="2"/>
        <v>-0.7531303777</v>
      </c>
    </row>
    <row r="274">
      <c r="A274" s="14">
        <v>0.78</v>
      </c>
      <c r="B274" s="14">
        <v>0.389</v>
      </c>
      <c r="C274" s="14">
        <v>0.069720335</v>
      </c>
      <c r="D274" s="25">
        <v>273.0</v>
      </c>
      <c r="E274" s="26">
        <f t="shared" si="1"/>
        <v>0.2265170407</v>
      </c>
      <c r="F274" s="18">
        <f t="shared" si="2"/>
        <v>-0.7503663663</v>
      </c>
    </row>
    <row r="275">
      <c r="A275" s="14">
        <v>0.780495703</v>
      </c>
      <c r="B275" s="14">
        <v>0.39</v>
      </c>
      <c r="C275" s="14">
        <v>0.06977</v>
      </c>
      <c r="D275" s="25">
        <v>274.0</v>
      </c>
      <c r="E275" s="26">
        <f t="shared" si="1"/>
        <v>0.2273482959</v>
      </c>
      <c r="F275" s="18">
        <f t="shared" si="2"/>
        <v>-0.7476080756</v>
      </c>
    </row>
    <row r="276">
      <c r="A276" s="14">
        <v>0.781</v>
      </c>
      <c r="B276" s="14">
        <v>0.39</v>
      </c>
      <c r="C276" s="14">
        <v>0.07008</v>
      </c>
      <c r="D276" s="25">
        <v>275.0</v>
      </c>
      <c r="E276" s="26">
        <f t="shared" si="1"/>
        <v>0.2281795511</v>
      </c>
      <c r="F276" s="18">
        <f t="shared" si="2"/>
        <v>-0.7448554612</v>
      </c>
    </row>
    <row r="277">
      <c r="A277" s="14">
        <v>0.782</v>
      </c>
      <c r="B277" s="14">
        <v>0.390017778</v>
      </c>
      <c r="C277" s="14">
        <v>0.070914097</v>
      </c>
      <c r="D277" s="25">
        <v>276.0</v>
      </c>
      <c r="E277" s="26">
        <f t="shared" si="1"/>
        <v>0.2290108063</v>
      </c>
      <c r="F277" s="18">
        <f t="shared" si="2"/>
        <v>-0.742108479</v>
      </c>
    </row>
    <row r="278">
      <c r="A278" s="14">
        <v>0.782</v>
      </c>
      <c r="B278" s="14">
        <v>0.39031</v>
      </c>
      <c r="C278" s="14">
        <v>0.070983924</v>
      </c>
      <c r="D278" s="25">
        <v>277.0</v>
      </c>
      <c r="E278" s="26">
        <f t="shared" si="1"/>
        <v>0.2298420615</v>
      </c>
      <c r="F278" s="18">
        <f t="shared" si="2"/>
        <v>-0.7393670852</v>
      </c>
    </row>
    <row r="279">
      <c r="A279" s="14">
        <v>0.784</v>
      </c>
      <c r="B279" s="14">
        <v>0.390661299</v>
      </c>
      <c r="C279" s="14">
        <v>0.071</v>
      </c>
      <c r="D279" s="25">
        <v>278.0</v>
      </c>
      <c r="E279" s="26">
        <f t="shared" si="1"/>
        <v>0.2306733167</v>
      </c>
      <c r="F279" s="18">
        <f t="shared" si="2"/>
        <v>-0.7366312368</v>
      </c>
    </row>
    <row r="280">
      <c r="A280" s="14">
        <v>0.784</v>
      </c>
      <c r="B280" s="14">
        <v>0.39237</v>
      </c>
      <c r="C280" s="14">
        <v>0.071</v>
      </c>
      <c r="D280" s="25">
        <v>279.0</v>
      </c>
      <c r="E280" s="26">
        <f t="shared" si="1"/>
        <v>0.2315045719</v>
      </c>
      <c r="F280" s="18">
        <f t="shared" si="2"/>
        <v>-0.7339008908</v>
      </c>
    </row>
    <row r="281">
      <c r="A281" s="14">
        <v>0.78440702</v>
      </c>
      <c r="B281" s="14">
        <v>0.394</v>
      </c>
      <c r="C281" s="14">
        <v>0.071095176</v>
      </c>
      <c r="D281" s="25">
        <v>280.0</v>
      </c>
      <c r="E281" s="26">
        <f t="shared" si="1"/>
        <v>0.2323358271</v>
      </c>
      <c r="F281" s="18">
        <f t="shared" si="2"/>
        <v>-0.731176005</v>
      </c>
    </row>
    <row r="282">
      <c r="A282" s="14">
        <v>0.785512447</v>
      </c>
      <c r="B282" s="14">
        <v>0.394</v>
      </c>
      <c r="C282" s="14">
        <v>0.07112</v>
      </c>
      <c r="D282" s="25">
        <v>281.0</v>
      </c>
      <c r="E282" s="26">
        <f t="shared" si="1"/>
        <v>0.2331670823</v>
      </c>
      <c r="F282" s="18">
        <f t="shared" si="2"/>
        <v>-0.7284565374</v>
      </c>
    </row>
    <row r="283">
      <c r="A283" s="14">
        <v>0.787</v>
      </c>
      <c r="B283" s="14">
        <v>0.394143969</v>
      </c>
      <c r="C283" s="14">
        <v>0.07122</v>
      </c>
      <c r="D283" s="25">
        <v>282.0</v>
      </c>
      <c r="E283" s="26">
        <f t="shared" si="1"/>
        <v>0.2339983375</v>
      </c>
      <c r="F283" s="18">
        <f t="shared" si="2"/>
        <v>-0.7257424465</v>
      </c>
    </row>
    <row r="284">
      <c r="A284" s="14">
        <v>0.787</v>
      </c>
      <c r="B284" s="14">
        <v>0.39493</v>
      </c>
      <c r="C284" s="14">
        <v>0.072</v>
      </c>
      <c r="D284" s="25">
        <v>283.0</v>
      </c>
      <c r="E284" s="26">
        <f t="shared" si="1"/>
        <v>0.2348295927</v>
      </c>
      <c r="F284" s="18">
        <f t="shared" si="2"/>
        <v>-0.7230336911</v>
      </c>
    </row>
    <row r="285">
      <c r="A285" s="14">
        <v>0.787</v>
      </c>
      <c r="B285" s="14">
        <v>0.394952565</v>
      </c>
      <c r="C285" s="14">
        <v>0.07247</v>
      </c>
      <c r="D285" s="25">
        <v>284.0</v>
      </c>
      <c r="E285" s="26">
        <f t="shared" si="1"/>
        <v>0.2356608479</v>
      </c>
      <c r="F285" s="18">
        <f t="shared" si="2"/>
        <v>-0.7203302304</v>
      </c>
    </row>
    <row r="286">
      <c r="A286" s="14">
        <v>0.787886858</v>
      </c>
      <c r="B286" s="14">
        <v>0.395</v>
      </c>
      <c r="C286" s="14">
        <v>0.072509497</v>
      </c>
      <c r="D286" s="25">
        <v>285.0</v>
      </c>
      <c r="E286" s="26">
        <f t="shared" si="1"/>
        <v>0.2364921031</v>
      </c>
      <c r="F286" s="18">
        <f t="shared" si="2"/>
        <v>-0.7176320243</v>
      </c>
    </row>
    <row r="287">
      <c r="A287" s="14">
        <v>0.78968</v>
      </c>
      <c r="B287" s="14">
        <v>0.396573007</v>
      </c>
      <c r="C287" s="14">
        <v>0.07267</v>
      </c>
      <c r="D287" s="25">
        <v>286.0</v>
      </c>
      <c r="E287" s="26">
        <f t="shared" si="1"/>
        <v>0.2373233583</v>
      </c>
      <c r="F287" s="18">
        <f t="shared" si="2"/>
        <v>-0.7149390326</v>
      </c>
    </row>
    <row r="288">
      <c r="A288" s="14">
        <v>0.79</v>
      </c>
      <c r="B288" s="14">
        <v>0.397</v>
      </c>
      <c r="C288" s="14">
        <v>0.072711654</v>
      </c>
      <c r="D288" s="25">
        <v>287.0</v>
      </c>
      <c r="E288" s="26">
        <f t="shared" si="1"/>
        <v>0.2381546135</v>
      </c>
      <c r="F288" s="18">
        <f t="shared" si="2"/>
        <v>-0.7122512159</v>
      </c>
    </row>
    <row r="289">
      <c r="A289" s="14">
        <v>0.790819228</v>
      </c>
      <c r="B289" s="14">
        <v>0.39747</v>
      </c>
      <c r="C289" s="14">
        <v>0.07296</v>
      </c>
      <c r="D289" s="25">
        <v>288.0</v>
      </c>
      <c r="E289" s="26">
        <f t="shared" si="1"/>
        <v>0.2389858687</v>
      </c>
      <c r="F289" s="18">
        <f t="shared" si="2"/>
        <v>-0.7095685349</v>
      </c>
    </row>
    <row r="290">
      <c r="A290" s="14">
        <v>0.79117</v>
      </c>
      <c r="B290" s="14">
        <v>0.39778</v>
      </c>
      <c r="C290" s="14">
        <v>0.072975546</v>
      </c>
      <c r="D290" s="25">
        <v>289.0</v>
      </c>
      <c r="E290" s="26">
        <f t="shared" si="1"/>
        <v>0.2398171239</v>
      </c>
      <c r="F290" s="18">
        <f t="shared" si="2"/>
        <v>-0.7068909509</v>
      </c>
    </row>
    <row r="291">
      <c r="A291" s="14">
        <v>0.791244686</v>
      </c>
      <c r="B291" s="14">
        <v>0.39786</v>
      </c>
      <c r="C291" s="14">
        <v>0.073</v>
      </c>
      <c r="D291" s="25">
        <v>290.0</v>
      </c>
      <c r="E291" s="26">
        <f t="shared" si="1"/>
        <v>0.2406483791</v>
      </c>
      <c r="F291" s="18">
        <f t="shared" si="2"/>
        <v>-0.7042184253</v>
      </c>
    </row>
    <row r="292">
      <c r="A292" s="14">
        <v>0.792</v>
      </c>
      <c r="B292" s="14">
        <v>0.398</v>
      </c>
      <c r="C292" s="14">
        <v>0.073</v>
      </c>
      <c r="D292" s="25">
        <v>291.0</v>
      </c>
      <c r="E292" s="26">
        <f t="shared" si="1"/>
        <v>0.2414796342</v>
      </c>
      <c r="F292" s="18">
        <f t="shared" si="2"/>
        <v>-0.70155092</v>
      </c>
    </row>
    <row r="293">
      <c r="A293" s="14">
        <v>0.79273</v>
      </c>
      <c r="B293" s="14">
        <v>0.398155838</v>
      </c>
      <c r="C293" s="14">
        <v>0.073345453</v>
      </c>
      <c r="D293" s="25">
        <v>292.0</v>
      </c>
      <c r="E293" s="26">
        <f t="shared" si="1"/>
        <v>0.2423108894</v>
      </c>
      <c r="F293" s="18">
        <f t="shared" si="2"/>
        <v>-0.6988883974</v>
      </c>
    </row>
    <row r="294">
      <c r="A294" s="14">
        <v>0.79381</v>
      </c>
      <c r="B294" s="14">
        <v>0.401</v>
      </c>
      <c r="C294" s="14">
        <v>0.073653966</v>
      </c>
      <c r="D294" s="25">
        <v>293.0</v>
      </c>
      <c r="E294" s="26">
        <f t="shared" si="1"/>
        <v>0.2431421446</v>
      </c>
      <c r="F294" s="18">
        <f t="shared" si="2"/>
        <v>-0.6962308201</v>
      </c>
    </row>
    <row r="295">
      <c r="A295" s="14">
        <v>0.794</v>
      </c>
      <c r="B295" s="14">
        <v>0.40148</v>
      </c>
      <c r="C295" s="14">
        <v>0.073842727</v>
      </c>
      <c r="D295" s="25">
        <v>294.0</v>
      </c>
      <c r="E295" s="26">
        <f t="shared" si="1"/>
        <v>0.2439733998</v>
      </c>
      <c r="F295" s="18">
        <f t="shared" si="2"/>
        <v>-0.6935781509</v>
      </c>
    </row>
    <row r="296">
      <c r="A296" s="14">
        <v>0.795</v>
      </c>
      <c r="B296" s="14">
        <v>0.402</v>
      </c>
      <c r="C296" s="14">
        <v>0.07396</v>
      </c>
      <c r="D296" s="25">
        <v>295.0</v>
      </c>
      <c r="E296" s="26">
        <f t="shared" si="1"/>
        <v>0.244804655</v>
      </c>
      <c r="F296" s="18">
        <f t="shared" si="2"/>
        <v>-0.6909303533</v>
      </c>
    </row>
    <row r="297">
      <c r="A297" s="14">
        <v>0.79624</v>
      </c>
      <c r="B297" s="14">
        <v>0.402264982</v>
      </c>
      <c r="C297" s="14">
        <v>0.074</v>
      </c>
      <c r="D297" s="25">
        <v>296.0</v>
      </c>
      <c r="E297" s="26">
        <f t="shared" si="1"/>
        <v>0.2456359102</v>
      </c>
      <c r="F297" s="18">
        <f t="shared" si="2"/>
        <v>-0.6882873908</v>
      </c>
    </row>
    <row r="298">
      <c r="A298" s="14">
        <v>0.797</v>
      </c>
      <c r="B298" s="14">
        <v>0.4027</v>
      </c>
      <c r="C298" s="14">
        <v>0.074</v>
      </c>
      <c r="D298" s="25">
        <v>297.0</v>
      </c>
      <c r="E298" s="26">
        <f t="shared" si="1"/>
        <v>0.2464671654</v>
      </c>
      <c r="F298" s="18">
        <f t="shared" si="2"/>
        <v>-0.6856492275</v>
      </c>
    </row>
    <row r="299">
      <c r="A299" s="14">
        <v>0.798</v>
      </c>
      <c r="B299" s="14">
        <v>0.40285</v>
      </c>
      <c r="C299" s="14">
        <v>0.074</v>
      </c>
      <c r="D299" s="25">
        <v>298.0</v>
      </c>
      <c r="E299" s="26">
        <f t="shared" si="1"/>
        <v>0.2472984206</v>
      </c>
      <c r="F299" s="18">
        <f t="shared" si="2"/>
        <v>-0.6830158276</v>
      </c>
    </row>
    <row r="300">
      <c r="A300" s="14">
        <v>0.798760593</v>
      </c>
      <c r="B300" s="14">
        <v>0.4035</v>
      </c>
      <c r="C300" s="14">
        <v>0.074</v>
      </c>
      <c r="D300" s="25">
        <v>299.0</v>
      </c>
      <c r="E300" s="26">
        <f t="shared" si="1"/>
        <v>0.2481296758</v>
      </c>
      <c r="F300" s="18">
        <f t="shared" si="2"/>
        <v>-0.6803871558</v>
      </c>
    </row>
    <row r="301">
      <c r="A301" s="14">
        <v>0.799</v>
      </c>
      <c r="B301" s="14">
        <v>0.40425</v>
      </c>
      <c r="C301" s="14">
        <v>0.074</v>
      </c>
      <c r="D301" s="25">
        <v>300.0</v>
      </c>
      <c r="E301" s="26">
        <f t="shared" si="1"/>
        <v>0.248960931</v>
      </c>
      <c r="F301" s="18">
        <f t="shared" si="2"/>
        <v>-0.677763177</v>
      </c>
    </row>
    <row r="302">
      <c r="A302" s="14">
        <v>0.799</v>
      </c>
      <c r="B302" s="14">
        <v>0.4052</v>
      </c>
      <c r="C302" s="14">
        <v>0.074</v>
      </c>
      <c r="D302" s="25">
        <v>301.0</v>
      </c>
      <c r="E302" s="26">
        <f t="shared" si="1"/>
        <v>0.2497921862</v>
      </c>
      <c r="F302" s="18">
        <f t="shared" si="2"/>
        <v>-0.6751438565</v>
      </c>
    </row>
    <row r="303">
      <c r="A303" s="14">
        <v>0.80001</v>
      </c>
      <c r="B303" s="14">
        <v>0.40576</v>
      </c>
      <c r="C303" s="14">
        <v>0.07506</v>
      </c>
      <c r="D303" s="25">
        <v>302.0</v>
      </c>
      <c r="E303" s="26">
        <f t="shared" si="1"/>
        <v>0.2506234414</v>
      </c>
      <c r="F303" s="18">
        <f t="shared" si="2"/>
        <v>-0.6725291599</v>
      </c>
    </row>
    <row r="304">
      <c r="A304" s="14">
        <v>0.802</v>
      </c>
      <c r="B304" s="14">
        <v>0.40577</v>
      </c>
      <c r="C304" s="14">
        <v>0.07521</v>
      </c>
      <c r="D304" s="25">
        <v>303.0</v>
      </c>
      <c r="E304" s="26">
        <f t="shared" si="1"/>
        <v>0.2514546966</v>
      </c>
      <c r="F304" s="18">
        <f t="shared" si="2"/>
        <v>-0.6699190531</v>
      </c>
    </row>
    <row r="305">
      <c r="A305" s="14">
        <v>0.802</v>
      </c>
      <c r="B305" s="14">
        <v>0.405988604</v>
      </c>
      <c r="C305" s="14">
        <v>0.07564</v>
      </c>
      <c r="D305" s="25">
        <v>304.0</v>
      </c>
      <c r="E305" s="26">
        <f t="shared" si="1"/>
        <v>0.2522859518</v>
      </c>
      <c r="F305" s="18">
        <f t="shared" si="2"/>
        <v>-0.6673135023</v>
      </c>
    </row>
    <row r="306">
      <c r="A306" s="14">
        <v>0.80216372</v>
      </c>
      <c r="B306" s="14">
        <v>0.406</v>
      </c>
      <c r="C306" s="14">
        <v>0.076</v>
      </c>
      <c r="D306" s="25">
        <v>305.0</v>
      </c>
      <c r="E306" s="26">
        <f t="shared" si="1"/>
        <v>0.253117207</v>
      </c>
      <c r="F306" s="18">
        <f t="shared" si="2"/>
        <v>-0.6647124739</v>
      </c>
    </row>
    <row r="307">
      <c r="A307" s="14">
        <v>0.803108692</v>
      </c>
      <c r="B307" s="14">
        <v>0.406</v>
      </c>
      <c r="C307" s="14">
        <v>0.076</v>
      </c>
      <c r="D307" s="25">
        <v>306.0</v>
      </c>
      <c r="E307" s="26">
        <f t="shared" si="1"/>
        <v>0.2539484622</v>
      </c>
      <c r="F307" s="18">
        <f t="shared" si="2"/>
        <v>-0.6621159348</v>
      </c>
    </row>
    <row r="308">
      <c r="A308" s="14">
        <v>0.803385139</v>
      </c>
      <c r="B308" s="14">
        <v>0.406</v>
      </c>
      <c r="C308" s="14">
        <v>0.076</v>
      </c>
      <c r="D308" s="25">
        <v>307.0</v>
      </c>
      <c r="E308" s="26">
        <f t="shared" si="1"/>
        <v>0.2547797174</v>
      </c>
      <c r="F308" s="18">
        <f t="shared" si="2"/>
        <v>-0.659523852</v>
      </c>
    </row>
    <row r="309">
      <c r="A309" s="14">
        <v>0.803685248</v>
      </c>
      <c r="B309" s="14">
        <v>0.40661</v>
      </c>
      <c r="C309" s="14">
        <v>0.076046787</v>
      </c>
      <c r="D309" s="25">
        <v>308.0</v>
      </c>
      <c r="E309" s="26">
        <f t="shared" si="1"/>
        <v>0.2556109726</v>
      </c>
      <c r="F309" s="18">
        <f t="shared" si="2"/>
        <v>-0.656936193</v>
      </c>
    </row>
    <row r="310">
      <c r="A310" s="14">
        <v>0.804</v>
      </c>
      <c r="B310" s="14">
        <v>0.40672</v>
      </c>
      <c r="C310" s="14">
        <v>0.077</v>
      </c>
      <c r="D310" s="25">
        <v>309.0</v>
      </c>
      <c r="E310" s="26">
        <f t="shared" si="1"/>
        <v>0.2564422278</v>
      </c>
      <c r="F310" s="18">
        <f t="shared" si="2"/>
        <v>-0.6543529253</v>
      </c>
    </row>
    <row r="311">
      <c r="A311" s="14">
        <v>0.804</v>
      </c>
      <c r="B311" s="14">
        <v>0.40672</v>
      </c>
      <c r="C311" s="14">
        <v>0.077</v>
      </c>
      <c r="D311" s="25">
        <v>310.0</v>
      </c>
      <c r="E311" s="26">
        <f t="shared" si="1"/>
        <v>0.257273483</v>
      </c>
      <c r="F311" s="18">
        <f t="shared" si="2"/>
        <v>-0.6517740169</v>
      </c>
    </row>
    <row r="312">
      <c r="A312" s="14">
        <v>0.80434</v>
      </c>
      <c r="B312" s="14">
        <v>0.408158332</v>
      </c>
      <c r="C312" s="14">
        <v>0.077</v>
      </c>
      <c r="D312" s="25">
        <v>311.0</v>
      </c>
      <c r="E312" s="26">
        <f t="shared" si="1"/>
        <v>0.2581047382</v>
      </c>
      <c r="F312" s="18">
        <f t="shared" si="2"/>
        <v>-0.6491994361</v>
      </c>
    </row>
    <row r="313">
      <c r="A313" s="14">
        <v>0.805</v>
      </c>
      <c r="B313" s="14">
        <v>0.4082</v>
      </c>
      <c r="C313" s="14">
        <v>0.077223279</v>
      </c>
      <c r="D313" s="25">
        <v>312.0</v>
      </c>
      <c r="E313" s="26">
        <f t="shared" si="1"/>
        <v>0.2589359933</v>
      </c>
      <c r="F313" s="18">
        <f t="shared" si="2"/>
        <v>-0.6466291513</v>
      </c>
    </row>
    <row r="314">
      <c r="A314" s="14">
        <v>0.805</v>
      </c>
      <c r="B314" s="14">
        <v>0.4084</v>
      </c>
      <c r="C314" s="14">
        <v>0.07746</v>
      </c>
      <c r="D314" s="25">
        <v>313.0</v>
      </c>
      <c r="E314" s="26">
        <f t="shared" si="1"/>
        <v>0.2597672485</v>
      </c>
      <c r="F314" s="18">
        <f t="shared" si="2"/>
        <v>-0.6440631313</v>
      </c>
    </row>
    <row r="315">
      <c r="A315" s="14">
        <v>0.805996239</v>
      </c>
      <c r="B315" s="14">
        <v>0.40878123</v>
      </c>
      <c r="C315" s="14">
        <v>0.07785</v>
      </c>
      <c r="D315" s="25">
        <v>314.0</v>
      </c>
      <c r="E315" s="26">
        <f t="shared" si="1"/>
        <v>0.2605985037</v>
      </c>
      <c r="F315" s="18">
        <f t="shared" si="2"/>
        <v>-0.6415013451</v>
      </c>
    </row>
    <row r="316">
      <c r="A316" s="14">
        <v>0.806</v>
      </c>
      <c r="B316" s="14">
        <v>0.408842742</v>
      </c>
      <c r="C316" s="14">
        <v>0.078</v>
      </c>
      <c r="D316" s="25">
        <v>315.0</v>
      </c>
      <c r="E316" s="26">
        <f t="shared" si="1"/>
        <v>0.2614297589</v>
      </c>
      <c r="F316" s="18">
        <f t="shared" si="2"/>
        <v>-0.638943762</v>
      </c>
    </row>
    <row r="317">
      <c r="A317" s="14">
        <v>0.806092262</v>
      </c>
      <c r="B317" s="14">
        <v>0.40973</v>
      </c>
      <c r="C317" s="14">
        <v>0.078</v>
      </c>
      <c r="D317" s="25">
        <v>316.0</v>
      </c>
      <c r="E317" s="26">
        <f t="shared" si="1"/>
        <v>0.2622610141</v>
      </c>
      <c r="F317" s="18">
        <f t="shared" si="2"/>
        <v>-0.6363903515</v>
      </c>
    </row>
    <row r="318">
      <c r="A318" s="14">
        <v>0.808379889</v>
      </c>
      <c r="B318" s="14">
        <v>0.41</v>
      </c>
      <c r="C318" s="14">
        <v>0.078</v>
      </c>
      <c r="D318" s="25">
        <v>317.0</v>
      </c>
      <c r="E318" s="26">
        <f t="shared" si="1"/>
        <v>0.2630922693</v>
      </c>
      <c r="F318" s="18">
        <f t="shared" si="2"/>
        <v>-0.6338410836</v>
      </c>
    </row>
    <row r="319">
      <c r="A319" s="14">
        <v>0.809</v>
      </c>
      <c r="B319" s="14">
        <v>0.412</v>
      </c>
      <c r="C319" s="14">
        <v>0.078</v>
      </c>
      <c r="D319" s="25">
        <v>318.0</v>
      </c>
      <c r="E319" s="26">
        <f t="shared" si="1"/>
        <v>0.2639235245</v>
      </c>
      <c r="F319" s="18">
        <f t="shared" si="2"/>
        <v>-0.6312959282</v>
      </c>
    </row>
    <row r="320">
      <c r="A320" s="14">
        <v>0.80975</v>
      </c>
      <c r="B320" s="14">
        <v>0.412730008</v>
      </c>
      <c r="C320" s="14">
        <v>0.078</v>
      </c>
      <c r="D320" s="25">
        <v>319.0</v>
      </c>
      <c r="E320" s="26">
        <f t="shared" si="1"/>
        <v>0.2647547797</v>
      </c>
      <c r="F320" s="18">
        <f t="shared" si="2"/>
        <v>-0.6287548557</v>
      </c>
    </row>
    <row r="321">
      <c r="A321" s="14">
        <v>0.81</v>
      </c>
      <c r="B321" s="14">
        <v>0.41319</v>
      </c>
      <c r="C321" s="14">
        <v>0.07821355</v>
      </c>
      <c r="D321" s="25">
        <v>320.0</v>
      </c>
      <c r="E321" s="26">
        <f t="shared" si="1"/>
        <v>0.2655860349</v>
      </c>
      <c r="F321" s="18">
        <f t="shared" si="2"/>
        <v>-0.6262178366</v>
      </c>
    </row>
    <row r="322">
      <c r="A322" s="14">
        <v>0.81</v>
      </c>
      <c r="B322" s="14">
        <v>0.41418</v>
      </c>
      <c r="C322" s="14">
        <v>0.079</v>
      </c>
      <c r="D322" s="25">
        <v>321.0</v>
      </c>
      <c r="E322" s="26">
        <f t="shared" si="1"/>
        <v>0.2664172901</v>
      </c>
      <c r="F322" s="18">
        <f t="shared" si="2"/>
        <v>-0.6236848417</v>
      </c>
    </row>
    <row r="323">
      <c r="A323" s="14">
        <v>0.811</v>
      </c>
      <c r="B323" s="14">
        <v>0.4143</v>
      </c>
      <c r="C323" s="14">
        <v>0.079</v>
      </c>
      <c r="D323" s="25">
        <v>322.0</v>
      </c>
      <c r="E323" s="26">
        <f t="shared" si="1"/>
        <v>0.2672485453</v>
      </c>
      <c r="F323" s="18">
        <f t="shared" si="2"/>
        <v>-0.6211558421</v>
      </c>
    </row>
    <row r="324">
      <c r="A324" s="14">
        <v>0.811</v>
      </c>
      <c r="B324" s="14">
        <v>0.41496</v>
      </c>
      <c r="C324" s="14">
        <v>0.079</v>
      </c>
      <c r="D324" s="25">
        <v>323.0</v>
      </c>
      <c r="E324" s="26">
        <f t="shared" si="1"/>
        <v>0.2680798005</v>
      </c>
      <c r="F324" s="18">
        <f t="shared" si="2"/>
        <v>-0.6186308092</v>
      </c>
    </row>
    <row r="325">
      <c r="A325" s="14">
        <v>0.811</v>
      </c>
      <c r="B325" s="14">
        <v>0.41511</v>
      </c>
      <c r="C325" s="14">
        <v>0.07964</v>
      </c>
      <c r="D325" s="25">
        <v>324.0</v>
      </c>
      <c r="E325" s="26">
        <f t="shared" si="1"/>
        <v>0.2689110557</v>
      </c>
      <c r="F325" s="18">
        <f t="shared" si="2"/>
        <v>-0.6161097143</v>
      </c>
    </row>
    <row r="326">
      <c r="A326" s="14">
        <v>0.81198</v>
      </c>
      <c r="B326" s="14">
        <v>0.416</v>
      </c>
      <c r="C326" s="14">
        <v>0.08</v>
      </c>
      <c r="D326" s="25">
        <v>325.0</v>
      </c>
      <c r="E326" s="26">
        <f t="shared" si="1"/>
        <v>0.2697423109</v>
      </c>
      <c r="F326" s="18">
        <f t="shared" si="2"/>
        <v>-0.6135925293</v>
      </c>
    </row>
    <row r="327">
      <c r="A327" s="14">
        <v>0.812</v>
      </c>
      <c r="B327" s="14">
        <v>0.41668</v>
      </c>
      <c r="C327" s="14">
        <v>0.08</v>
      </c>
      <c r="D327" s="25">
        <v>326.0</v>
      </c>
      <c r="E327" s="26">
        <f t="shared" si="1"/>
        <v>0.2705735661</v>
      </c>
      <c r="F327" s="18">
        <f t="shared" si="2"/>
        <v>-0.6110792262</v>
      </c>
    </row>
    <row r="328">
      <c r="A328" s="14">
        <v>0.812</v>
      </c>
      <c r="B328" s="14">
        <v>0.41691</v>
      </c>
      <c r="C328" s="14">
        <v>0.08</v>
      </c>
      <c r="D328" s="25">
        <v>327.0</v>
      </c>
      <c r="E328" s="26">
        <f t="shared" si="1"/>
        <v>0.2714048213</v>
      </c>
      <c r="F328" s="18">
        <f t="shared" si="2"/>
        <v>-0.6085697772</v>
      </c>
    </row>
    <row r="329">
      <c r="A329" s="14">
        <v>0.81255</v>
      </c>
      <c r="B329" s="14">
        <v>0.417</v>
      </c>
      <c r="C329" s="14">
        <v>0.0801</v>
      </c>
      <c r="D329" s="25">
        <v>328.0</v>
      </c>
      <c r="E329" s="26">
        <f t="shared" si="1"/>
        <v>0.2722360765</v>
      </c>
      <c r="F329" s="18">
        <f t="shared" si="2"/>
        <v>-0.6060641547</v>
      </c>
    </row>
    <row r="330">
      <c r="A330" s="14">
        <v>0.813</v>
      </c>
      <c r="B330" s="14">
        <v>0.417</v>
      </c>
      <c r="C330" s="14">
        <v>0.08079</v>
      </c>
      <c r="D330" s="25">
        <v>329.0</v>
      </c>
      <c r="E330" s="26">
        <f t="shared" si="1"/>
        <v>0.2730673317</v>
      </c>
      <c r="F330" s="18">
        <f t="shared" si="2"/>
        <v>-0.6035623314</v>
      </c>
    </row>
    <row r="331">
      <c r="A331" s="14">
        <v>0.813</v>
      </c>
      <c r="B331" s="14">
        <v>0.418</v>
      </c>
      <c r="C331" s="14">
        <v>0.08092</v>
      </c>
      <c r="D331" s="25">
        <v>330.0</v>
      </c>
      <c r="E331" s="26">
        <f t="shared" si="1"/>
        <v>0.2738985869</v>
      </c>
      <c r="F331" s="18">
        <f t="shared" si="2"/>
        <v>-0.6010642802</v>
      </c>
    </row>
    <row r="332">
      <c r="A332" s="14">
        <v>0.81329</v>
      </c>
      <c r="B332" s="14">
        <v>0.418271929</v>
      </c>
      <c r="C332" s="14">
        <v>0.081</v>
      </c>
      <c r="D332" s="25">
        <v>331.0</v>
      </c>
      <c r="E332" s="26">
        <f t="shared" si="1"/>
        <v>0.2747298421</v>
      </c>
      <c r="F332" s="18">
        <f t="shared" si="2"/>
        <v>-0.5985699741</v>
      </c>
    </row>
    <row r="333">
      <c r="A333" s="14">
        <v>0.814380348</v>
      </c>
      <c r="B333" s="14">
        <v>0.418421149</v>
      </c>
      <c r="C333" s="14">
        <v>0.081</v>
      </c>
      <c r="D333" s="25">
        <v>332.0</v>
      </c>
      <c r="E333" s="26">
        <f t="shared" si="1"/>
        <v>0.2755610973</v>
      </c>
      <c r="F333" s="18">
        <f t="shared" si="2"/>
        <v>-0.5960793866</v>
      </c>
    </row>
    <row r="334">
      <c r="A334" s="14">
        <v>0.816509426</v>
      </c>
      <c r="B334" s="14">
        <v>0.419</v>
      </c>
      <c r="C334" s="14">
        <v>0.08124</v>
      </c>
      <c r="D334" s="25">
        <v>333.0</v>
      </c>
      <c r="E334" s="26">
        <f t="shared" si="1"/>
        <v>0.2763923525</v>
      </c>
      <c r="F334" s="18">
        <f t="shared" si="2"/>
        <v>-0.5935924911</v>
      </c>
    </row>
    <row r="335">
      <c r="A335" s="14">
        <v>0.816621482</v>
      </c>
      <c r="B335" s="14">
        <v>0.419</v>
      </c>
      <c r="C335" s="14">
        <v>0.0817</v>
      </c>
      <c r="D335" s="25">
        <v>334.0</v>
      </c>
      <c r="E335" s="26">
        <f t="shared" si="1"/>
        <v>0.2772236076</v>
      </c>
      <c r="F335" s="18">
        <f t="shared" si="2"/>
        <v>-0.5911092613</v>
      </c>
    </row>
    <row r="336">
      <c r="A336" s="14">
        <v>0.817</v>
      </c>
      <c r="B336" s="14">
        <v>0.42215</v>
      </c>
      <c r="C336" s="14">
        <v>0.08196</v>
      </c>
      <c r="D336" s="25">
        <v>335.0</v>
      </c>
      <c r="E336" s="26">
        <f t="shared" si="1"/>
        <v>0.2780548628</v>
      </c>
      <c r="F336" s="18">
        <f t="shared" si="2"/>
        <v>-0.5886296712</v>
      </c>
    </row>
    <row r="337">
      <c r="A337" s="14">
        <v>0.817</v>
      </c>
      <c r="B337" s="14">
        <v>0.42284</v>
      </c>
      <c r="C337" s="14">
        <v>0.082</v>
      </c>
      <c r="D337" s="25">
        <v>336.0</v>
      </c>
      <c r="E337" s="26">
        <f t="shared" si="1"/>
        <v>0.278886118</v>
      </c>
      <c r="F337" s="18">
        <f t="shared" si="2"/>
        <v>-0.586153695</v>
      </c>
    </row>
    <row r="338">
      <c r="A338" s="14">
        <v>0.818</v>
      </c>
      <c r="B338" s="14">
        <v>0.423</v>
      </c>
      <c r="C338" s="14">
        <v>0.082</v>
      </c>
      <c r="D338" s="25">
        <v>337.0</v>
      </c>
      <c r="E338" s="26">
        <f t="shared" si="1"/>
        <v>0.2797173732</v>
      </c>
      <c r="F338" s="18">
        <f t="shared" si="2"/>
        <v>-0.5836813069</v>
      </c>
    </row>
    <row r="339">
      <c r="A339" s="14">
        <v>0.81889</v>
      </c>
      <c r="B339" s="14">
        <v>0.423</v>
      </c>
      <c r="C339" s="14">
        <v>0.082</v>
      </c>
      <c r="D339" s="25">
        <v>338.0</v>
      </c>
      <c r="E339" s="26">
        <f t="shared" si="1"/>
        <v>0.2805486284</v>
      </c>
      <c r="F339" s="18">
        <f t="shared" si="2"/>
        <v>-0.5812124816</v>
      </c>
    </row>
    <row r="340">
      <c r="A340" s="14">
        <v>0.81928</v>
      </c>
      <c r="B340" s="14">
        <v>0.423026294</v>
      </c>
      <c r="C340" s="14">
        <v>0.082</v>
      </c>
      <c r="D340" s="25">
        <v>339.0</v>
      </c>
      <c r="E340" s="26">
        <f t="shared" si="1"/>
        <v>0.2813798836</v>
      </c>
      <c r="F340" s="18">
        <f t="shared" si="2"/>
        <v>-0.5787471938</v>
      </c>
    </row>
    <row r="341">
      <c r="A341" s="14">
        <v>0.819308281</v>
      </c>
      <c r="B341" s="14">
        <v>0.42342</v>
      </c>
      <c r="C341" s="14">
        <v>0.082</v>
      </c>
      <c r="D341" s="25">
        <v>340.0</v>
      </c>
      <c r="E341" s="26">
        <f t="shared" si="1"/>
        <v>0.2822111388</v>
      </c>
      <c r="F341" s="18">
        <f t="shared" si="2"/>
        <v>-0.5762854184</v>
      </c>
    </row>
    <row r="342">
      <c r="A342" s="14">
        <v>0.82</v>
      </c>
      <c r="B342" s="14">
        <v>0.42483</v>
      </c>
      <c r="C342" s="14">
        <v>0.082</v>
      </c>
      <c r="D342" s="25">
        <v>341.0</v>
      </c>
      <c r="E342" s="26">
        <f t="shared" si="1"/>
        <v>0.283042394</v>
      </c>
      <c r="F342" s="18">
        <f t="shared" si="2"/>
        <v>-0.5738271305</v>
      </c>
    </row>
    <row r="343">
      <c r="A343" s="14">
        <v>0.820726514</v>
      </c>
      <c r="B343" s="14">
        <v>0.425962776</v>
      </c>
      <c r="C343" s="14">
        <v>0.082</v>
      </c>
      <c r="D343" s="25">
        <v>342.0</v>
      </c>
      <c r="E343" s="26">
        <f t="shared" si="1"/>
        <v>0.2838736492</v>
      </c>
      <c r="F343" s="18">
        <f t="shared" si="2"/>
        <v>-0.5713723055</v>
      </c>
    </row>
    <row r="344">
      <c r="A344" s="14">
        <v>0.821</v>
      </c>
      <c r="B344" s="14">
        <v>0.426</v>
      </c>
      <c r="C344" s="14">
        <v>0.082</v>
      </c>
      <c r="D344" s="25">
        <v>343.0</v>
      </c>
      <c r="E344" s="26">
        <f t="shared" si="1"/>
        <v>0.2847049044</v>
      </c>
      <c r="F344" s="18">
        <f t="shared" si="2"/>
        <v>-0.5689209188</v>
      </c>
    </row>
    <row r="345">
      <c r="A345" s="14">
        <v>0.821</v>
      </c>
      <c r="B345" s="14">
        <v>0.42662</v>
      </c>
      <c r="C345" s="14">
        <v>0.082</v>
      </c>
      <c r="D345" s="25">
        <v>344.0</v>
      </c>
      <c r="E345" s="26">
        <f t="shared" si="1"/>
        <v>0.2855361596</v>
      </c>
      <c r="F345" s="18">
        <f t="shared" si="2"/>
        <v>-0.5664729463</v>
      </c>
    </row>
    <row r="346">
      <c r="A346" s="14">
        <v>0.821</v>
      </c>
      <c r="B346" s="14">
        <v>0.42692</v>
      </c>
      <c r="C346" s="14">
        <v>0.082287982</v>
      </c>
      <c r="D346" s="25">
        <v>345.0</v>
      </c>
      <c r="E346" s="26">
        <f t="shared" si="1"/>
        <v>0.2863674148</v>
      </c>
      <c r="F346" s="18">
        <f t="shared" si="2"/>
        <v>-0.5640283636</v>
      </c>
    </row>
    <row r="347">
      <c r="A347" s="14">
        <v>0.821870148</v>
      </c>
      <c r="B347" s="14">
        <v>0.42736</v>
      </c>
      <c r="C347" s="14">
        <v>0.08242</v>
      </c>
      <c r="D347" s="25">
        <v>346.0</v>
      </c>
      <c r="E347" s="26">
        <f t="shared" si="1"/>
        <v>0.28719867</v>
      </c>
      <c r="F347" s="18">
        <f t="shared" si="2"/>
        <v>-0.5615871469</v>
      </c>
    </row>
    <row r="348">
      <c r="A348" s="14">
        <v>0.822</v>
      </c>
      <c r="B348" s="14">
        <v>0.43</v>
      </c>
      <c r="C348" s="14">
        <v>0.08289</v>
      </c>
      <c r="D348" s="25">
        <v>347.0</v>
      </c>
      <c r="E348" s="26">
        <f t="shared" si="1"/>
        <v>0.2880299252</v>
      </c>
      <c r="F348" s="18">
        <f t="shared" si="2"/>
        <v>-0.5591492725</v>
      </c>
    </row>
    <row r="349">
      <c r="A349" s="14">
        <v>0.822</v>
      </c>
      <c r="B349" s="14">
        <v>0.43</v>
      </c>
      <c r="C349" s="14">
        <v>0.083</v>
      </c>
      <c r="D349" s="25">
        <v>348.0</v>
      </c>
      <c r="E349" s="26">
        <f t="shared" si="1"/>
        <v>0.2888611804</v>
      </c>
      <c r="F349" s="18">
        <f t="shared" si="2"/>
        <v>-0.5567147167</v>
      </c>
    </row>
    <row r="350">
      <c r="A350" s="14">
        <v>0.823</v>
      </c>
      <c r="B350" s="14">
        <v>0.430388749</v>
      </c>
      <c r="C350" s="14">
        <v>0.083</v>
      </c>
      <c r="D350" s="25">
        <v>349.0</v>
      </c>
      <c r="E350" s="26">
        <f t="shared" si="1"/>
        <v>0.2896924356</v>
      </c>
      <c r="F350" s="18">
        <f t="shared" si="2"/>
        <v>-0.5542834561</v>
      </c>
    </row>
    <row r="351">
      <c r="A351" s="14">
        <v>0.824338138</v>
      </c>
      <c r="B351" s="14">
        <v>0.43054</v>
      </c>
      <c r="C351" s="14">
        <v>0.08404</v>
      </c>
      <c r="D351" s="25">
        <v>350.0</v>
      </c>
      <c r="E351" s="26">
        <f t="shared" si="1"/>
        <v>0.2905236908</v>
      </c>
      <c r="F351" s="18">
        <f t="shared" si="2"/>
        <v>-0.5518554675</v>
      </c>
    </row>
    <row r="352">
      <c r="A352" s="14">
        <v>0.825161517</v>
      </c>
      <c r="B352" s="14">
        <v>0.431</v>
      </c>
      <c r="C352" s="14">
        <v>0.084147945</v>
      </c>
      <c r="D352" s="25">
        <v>351.0</v>
      </c>
      <c r="E352" s="26">
        <f t="shared" si="1"/>
        <v>0.291354946</v>
      </c>
      <c r="F352" s="18">
        <f t="shared" si="2"/>
        <v>-0.5494307278</v>
      </c>
    </row>
    <row r="353">
      <c r="A353" s="14">
        <v>0.825374067</v>
      </c>
      <c r="B353" s="14">
        <v>0.431</v>
      </c>
      <c r="C353" s="14">
        <v>0.08415</v>
      </c>
      <c r="D353" s="25">
        <v>352.0</v>
      </c>
      <c r="E353" s="26">
        <f t="shared" si="1"/>
        <v>0.2921862012</v>
      </c>
      <c r="F353" s="18">
        <f t="shared" si="2"/>
        <v>-0.5470092141</v>
      </c>
    </row>
    <row r="354">
      <c r="A354" s="14">
        <v>0.825942934</v>
      </c>
      <c r="B354" s="14">
        <v>0.431</v>
      </c>
      <c r="C354" s="14">
        <v>0.08423</v>
      </c>
      <c r="D354" s="25">
        <v>353.0</v>
      </c>
      <c r="E354" s="26">
        <f t="shared" si="1"/>
        <v>0.2930174564</v>
      </c>
      <c r="F354" s="18">
        <f t="shared" si="2"/>
        <v>-0.5445909037</v>
      </c>
    </row>
    <row r="355">
      <c r="A355" s="14">
        <v>0.826</v>
      </c>
      <c r="B355" s="14">
        <v>0.43166</v>
      </c>
      <c r="C355" s="14">
        <v>0.08434</v>
      </c>
      <c r="D355" s="25">
        <v>354.0</v>
      </c>
      <c r="E355" s="26">
        <f t="shared" si="1"/>
        <v>0.2938487116</v>
      </c>
      <c r="F355" s="18">
        <f t="shared" si="2"/>
        <v>-0.542175774</v>
      </c>
    </row>
    <row r="356">
      <c r="A356" s="14">
        <v>0.826</v>
      </c>
      <c r="B356" s="14">
        <v>0.43245253</v>
      </c>
      <c r="C356" s="14">
        <v>0.08454</v>
      </c>
      <c r="D356" s="25">
        <v>355.0</v>
      </c>
      <c r="E356" s="26">
        <f t="shared" si="1"/>
        <v>0.2946799667</v>
      </c>
      <c r="F356" s="18">
        <f t="shared" si="2"/>
        <v>-0.5397638026</v>
      </c>
    </row>
    <row r="357">
      <c r="A357" s="14">
        <v>0.826</v>
      </c>
      <c r="B357" s="14">
        <v>0.433</v>
      </c>
      <c r="C357" s="14">
        <v>0.08484</v>
      </c>
      <c r="D357" s="25">
        <v>356.0</v>
      </c>
      <c r="E357" s="26">
        <f t="shared" si="1"/>
        <v>0.2955112219</v>
      </c>
      <c r="F357" s="18">
        <f t="shared" si="2"/>
        <v>-0.5373549672</v>
      </c>
    </row>
    <row r="358">
      <c r="A358" s="14">
        <v>0.826313555</v>
      </c>
      <c r="B358" s="14">
        <v>0.434</v>
      </c>
      <c r="C358" s="14">
        <v>0.08492</v>
      </c>
      <c r="D358" s="25">
        <v>357.0</v>
      </c>
      <c r="E358" s="26">
        <f t="shared" si="1"/>
        <v>0.2963424771</v>
      </c>
      <c r="F358" s="18">
        <f t="shared" si="2"/>
        <v>-0.5349492458</v>
      </c>
    </row>
    <row r="359">
      <c r="A359" s="14">
        <v>0.827</v>
      </c>
      <c r="B359" s="14">
        <v>0.43408</v>
      </c>
      <c r="C359" s="14">
        <v>0.085</v>
      </c>
      <c r="D359" s="25">
        <v>358.0</v>
      </c>
      <c r="E359" s="26">
        <f t="shared" si="1"/>
        <v>0.2971737323</v>
      </c>
      <c r="F359" s="18">
        <f t="shared" si="2"/>
        <v>-0.5325466165</v>
      </c>
    </row>
    <row r="360">
      <c r="A360" s="14">
        <v>0.827</v>
      </c>
      <c r="B360" s="14">
        <v>0.4345</v>
      </c>
      <c r="C360" s="14">
        <v>0.085</v>
      </c>
      <c r="D360" s="25">
        <v>359.0</v>
      </c>
      <c r="E360" s="26">
        <f t="shared" si="1"/>
        <v>0.2980049875</v>
      </c>
      <c r="F360" s="18">
        <f t="shared" si="2"/>
        <v>-0.5301470574</v>
      </c>
    </row>
    <row r="361">
      <c r="A361" s="14">
        <v>0.827</v>
      </c>
      <c r="B361" s="14">
        <v>0.435</v>
      </c>
      <c r="C361" s="14">
        <v>0.085</v>
      </c>
      <c r="D361" s="25">
        <v>360.0</v>
      </c>
      <c r="E361" s="26">
        <f t="shared" si="1"/>
        <v>0.2988362427</v>
      </c>
      <c r="F361" s="18">
        <f t="shared" si="2"/>
        <v>-0.527750547</v>
      </c>
    </row>
    <row r="362">
      <c r="A362" s="14">
        <v>0.829</v>
      </c>
      <c r="B362" s="14">
        <v>0.43597</v>
      </c>
      <c r="C362" s="14">
        <v>0.0852421</v>
      </c>
      <c r="D362" s="25">
        <v>361.0</v>
      </c>
      <c r="E362" s="26">
        <f t="shared" si="1"/>
        <v>0.2996674979</v>
      </c>
      <c r="F362" s="18">
        <f t="shared" si="2"/>
        <v>-0.5253570637</v>
      </c>
    </row>
    <row r="363">
      <c r="A363" s="14">
        <v>0.829</v>
      </c>
      <c r="B363" s="14">
        <v>0.436</v>
      </c>
      <c r="C363" s="14">
        <v>0.08546</v>
      </c>
      <c r="D363" s="25">
        <v>362.0</v>
      </c>
      <c r="E363" s="26">
        <f t="shared" si="1"/>
        <v>0.3004987531</v>
      </c>
      <c r="F363" s="18">
        <f t="shared" si="2"/>
        <v>-0.5229665864</v>
      </c>
    </row>
    <row r="364">
      <c r="A364" s="14">
        <v>0.829204142</v>
      </c>
      <c r="B364" s="14">
        <v>0.43626</v>
      </c>
      <c r="C364" s="14">
        <v>0.08582</v>
      </c>
      <c r="D364" s="25">
        <v>363.0</v>
      </c>
      <c r="E364" s="26">
        <f t="shared" si="1"/>
        <v>0.3013300083</v>
      </c>
      <c r="F364" s="18">
        <f t="shared" si="2"/>
        <v>-0.5205790937</v>
      </c>
    </row>
    <row r="365">
      <c r="A365" s="14">
        <v>0.83</v>
      </c>
      <c r="B365" s="14">
        <v>0.43653</v>
      </c>
      <c r="C365" s="14">
        <v>0.086</v>
      </c>
      <c r="D365" s="25">
        <v>364.0</v>
      </c>
      <c r="E365" s="26">
        <f t="shared" si="1"/>
        <v>0.3021612635</v>
      </c>
      <c r="F365" s="18">
        <f t="shared" si="2"/>
        <v>-0.5181945647</v>
      </c>
    </row>
    <row r="366">
      <c r="A366" s="14">
        <v>0.831</v>
      </c>
      <c r="B366" s="14">
        <v>0.437453747</v>
      </c>
      <c r="C366" s="14">
        <v>0.086</v>
      </c>
      <c r="D366" s="25">
        <v>365.0</v>
      </c>
      <c r="E366" s="26">
        <f t="shared" si="1"/>
        <v>0.3029925187</v>
      </c>
      <c r="F366" s="18">
        <f t="shared" si="2"/>
        <v>-0.5158129786</v>
      </c>
    </row>
    <row r="367">
      <c r="A367" s="14">
        <v>0.831075251</v>
      </c>
      <c r="B367" s="14">
        <v>0.437454283</v>
      </c>
      <c r="C367" s="14">
        <v>0.086723149</v>
      </c>
      <c r="D367" s="25">
        <v>366.0</v>
      </c>
      <c r="E367" s="26">
        <f t="shared" si="1"/>
        <v>0.3038237739</v>
      </c>
      <c r="F367" s="18">
        <f t="shared" si="2"/>
        <v>-0.5134343145</v>
      </c>
    </row>
    <row r="368">
      <c r="A368" s="14">
        <v>0.83132</v>
      </c>
      <c r="B368" s="14">
        <v>0.439</v>
      </c>
      <c r="C368" s="14">
        <v>0.087</v>
      </c>
      <c r="D368" s="25">
        <v>367.0</v>
      </c>
      <c r="E368" s="26">
        <f t="shared" si="1"/>
        <v>0.3046550291</v>
      </c>
      <c r="F368" s="18">
        <f t="shared" si="2"/>
        <v>-0.5110585519</v>
      </c>
    </row>
    <row r="369">
      <c r="A369" s="14">
        <v>0.832</v>
      </c>
      <c r="B369" s="14">
        <v>0.439</v>
      </c>
      <c r="C369" s="14">
        <v>0.087</v>
      </c>
      <c r="D369" s="25">
        <v>368.0</v>
      </c>
      <c r="E369" s="26">
        <f t="shared" si="1"/>
        <v>0.3054862843</v>
      </c>
      <c r="F369" s="18">
        <f t="shared" si="2"/>
        <v>-0.5086856703</v>
      </c>
    </row>
    <row r="370">
      <c r="A370" s="14">
        <v>0.832</v>
      </c>
      <c r="B370" s="14">
        <v>0.44</v>
      </c>
      <c r="C370" s="14">
        <v>0.08701</v>
      </c>
      <c r="D370" s="25">
        <v>369.0</v>
      </c>
      <c r="E370" s="26">
        <f t="shared" si="1"/>
        <v>0.3063175395</v>
      </c>
      <c r="F370" s="18">
        <f t="shared" si="2"/>
        <v>-0.5063156495</v>
      </c>
    </row>
    <row r="371">
      <c r="A371" s="14">
        <v>0.83309</v>
      </c>
      <c r="B371" s="14">
        <v>0.44</v>
      </c>
      <c r="C371" s="14">
        <v>0.08722</v>
      </c>
      <c r="D371" s="25">
        <v>370.0</v>
      </c>
      <c r="E371" s="26">
        <f t="shared" si="1"/>
        <v>0.3071487947</v>
      </c>
      <c r="F371" s="18">
        <f t="shared" si="2"/>
        <v>-0.5039484693</v>
      </c>
    </row>
    <row r="372">
      <c r="A372" s="14">
        <v>0.835</v>
      </c>
      <c r="B372" s="14">
        <v>0.44012</v>
      </c>
      <c r="C372" s="14">
        <v>0.08728</v>
      </c>
      <c r="D372" s="25">
        <v>371.0</v>
      </c>
      <c r="E372" s="26">
        <f t="shared" si="1"/>
        <v>0.3079800499</v>
      </c>
      <c r="F372" s="18">
        <f t="shared" si="2"/>
        <v>-0.5015841096</v>
      </c>
    </row>
    <row r="373">
      <c r="A373" s="14">
        <v>0.835297108</v>
      </c>
      <c r="B373" s="14">
        <v>0.44017</v>
      </c>
      <c r="C373" s="14">
        <v>0.087633237</v>
      </c>
      <c r="D373" s="25">
        <v>372.0</v>
      </c>
      <c r="E373" s="26">
        <f t="shared" si="1"/>
        <v>0.3088113051</v>
      </c>
      <c r="F373" s="18">
        <f t="shared" si="2"/>
        <v>-0.4992225505</v>
      </c>
    </row>
    <row r="374">
      <c r="A374" s="14">
        <v>0.836</v>
      </c>
      <c r="B374" s="14">
        <v>0.440305948</v>
      </c>
      <c r="C374" s="14">
        <v>0.087763183</v>
      </c>
      <c r="D374" s="25">
        <v>373.0</v>
      </c>
      <c r="E374" s="26">
        <f t="shared" si="1"/>
        <v>0.3096425603</v>
      </c>
      <c r="F374" s="18">
        <f t="shared" si="2"/>
        <v>-0.4968637723</v>
      </c>
    </row>
    <row r="375">
      <c r="A375" s="14">
        <v>0.836</v>
      </c>
      <c r="B375" s="14">
        <v>0.44089</v>
      </c>
      <c r="C375" s="14">
        <v>0.08786</v>
      </c>
      <c r="D375" s="25">
        <v>374.0</v>
      </c>
      <c r="E375" s="26">
        <f t="shared" si="1"/>
        <v>0.3104738155</v>
      </c>
      <c r="F375" s="18">
        <f t="shared" si="2"/>
        <v>-0.4945077554</v>
      </c>
    </row>
    <row r="376">
      <c r="A376" s="14">
        <v>0.836</v>
      </c>
      <c r="B376" s="14">
        <v>0.44132</v>
      </c>
      <c r="C376" s="14">
        <v>0.088</v>
      </c>
      <c r="D376" s="25">
        <v>375.0</v>
      </c>
      <c r="E376" s="26">
        <f t="shared" si="1"/>
        <v>0.3113050707</v>
      </c>
      <c r="F376" s="18">
        <f t="shared" si="2"/>
        <v>-0.4921544802</v>
      </c>
    </row>
    <row r="377">
      <c r="A377" s="14">
        <v>0.836</v>
      </c>
      <c r="B377" s="14">
        <v>0.442</v>
      </c>
      <c r="C377" s="14">
        <v>0.088</v>
      </c>
      <c r="D377" s="25">
        <v>376.0</v>
      </c>
      <c r="E377" s="26">
        <f t="shared" si="1"/>
        <v>0.3121363259</v>
      </c>
      <c r="F377" s="18">
        <f t="shared" si="2"/>
        <v>-0.4898039273</v>
      </c>
    </row>
    <row r="378">
      <c r="A378" s="14">
        <v>0.836418986</v>
      </c>
      <c r="B378" s="14">
        <v>0.443</v>
      </c>
      <c r="C378" s="14">
        <v>0.088</v>
      </c>
      <c r="D378" s="25">
        <v>377.0</v>
      </c>
      <c r="E378" s="26">
        <f t="shared" si="1"/>
        <v>0.312967581</v>
      </c>
      <c r="F378" s="18">
        <f t="shared" si="2"/>
        <v>-0.4874560775</v>
      </c>
    </row>
    <row r="379">
      <c r="A379" s="14">
        <v>0.83779</v>
      </c>
      <c r="B379" s="14">
        <v>0.443185955</v>
      </c>
      <c r="C379" s="14">
        <v>0.088</v>
      </c>
      <c r="D379" s="25">
        <v>378.0</v>
      </c>
      <c r="E379" s="26">
        <f t="shared" si="1"/>
        <v>0.3137988362</v>
      </c>
      <c r="F379" s="18">
        <f t="shared" si="2"/>
        <v>-0.4851109117</v>
      </c>
    </row>
    <row r="380">
      <c r="A380" s="14">
        <v>0.838665426</v>
      </c>
      <c r="B380" s="14">
        <v>0.443323463</v>
      </c>
      <c r="C380" s="14">
        <v>0.088174194</v>
      </c>
      <c r="D380" s="25">
        <v>379.0</v>
      </c>
      <c r="E380" s="26">
        <f t="shared" si="1"/>
        <v>0.3146300914</v>
      </c>
      <c r="F380" s="18">
        <f t="shared" si="2"/>
        <v>-0.482768411</v>
      </c>
    </row>
    <row r="381">
      <c r="A381" s="14">
        <v>0.841</v>
      </c>
      <c r="B381" s="14">
        <v>0.444</v>
      </c>
      <c r="C381" s="14">
        <v>0.08884</v>
      </c>
      <c r="D381" s="25">
        <v>380.0</v>
      </c>
      <c r="E381" s="26">
        <f t="shared" si="1"/>
        <v>0.3154613466</v>
      </c>
      <c r="F381" s="18">
        <f t="shared" si="2"/>
        <v>-0.4804285563</v>
      </c>
    </row>
    <row r="382">
      <c r="A382" s="14">
        <v>0.84142</v>
      </c>
      <c r="B382" s="14">
        <v>0.445</v>
      </c>
      <c r="C382" s="14">
        <v>0.0889</v>
      </c>
      <c r="D382" s="25">
        <v>381.0</v>
      </c>
      <c r="E382" s="26">
        <f t="shared" si="1"/>
        <v>0.3162926018</v>
      </c>
      <c r="F382" s="18">
        <f t="shared" si="2"/>
        <v>-0.4780913289</v>
      </c>
    </row>
    <row r="383">
      <c r="A383" s="14">
        <v>0.843</v>
      </c>
      <c r="B383" s="14">
        <v>0.44727</v>
      </c>
      <c r="C383" s="14">
        <v>0.089</v>
      </c>
      <c r="D383" s="25">
        <v>382.0</v>
      </c>
      <c r="E383" s="26">
        <f t="shared" si="1"/>
        <v>0.317123857</v>
      </c>
      <c r="F383" s="18">
        <f t="shared" si="2"/>
        <v>-0.4757567103</v>
      </c>
    </row>
    <row r="384">
      <c r="A384" s="14">
        <v>0.843313575</v>
      </c>
      <c r="B384" s="14">
        <v>0.44735</v>
      </c>
      <c r="C384" s="14">
        <v>0.089</v>
      </c>
      <c r="D384" s="25">
        <v>383.0</v>
      </c>
      <c r="E384" s="26">
        <f t="shared" si="1"/>
        <v>0.3179551122</v>
      </c>
      <c r="F384" s="18">
        <f t="shared" si="2"/>
        <v>-0.473424682</v>
      </c>
    </row>
    <row r="385">
      <c r="A385" s="14">
        <v>0.844</v>
      </c>
      <c r="B385" s="14">
        <v>0.447551847</v>
      </c>
      <c r="C385" s="14">
        <v>0.089</v>
      </c>
      <c r="D385" s="25">
        <v>384.0</v>
      </c>
      <c r="E385" s="26">
        <f t="shared" si="1"/>
        <v>0.3187863674</v>
      </c>
      <c r="F385" s="18">
        <f t="shared" si="2"/>
        <v>-0.4710952254</v>
      </c>
    </row>
    <row r="386">
      <c r="A386" s="14">
        <v>0.844</v>
      </c>
      <c r="B386" s="14">
        <v>0.448</v>
      </c>
      <c r="C386" s="14">
        <v>0.089</v>
      </c>
      <c r="D386" s="25">
        <v>385.0</v>
      </c>
      <c r="E386" s="26">
        <f t="shared" si="1"/>
        <v>0.3196176226</v>
      </c>
      <c r="F386" s="18">
        <f t="shared" si="2"/>
        <v>-0.4687683224</v>
      </c>
    </row>
    <row r="387">
      <c r="A387" s="14">
        <v>0.844</v>
      </c>
      <c r="B387" s="14">
        <v>0.448</v>
      </c>
      <c r="C387" s="14">
        <v>0.089</v>
      </c>
      <c r="D387" s="25">
        <v>386.0</v>
      </c>
      <c r="E387" s="26">
        <f t="shared" si="1"/>
        <v>0.3204488778</v>
      </c>
      <c r="F387" s="18">
        <f t="shared" si="2"/>
        <v>-0.4664439547</v>
      </c>
    </row>
    <row r="388">
      <c r="A388" s="14">
        <v>0.846475244</v>
      </c>
      <c r="B388" s="14">
        <v>0.448</v>
      </c>
      <c r="C388" s="14">
        <v>0.08984752</v>
      </c>
      <c r="D388" s="25">
        <v>387.0</v>
      </c>
      <c r="E388" s="26">
        <f t="shared" si="1"/>
        <v>0.321280133</v>
      </c>
      <c r="F388" s="18">
        <f t="shared" si="2"/>
        <v>-0.4641221044</v>
      </c>
    </row>
    <row r="389">
      <c r="A389" s="14">
        <v>0.846730053</v>
      </c>
      <c r="B389" s="14">
        <v>0.448</v>
      </c>
      <c r="C389" s="14">
        <v>0.08998096</v>
      </c>
      <c r="D389" s="25">
        <v>388.0</v>
      </c>
      <c r="E389" s="26">
        <f t="shared" si="1"/>
        <v>0.3221113882</v>
      </c>
      <c r="F389" s="18">
        <f t="shared" si="2"/>
        <v>-0.4618027534</v>
      </c>
    </row>
    <row r="390">
      <c r="A390" s="14">
        <v>0.846880972</v>
      </c>
      <c r="B390" s="14">
        <v>0.44888</v>
      </c>
      <c r="C390" s="14">
        <v>0.09</v>
      </c>
      <c r="D390" s="25">
        <v>389.0</v>
      </c>
      <c r="E390" s="26">
        <f t="shared" si="1"/>
        <v>0.3229426434</v>
      </c>
      <c r="F390" s="18">
        <f t="shared" si="2"/>
        <v>-0.459485884</v>
      </c>
    </row>
    <row r="391">
      <c r="A391" s="14">
        <v>0.847</v>
      </c>
      <c r="B391" s="14">
        <v>0.449</v>
      </c>
      <c r="C391" s="14">
        <v>0.09081</v>
      </c>
      <c r="D391" s="25">
        <v>390.0</v>
      </c>
      <c r="E391" s="26">
        <f t="shared" si="1"/>
        <v>0.3237738986</v>
      </c>
      <c r="F391" s="18">
        <f t="shared" si="2"/>
        <v>-0.4571714785</v>
      </c>
    </row>
    <row r="392">
      <c r="A392" s="14">
        <v>0.84783</v>
      </c>
      <c r="B392" s="14">
        <v>0.44974</v>
      </c>
      <c r="C392" s="14">
        <v>0.091</v>
      </c>
      <c r="D392" s="25">
        <v>391.0</v>
      </c>
      <c r="E392" s="26">
        <f t="shared" si="1"/>
        <v>0.3246051538</v>
      </c>
      <c r="F392" s="18">
        <f t="shared" si="2"/>
        <v>-0.4548595192</v>
      </c>
    </row>
    <row r="393">
      <c r="A393" s="14">
        <v>0.848</v>
      </c>
      <c r="B393" s="14">
        <v>0.449750572</v>
      </c>
      <c r="C393" s="14">
        <v>0.091065913</v>
      </c>
      <c r="D393" s="25">
        <v>392.0</v>
      </c>
      <c r="E393" s="26">
        <f t="shared" si="1"/>
        <v>0.325436409</v>
      </c>
      <c r="F393" s="18">
        <f t="shared" si="2"/>
        <v>-0.4525499886</v>
      </c>
    </row>
    <row r="394">
      <c r="A394" s="14">
        <v>0.848</v>
      </c>
      <c r="B394" s="14">
        <v>0.45</v>
      </c>
      <c r="C394" s="14">
        <v>0.09179</v>
      </c>
      <c r="D394" s="25">
        <v>393.0</v>
      </c>
      <c r="E394" s="26">
        <f t="shared" si="1"/>
        <v>0.3262676642</v>
      </c>
      <c r="F394" s="18">
        <f t="shared" si="2"/>
        <v>-0.4502428694</v>
      </c>
    </row>
    <row r="395">
      <c r="A395" s="14">
        <v>0.848</v>
      </c>
      <c r="B395" s="14">
        <v>0.45</v>
      </c>
      <c r="C395" s="14">
        <v>0.092</v>
      </c>
      <c r="D395" s="25">
        <v>394.0</v>
      </c>
      <c r="E395" s="26">
        <f t="shared" si="1"/>
        <v>0.3270989194</v>
      </c>
      <c r="F395" s="18">
        <f t="shared" si="2"/>
        <v>-0.4479381443</v>
      </c>
    </row>
    <row r="396">
      <c r="A396" s="14">
        <v>0.84829</v>
      </c>
      <c r="B396" s="14">
        <v>0.450002879</v>
      </c>
      <c r="C396" s="14">
        <v>0.092226885</v>
      </c>
      <c r="D396" s="25">
        <v>395.0</v>
      </c>
      <c r="E396" s="26">
        <f t="shared" si="1"/>
        <v>0.3279301746</v>
      </c>
      <c r="F396" s="18">
        <f t="shared" si="2"/>
        <v>-0.4456357961</v>
      </c>
    </row>
    <row r="397">
      <c r="A397" s="14">
        <v>0.849181116</v>
      </c>
      <c r="B397" s="14">
        <v>0.451313615</v>
      </c>
      <c r="C397" s="14">
        <v>0.09261021</v>
      </c>
      <c r="D397" s="25">
        <v>396.0</v>
      </c>
      <c r="E397" s="26">
        <f t="shared" si="1"/>
        <v>0.3287614298</v>
      </c>
      <c r="F397" s="18">
        <f t="shared" si="2"/>
        <v>-0.4433358076</v>
      </c>
    </row>
    <row r="398">
      <c r="A398" s="14">
        <v>0.849987149</v>
      </c>
      <c r="B398" s="14">
        <v>0.4519</v>
      </c>
      <c r="C398" s="14">
        <v>0.0927</v>
      </c>
      <c r="D398" s="25">
        <v>397.0</v>
      </c>
      <c r="E398" s="26">
        <f t="shared" si="1"/>
        <v>0.329592685</v>
      </c>
      <c r="F398" s="18">
        <f t="shared" si="2"/>
        <v>-0.441038162</v>
      </c>
    </row>
    <row r="399">
      <c r="A399" s="14">
        <v>0.85</v>
      </c>
      <c r="B399" s="14">
        <v>0.452</v>
      </c>
      <c r="C399" s="14">
        <v>0.093</v>
      </c>
      <c r="D399" s="25">
        <v>398.0</v>
      </c>
      <c r="E399" s="26">
        <f t="shared" si="1"/>
        <v>0.3304239401</v>
      </c>
      <c r="F399" s="18">
        <f t="shared" si="2"/>
        <v>-0.4387428424</v>
      </c>
    </row>
    <row r="400">
      <c r="A400" s="14">
        <v>0.85</v>
      </c>
      <c r="B400" s="14">
        <v>0.452763766</v>
      </c>
      <c r="C400" s="14">
        <v>0.093</v>
      </c>
      <c r="D400" s="25">
        <v>399.0</v>
      </c>
      <c r="E400" s="26">
        <f t="shared" si="1"/>
        <v>0.3312551953</v>
      </c>
      <c r="F400" s="18">
        <f t="shared" si="2"/>
        <v>-0.436449832</v>
      </c>
    </row>
    <row r="401">
      <c r="A401" s="14">
        <v>0.85188</v>
      </c>
      <c r="B401" s="14">
        <v>0.454</v>
      </c>
      <c r="C401" s="14">
        <v>0.093</v>
      </c>
      <c r="D401" s="25">
        <v>400.0</v>
      </c>
      <c r="E401" s="26">
        <f t="shared" si="1"/>
        <v>0.3320864505</v>
      </c>
      <c r="F401" s="18">
        <f t="shared" si="2"/>
        <v>-0.434159114</v>
      </c>
    </row>
    <row r="402">
      <c r="A402" s="14">
        <v>0.852532268</v>
      </c>
      <c r="B402" s="14">
        <v>0.454</v>
      </c>
      <c r="C402" s="14">
        <v>0.093</v>
      </c>
      <c r="D402" s="25">
        <v>401.0</v>
      </c>
      <c r="E402" s="26">
        <f t="shared" si="1"/>
        <v>0.3329177057</v>
      </c>
      <c r="F402" s="18">
        <f t="shared" si="2"/>
        <v>-0.4318706721</v>
      </c>
    </row>
    <row r="403">
      <c r="A403" s="14">
        <v>0.853</v>
      </c>
      <c r="B403" s="14">
        <v>0.454</v>
      </c>
      <c r="C403" s="14">
        <v>0.09314</v>
      </c>
      <c r="D403" s="25">
        <v>402.0</v>
      </c>
      <c r="E403" s="26">
        <f t="shared" si="1"/>
        <v>0.3337489609</v>
      </c>
      <c r="F403" s="18">
        <f t="shared" si="2"/>
        <v>-0.4295844895</v>
      </c>
    </row>
    <row r="404">
      <c r="A404" s="14">
        <v>0.853</v>
      </c>
      <c r="B404" s="14">
        <v>0.45492</v>
      </c>
      <c r="C404" s="14">
        <v>0.093146972</v>
      </c>
      <c r="D404" s="25">
        <v>403.0</v>
      </c>
      <c r="E404" s="26">
        <f t="shared" si="1"/>
        <v>0.3345802161</v>
      </c>
      <c r="F404" s="18">
        <f t="shared" si="2"/>
        <v>-0.4273005501</v>
      </c>
    </row>
    <row r="405">
      <c r="A405" s="14">
        <v>0.855</v>
      </c>
      <c r="B405" s="14">
        <v>0.455</v>
      </c>
      <c r="C405" s="14">
        <v>0.094</v>
      </c>
      <c r="D405" s="25">
        <v>404.0</v>
      </c>
      <c r="E405" s="26">
        <f t="shared" si="1"/>
        <v>0.3354114713</v>
      </c>
      <c r="F405" s="18">
        <f t="shared" si="2"/>
        <v>-0.4250188375</v>
      </c>
    </row>
    <row r="406">
      <c r="A406" s="14">
        <v>0.855314612</v>
      </c>
      <c r="B406" s="14">
        <v>0.455</v>
      </c>
      <c r="C406" s="14">
        <v>0.09419</v>
      </c>
      <c r="D406" s="25">
        <v>405.0</v>
      </c>
      <c r="E406" s="26">
        <f t="shared" si="1"/>
        <v>0.3362427265</v>
      </c>
      <c r="F406" s="18">
        <f t="shared" si="2"/>
        <v>-0.4227393354</v>
      </c>
    </row>
    <row r="407">
      <c r="A407" s="14">
        <v>0.85563</v>
      </c>
      <c r="B407" s="14">
        <v>0.455198199</v>
      </c>
      <c r="C407" s="14">
        <v>0.09472</v>
      </c>
      <c r="D407" s="25">
        <v>406.0</v>
      </c>
      <c r="E407" s="26">
        <f t="shared" si="1"/>
        <v>0.3370739817</v>
      </c>
      <c r="F407" s="18">
        <f t="shared" si="2"/>
        <v>-0.4204620279</v>
      </c>
    </row>
    <row r="408">
      <c r="A408" s="14">
        <v>0.857</v>
      </c>
      <c r="B408" s="14">
        <v>0.457</v>
      </c>
      <c r="C408" s="14">
        <v>0.095</v>
      </c>
      <c r="D408" s="25">
        <v>407.0</v>
      </c>
      <c r="E408" s="26">
        <f t="shared" si="1"/>
        <v>0.3379052369</v>
      </c>
      <c r="F408" s="18">
        <f t="shared" si="2"/>
        <v>-0.4181868988</v>
      </c>
    </row>
    <row r="409">
      <c r="A409" s="14">
        <v>0.857</v>
      </c>
      <c r="B409" s="14">
        <v>0.457</v>
      </c>
      <c r="C409" s="14">
        <v>0.095</v>
      </c>
      <c r="D409" s="25">
        <v>408.0</v>
      </c>
      <c r="E409" s="26">
        <f t="shared" si="1"/>
        <v>0.3387364921</v>
      </c>
      <c r="F409" s="18">
        <f t="shared" si="2"/>
        <v>-0.4159139323</v>
      </c>
    </row>
    <row r="410">
      <c r="A410" s="14">
        <v>0.857497036</v>
      </c>
      <c r="B410" s="14">
        <v>0.457003742</v>
      </c>
      <c r="C410" s="14">
        <v>0.095375381</v>
      </c>
      <c r="D410" s="25">
        <v>409.0</v>
      </c>
      <c r="E410" s="26">
        <f t="shared" si="1"/>
        <v>0.3395677473</v>
      </c>
      <c r="F410" s="18">
        <f t="shared" si="2"/>
        <v>-0.4136431125</v>
      </c>
    </row>
    <row r="411">
      <c r="A411" s="14">
        <v>0.858</v>
      </c>
      <c r="B411" s="14">
        <v>0.45727</v>
      </c>
      <c r="C411" s="14">
        <v>0.095665015</v>
      </c>
      <c r="D411" s="25">
        <v>410.0</v>
      </c>
      <c r="E411" s="26">
        <f t="shared" si="1"/>
        <v>0.3403990025</v>
      </c>
      <c r="F411" s="18">
        <f t="shared" si="2"/>
        <v>-0.4113744238</v>
      </c>
    </row>
    <row r="412">
      <c r="A412" s="14">
        <v>0.858</v>
      </c>
      <c r="B412" s="14">
        <v>0.459</v>
      </c>
      <c r="C412" s="14">
        <v>0.096</v>
      </c>
      <c r="D412" s="25">
        <v>411.0</v>
      </c>
      <c r="E412" s="26">
        <f t="shared" si="1"/>
        <v>0.3412302577</v>
      </c>
      <c r="F412" s="18">
        <f t="shared" si="2"/>
        <v>-0.4091078504</v>
      </c>
    </row>
    <row r="413">
      <c r="A413" s="14">
        <v>0.85974</v>
      </c>
      <c r="B413" s="14">
        <v>0.45951</v>
      </c>
      <c r="C413" s="14">
        <v>0.096581072</v>
      </c>
      <c r="D413" s="25">
        <v>412.0</v>
      </c>
      <c r="E413" s="26">
        <f t="shared" si="1"/>
        <v>0.3420615129</v>
      </c>
      <c r="F413" s="18">
        <f t="shared" si="2"/>
        <v>-0.4068433768</v>
      </c>
    </row>
    <row r="414">
      <c r="A414" s="14">
        <v>0.86</v>
      </c>
      <c r="B414" s="14">
        <v>0.46</v>
      </c>
      <c r="C414" s="14">
        <v>0.097</v>
      </c>
      <c r="D414" s="25">
        <v>413.0</v>
      </c>
      <c r="E414" s="26">
        <f t="shared" si="1"/>
        <v>0.3428927681</v>
      </c>
      <c r="F414" s="18">
        <f t="shared" si="2"/>
        <v>-0.4045809875</v>
      </c>
    </row>
    <row r="415">
      <c r="A415" s="14">
        <v>0.86</v>
      </c>
      <c r="B415" s="14">
        <v>0.46</v>
      </c>
      <c r="C415" s="14">
        <v>0.097</v>
      </c>
      <c r="D415" s="25">
        <v>414.0</v>
      </c>
      <c r="E415" s="26">
        <f t="shared" si="1"/>
        <v>0.3437240233</v>
      </c>
      <c r="F415" s="18">
        <f t="shared" si="2"/>
        <v>-0.4023206671</v>
      </c>
    </row>
    <row r="416">
      <c r="A416" s="14">
        <v>0.8604</v>
      </c>
      <c r="B416" s="14">
        <v>0.46</v>
      </c>
      <c r="C416" s="14">
        <v>0.09719</v>
      </c>
      <c r="D416" s="25">
        <v>415.0</v>
      </c>
      <c r="E416" s="26">
        <f t="shared" si="1"/>
        <v>0.3445552785</v>
      </c>
      <c r="F416" s="18">
        <f t="shared" si="2"/>
        <v>-0.4000624003</v>
      </c>
    </row>
    <row r="417">
      <c r="A417" s="14">
        <v>0.862</v>
      </c>
      <c r="B417" s="14">
        <v>0.46074</v>
      </c>
      <c r="C417" s="14">
        <v>0.098</v>
      </c>
      <c r="D417" s="25">
        <v>416.0</v>
      </c>
      <c r="E417" s="26">
        <f t="shared" si="1"/>
        <v>0.3453865337</v>
      </c>
      <c r="F417" s="18">
        <f t="shared" si="2"/>
        <v>-0.397806172</v>
      </c>
    </row>
    <row r="418">
      <c r="A418" s="14">
        <v>0.86216</v>
      </c>
      <c r="B418" s="14">
        <v>0.46074</v>
      </c>
      <c r="C418" s="14">
        <v>0.098583199</v>
      </c>
      <c r="D418" s="25">
        <v>417.0</v>
      </c>
      <c r="E418" s="26">
        <f t="shared" si="1"/>
        <v>0.3462177889</v>
      </c>
      <c r="F418" s="18">
        <f t="shared" si="2"/>
        <v>-0.3955519668</v>
      </c>
    </row>
    <row r="419">
      <c r="A419" s="14">
        <v>0.863</v>
      </c>
      <c r="B419" s="14">
        <v>0.461</v>
      </c>
      <c r="C419" s="14">
        <v>0.099</v>
      </c>
      <c r="D419" s="25">
        <v>418.0</v>
      </c>
      <c r="E419" s="26">
        <f t="shared" si="1"/>
        <v>0.3470490441</v>
      </c>
      <c r="F419" s="18">
        <f t="shared" si="2"/>
        <v>-0.3932997699</v>
      </c>
    </row>
    <row r="420">
      <c r="A420" s="14">
        <v>0.86333</v>
      </c>
      <c r="B420" s="14">
        <v>0.46145</v>
      </c>
      <c r="C420" s="14">
        <v>0.099</v>
      </c>
      <c r="D420" s="25">
        <v>419.0</v>
      </c>
      <c r="E420" s="26">
        <f t="shared" si="1"/>
        <v>0.3478802993</v>
      </c>
      <c r="F420" s="18">
        <f t="shared" si="2"/>
        <v>-0.3910495661</v>
      </c>
    </row>
    <row r="421">
      <c r="A421" s="14">
        <v>0.864</v>
      </c>
      <c r="B421" s="14">
        <v>0.461603492</v>
      </c>
      <c r="C421" s="14">
        <v>0.099</v>
      </c>
      <c r="D421" s="25">
        <v>420.0</v>
      </c>
      <c r="E421" s="26">
        <f t="shared" si="1"/>
        <v>0.3487115544</v>
      </c>
      <c r="F421" s="18">
        <f t="shared" si="2"/>
        <v>-0.3888013407</v>
      </c>
    </row>
    <row r="422">
      <c r="A422" s="14">
        <v>0.86449</v>
      </c>
      <c r="B422" s="14">
        <v>0.462</v>
      </c>
      <c r="C422" s="14">
        <v>0.099331893</v>
      </c>
      <c r="D422" s="25">
        <v>421.0</v>
      </c>
      <c r="E422" s="26">
        <f t="shared" si="1"/>
        <v>0.3495428096</v>
      </c>
      <c r="F422" s="18">
        <f t="shared" si="2"/>
        <v>-0.3865550787</v>
      </c>
    </row>
    <row r="423">
      <c r="A423" s="14">
        <v>0.864669204</v>
      </c>
      <c r="B423" s="14">
        <v>0.462</v>
      </c>
      <c r="C423" s="14">
        <v>0.09967158</v>
      </c>
      <c r="D423" s="25">
        <v>422.0</v>
      </c>
      <c r="E423" s="26">
        <f t="shared" si="1"/>
        <v>0.3503740648</v>
      </c>
      <c r="F423" s="18">
        <f t="shared" si="2"/>
        <v>-0.3843107656</v>
      </c>
    </row>
    <row r="424">
      <c r="A424" s="14">
        <v>0.865</v>
      </c>
      <c r="B424" s="14">
        <v>0.46235</v>
      </c>
      <c r="C424" s="14">
        <v>0.09987215</v>
      </c>
      <c r="D424" s="25">
        <v>423.0</v>
      </c>
      <c r="E424" s="26">
        <f t="shared" si="1"/>
        <v>0.35120532</v>
      </c>
      <c r="F424" s="18">
        <f t="shared" si="2"/>
        <v>-0.3820683864</v>
      </c>
    </row>
    <row r="425">
      <c r="A425" s="14">
        <v>0.865</v>
      </c>
      <c r="B425" s="14">
        <v>0.46364</v>
      </c>
      <c r="C425" s="14">
        <v>0.1</v>
      </c>
      <c r="D425" s="25">
        <v>424.0</v>
      </c>
      <c r="E425" s="26">
        <f t="shared" si="1"/>
        <v>0.3520365752</v>
      </c>
      <c r="F425" s="18">
        <f t="shared" si="2"/>
        <v>-0.3798279268</v>
      </c>
    </row>
    <row r="426">
      <c r="A426" s="14">
        <v>0.867</v>
      </c>
      <c r="B426" s="14">
        <v>0.464</v>
      </c>
      <c r="C426" s="14">
        <v>0.1</v>
      </c>
      <c r="D426" s="25">
        <v>425.0</v>
      </c>
      <c r="E426" s="26">
        <f t="shared" si="1"/>
        <v>0.3528678304</v>
      </c>
      <c r="F426" s="18">
        <f t="shared" si="2"/>
        <v>-0.3775893722</v>
      </c>
    </row>
    <row r="427">
      <c r="A427" s="14">
        <v>0.867</v>
      </c>
      <c r="B427" s="14">
        <v>0.46562</v>
      </c>
      <c r="C427" s="14">
        <v>0.1</v>
      </c>
      <c r="D427" s="25">
        <v>426.0</v>
      </c>
      <c r="E427" s="26">
        <f t="shared" si="1"/>
        <v>0.3536990856</v>
      </c>
      <c r="F427" s="18">
        <f t="shared" si="2"/>
        <v>-0.3753527081</v>
      </c>
    </row>
    <row r="428">
      <c r="A428" s="14">
        <v>0.86758</v>
      </c>
      <c r="B428" s="14">
        <v>0.46573323</v>
      </c>
      <c r="C428" s="14">
        <v>0.100106589</v>
      </c>
      <c r="D428" s="25">
        <v>427.0</v>
      </c>
      <c r="E428" s="26">
        <f t="shared" si="1"/>
        <v>0.3545303408</v>
      </c>
      <c r="F428" s="18">
        <f t="shared" si="2"/>
        <v>-0.3731179203</v>
      </c>
    </row>
    <row r="429">
      <c r="A429" s="14">
        <v>0.868</v>
      </c>
      <c r="B429" s="14">
        <v>0.46582</v>
      </c>
      <c r="C429" s="14">
        <v>0.10039</v>
      </c>
      <c r="D429" s="25">
        <v>428.0</v>
      </c>
      <c r="E429" s="26">
        <f t="shared" si="1"/>
        <v>0.355361596</v>
      </c>
      <c r="F429" s="18">
        <f t="shared" si="2"/>
        <v>-0.3708849943</v>
      </c>
    </row>
    <row r="430">
      <c r="A430" s="14">
        <v>0.86835146</v>
      </c>
      <c r="B430" s="14">
        <v>0.46611</v>
      </c>
      <c r="C430" s="14">
        <v>0.10062</v>
      </c>
      <c r="D430" s="25">
        <v>429.0</v>
      </c>
      <c r="E430" s="26">
        <f t="shared" si="1"/>
        <v>0.3561928512</v>
      </c>
      <c r="F430" s="18">
        <f t="shared" si="2"/>
        <v>-0.368653916</v>
      </c>
    </row>
    <row r="431">
      <c r="A431" s="14">
        <v>0.86908</v>
      </c>
      <c r="B431" s="14">
        <v>0.466610909</v>
      </c>
      <c r="C431" s="14">
        <v>0.101</v>
      </c>
      <c r="D431" s="25">
        <v>430.0</v>
      </c>
      <c r="E431" s="26">
        <f t="shared" si="1"/>
        <v>0.3570241064</v>
      </c>
      <c r="F431" s="18">
        <f t="shared" si="2"/>
        <v>-0.3664246713</v>
      </c>
    </row>
    <row r="432">
      <c r="A432" s="14">
        <v>0.87</v>
      </c>
      <c r="B432" s="14">
        <v>0.466914654</v>
      </c>
      <c r="C432" s="14">
        <v>0.101</v>
      </c>
      <c r="D432" s="25">
        <v>431.0</v>
      </c>
      <c r="E432" s="26">
        <f t="shared" si="1"/>
        <v>0.3578553616</v>
      </c>
      <c r="F432" s="18">
        <f t="shared" si="2"/>
        <v>-0.364197246</v>
      </c>
    </row>
    <row r="433">
      <c r="A433" s="14">
        <v>0.870701015</v>
      </c>
      <c r="B433" s="14">
        <v>0.46761</v>
      </c>
      <c r="C433" s="14">
        <v>0.101</v>
      </c>
      <c r="D433" s="25">
        <v>432.0</v>
      </c>
      <c r="E433" s="26">
        <f t="shared" si="1"/>
        <v>0.3586866168</v>
      </c>
      <c r="F433" s="18">
        <f t="shared" si="2"/>
        <v>-0.3619716262</v>
      </c>
    </row>
    <row r="434">
      <c r="A434" s="14">
        <v>0.87114</v>
      </c>
      <c r="B434" s="14">
        <v>0.468</v>
      </c>
      <c r="C434" s="14">
        <v>0.102</v>
      </c>
      <c r="D434" s="25">
        <v>433.0</v>
      </c>
      <c r="E434" s="26">
        <f t="shared" si="1"/>
        <v>0.359517872</v>
      </c>
      <c r="F434" s="18">
        <f t="shared" si="2"/>
        <v>-0.359747798</v>
      </c>
    </row>
    <row r="435">
      <c r="A435" s="14">
        <v>0.87119</v>
      </c>
      <c r="B435" s="14">
        <v>0.46823</v>
      </c>
      <c r="C435" s="14">
        <v>0.102</v>
      </c>
      <c r="D435" s="25">
        <v>434.0</v>
      </c>
      <c r="E435" s="26">
        <f t="shared" si="1"/>
        <v>0.3603491272</v>
      </c>
      <c r="F435" s="18">
        <f t="shared" si="2"/>
        <v>-0.3575257474</v>
      </c>
    </row>
    <row r="436">
      <c r="A436" s="14">
        <v>0.872</v>
      </c>
      <c r="B436" s="14">
        <v>0.469987005</v>
      </c>
      <c r="C436" s="14">
        <v>0.102</v>
      </c>
      <c r="D436" s="25">
        <v>435.0</v>
      </c>
      <c r="E436" s="26">
        <f t="shared" si="1"/>
        <v>0.3611803824</v>
      </c>
      <c r="F436" s="18">
        <f t="shared" si="2"/>
        <v>-0.3553054607</v>
      </c>
    </row>
    <row r="437">
      <c r="A437" s="14">
        <v>0.872117937</v>
      </c>
      <c r="B437" s="14">
        <v>0.47</v>
      </c>
      <c r="C437" s="14">
        <v>0.103</v>
      </c>
      <c r="D437" s="25">
        <v>436.0</v>
      </c>
      <c r="E437" s="26">
        <f t="shared" si="1"/>
        <v>0.3620116376</v>
      </c>
      <c r="F437" s="18">
        <f t="shared" si="2"/>
        <v>-0.3530869242</v>
      </c>
    </row>
    <row r="438">
      <c r="A438" s="14">
        <v>0.873</v>
      </c>
      <c r="B438" s="14">
        <v>0.47</v>
      </c>
      <c r="C438" s="14">
        <v>0.10339</v>
      </c>
      <c r="D438" s="25">
        <v>437.0</v>
      </c>
      <c r="E438" s="26">
        <f t="shared" si="1"/>
        <v>0.3628428928</v>
      </c>
      <c r="F438" s="18">
        <f t="shared" si="2"/>
        <v>-0.3508701242</v>
      </c>
    </row>
    <row r="439">
      <c r="A439" s="14">
        <v>0.873</v>
      </c>
      <c r="B439" s="14">
        <v>0.47</v>
      </c>
      <c r="C439" s="14">
        <v>0.10398</v>
      </c>
      <c r="D439" s="25">
        <v>438.0</v>
      </c>
      <c r="E439" s="26">
        <f t="shared" si="1"/>
        <v>0.363674148</v>
      </c>
      <c r="F439" s="18">
        <f t="shared" si="2"/>
        <v>-0.3486550471</v>
      </c>
    </row>
    <row r="440">
      <c r="A440" s="14">
        <v>0.873664737</v>
      </c>
      <c r="B440" s="14">
        <v>0.470222116</v>
      </c>
      <c r="C440" s="14">
        <v>0.104</v>
      </c>
      <c r="D440" s="25">
        <v>439.0</v>
      </c>
      <c r="E440" s="26">
        <f t="shared" si="1"/>
        <v>0.3645054032</v>
      </c>
      <c r="F440" s="18">
        <f t="shared" si="2"/>
        <v>-0.3464416794</v>
      </c>
    </row>
    <row r="441">
      <c r="A441" s="14">
        <v>0.874</v>
      </c>
      <c r="B441" s="14">
        <v>0.471</v>
      </c>
      <c r="C441" s="14">
        <v>0.10441</v>
      </c>
      <c r="D441" s="25">
        <v>440.0</v>
      </c>
      <c r="E441" s="26">
        <f t="shared" si="1"/>
        <v>0.3653366584</v>
      </c>
      <c r="F441" s="18">
        <f t="shared" si="2"/>
        <v>-0.3442300076</v>
      </c>
    </row>
    <row r="442">
      <c r="A442" s="14">
        <v>0.874067068</v>
      </c>
      <c r="B442" s="14">
        <v>0.471566707</v>
      </c>
      <c r="C442" s="14">
        <v>0.10464</v>
      </c>
      <c r="D442" s="25">
        <v>441.0</v>
      </c>
      <c r="E442" s="26">
        <f t="shared" si="1"/>
        <v>0.3661679135</v>
      </c>
      <c r="F442" s="18">
        <f t="shared" si="2"/>
        <v>-0.3420200183</v>
      </c>
    </row>
    <row r="443">
      <c r="A443" s="14">
        <v>0.874257445</v>
      </c>
      <c r="B443" s="14">
        <v>0.472</v>
      </c>
      <c r="C443" s="14">
        <v>0.104970247</v>
      </c>
      <c r="D443" s="25">
        <v>442.0</v>
      </c>
      <c r="E443" s="26">
        <f t="shared" si="1"/>
        <v>0.3669991687</v>
      </c>
      <c r="F443" s="18">
        <f t="shared" si="2"/>
        <v>-0.3398116982</v>
      </c>
    </row>
    <row r="444">
      <c r="A444" s="14">
        <v>0.874623716</v>
      </c>
      <c r="B444" s="14">
        <v>0.47216</v>
      </c>
      <c r="C444" s="14">
        <v>0.105</v>
      </c>
      <c r="D444" s="25">
        <v>443.0</v>
      </c>
      <c r="E444" s="26">
        <f t="shared" si="1"/>
        <v>0.3678304239</v>
      </c>
      <c r="F444" s="18">
        <f t="shared" si="2"/>
        <v>-0.337605034</v>
      </c>
    </row>
    <row r="445">
      <c r="A445" s="14">
        <v>0.875</v>
      </c>
      <c r="B445" s="14">
        <v>0.472787708</v>
      </c>
      <c r="C445" s="14">
        <v>0.105</v>
      </c>
      <c r="D445" s="25">
        <v>444.0</v>
      </c>
      <c r="E445" s="26">
        <f t="shared" si="1"/>
        <v>0.3686616791</v>
      </c>
      <c r="F445" s="18">
        <f t="shared" si="2"/>
        <v>-0.3354000125</v>
      </c>
    </row>
    <row r="446">
      <c r="A446" s="14">
        <v>0.875</v>
      </c>
      <c r="B446" s="14">
        <v>0.473</v>
      </c>
      <c r="C446" s="14">
        <v>0.105</v>
      </c>
      <c r="D446" s="25">
        <v>445.0</v>
      </c>
      <c r="E446" s="26">
        <f t="shared" si="1"/>
        <v>0.3694929343</v>
      </c>
      <c r="F446" s="18">
        <f t="shared" si="2"/>
        <v>-0.3331966206</v>
      </c>
    </row>
    <row r="447">
      <c r="A447" s="14">
        <v>0.87625</v>
      </c>
      <c r="B447" s="14">
        <v>0.473</v>
      </c>
      <c r="C447" s="14">
        <v>0.10501</v>
      </c>
      <c r="D447" s="25">
        <v>446.0</v>
      </c>
      <c r="E447" s="26">
        <f t="shared" si="1"/>
        <v>0.3703241895</v>
      </c>
      <c r="F447" s="18">
        <f t="shared" si="2"/>
        <v>-0.3309948451</v>
      </c>
    </row>
    <row r="448">
      <c r="A448" s="14">
        <v>0.876342118</v>
      </c>
      <c r="B448" s="14">
        <v>0.473507792</v>
      </c>
      <c r="C448" s="14">
        <v>0.10547</v>
      </c>
      <c r="D448" s="25">
        <v>447.0</v>
      </c>
      <c r="E448" s="26">
        <f t="shared" si="1"/>
        <v>0.3711554447</v>
      </c>
      <c r="F448" s="18">
        <f t="shared" si="2"/>
        <v>-0.3287946731</v>
      </c>
    </row>
    <row r="449">
      <c r="A449" s="14">
        <v>0.877</v>
      </c>
      <c r="B449" s="14">
        <v>0.47375</v>
      </c>
      <c r="C449" s="14">
        <v>0.10583</v>
      </c>
      <c r="D449" s="25">
        <v>448.0</v>
      </c>
      <c r="E449" s="26">
        <f t="shared" si="1"/>
        <v>0.3719866999</v>
      </c>
      <c r="F449" s="18">
        <f t="shared" si="2"/>
        <v>-0.3265960916</v>
      </c>
    </row>
    <row r="450">
      <c r="A450" s="14">
        <v>0.877</v>
      </c>
      <c r="B450" s="14">
        <v>0.474</v>
      </c>
      <c r="C450" s="14">
        <v>0.106</v>
      </c>
      <c r="D450" s="25">
        <v>449.0</v>
      </c>
      <c r="E450" s="26">
        <f t="shared" si="1"/>
        <v>0.3728179551</v>
      </c>
      <c r="F450" s="18">
        <f t="shared" si="2"/>
        <v>-0.3243990875</v>
      </c>
    </row>
    <row r="451">
      <c r="A451" s="14">
        <v>0.87717</v>
      </c>
      <c r="B451" s="14">
        <v>0.474307239</v>
      </c>
      <c r="C451" s="14">
        <v>0.106</v>
      </c>
      <c r="D451" s="25">
        <v>450.0</v>
      </c>
      <c r="E451" s="26">
        <f t="shared" si="1"/>
        <v>0.3736492103</v>
      </c>
      <c r="F451" s="18">
        <f t="shared" si="2"/>
        <v>-0.3222036482</v>
      </c>
    </row>
    <row r="452">
      <c r="A452" s="14">
        <v>0.87758</v>
      </c>
      <c r="B452" s="14">
        <v>0.476</v>
      </c>
      <c r="C452" s="14">
        <v>0.106</v>
      </c>
      <c r="D452" s="25">
        <v>451.0</v>
      </c>
      <c r="E452" s="26">
        <f t="shared" si="1"/>
        <v>0.3744804655</v>
      </c>
      <c r="F452" s="18">
        <f t="shared" si="2"/>
        <v>-0.3200097608</v>
      </c>
    </row>
    <row r="453">
      <c r="A453" s="14">
        <v>0.878</v>
      </c>
      <c r="B453" s="14">
        <v>0.4761</v>
      </c>
      <c r="C453" s="14">
        <v>0.106</v>
      </c>
      <c r="D453" s="25">
        <v>452.0</v>
      </c>
      <c r="E453" s="26">
        <f t="shared" si="1"/>
        <v>0.3753117207</v>
      </c>
      <c r="F453" s="18">
        <f t="shared" si="2"/>
        <v>-0.3178174126</v>
      </c>
    </row>
    <row r="454">
      <c r="A454" s="14">
        <v>0.878</v>
      </c>
      <c r="B454" s="14">
        <v>0.47692</v>
      </c>
      <c r="C454" s="14">
        <v>0.10613</v>
      </c>
      <c r="D454" s="25">
        <v>453.0</v>
      </c>
      <c r="E454" s="26">
        <f t="shared" si="1"/>
        <v>0.3761429759</v>
      </c>
      <c r="F454" s="18">
        <f t="shared" si="2"/>
        <v>-0.3156265909</v>
      </c>
    </row>
    <row r="455">
      <c r="A455" s="14">
        <v>0.878</v>
      </c>
      <c r="B455" s="14">
        <v>0.477</v>
      </c>
      <c r="C455" s="14">
        <v>0.107</v>
      </c>
      <c r="D455" s="25">
        <v>454.0</v>
      </c>
      <c r="E455" s="26">
        <f t="shared" si="1"/>
        <v>0.3769742311</v>
      </c>
      <c r="F455" s="18">
        <f t="shared" si="2"/>
        <v>-0.313437283</v>
      </c>
    </row>
    <row r="456">
      <c r="A456" s="14">
        <v>0.87877</v>
      </c>
      <c r="B456" s="14">
        <v>0.477487415</v>
      </c>
      <c r="C456" s="14">
        <v>0.107</v>
      </c>
      <c r="D456" s="25">
        <v>455.0</v>
      </c>
      <c r="E456" s="26">
        <f t="shared" si="1"/>
        <v>0.3778054863</v>
      </c>
      <c r="F456" s="18">
        <f t="shared" si="2"/>
        <v>-0.3112494765</v>
      </c>
    </row>
    <row r="457">
      <c r="A457" s="14">
        <v>0.878879368</v>
      </c>
      <c r="B457" s="14">
        <v>0.478356659</v>
      </c>
      <c r="C457" s="14">
        <v>0.10713</v>
      </c>
      <c r="D457" s="25">
        <v>456.0</v>
      </c>
      <c r="E457" s="26">
        <f t="shared" si="1"/>
        <v>0.3786367415</v>
      </c>
      <c r="F457" s="18">
        <f t="shared" si="2"/>
        <v>-0.3090631587</v>
      </c>
    </row>
    <row r="458">
      <c r="A458" s="14">
        <v>0.879</v>
      </c>
      <c r="B458" s="14">
        <v>0.479</v>
      </c>
      <c r="C458" s="14">
        <v>0.107215755</v>
      </c>
      <c r="D458" s="25">
        <v>457.0</v>
      </c>
      <c r="E458" s="26">
        <f t="shared" si="1"/>
        <v>0.3794679967</v>
      </c>
      <c r="F458" s="18">
        <f t="shared" si="2"/>
        <v>-0.3068783173</v>
      </c>
    </row>
    <row r="459">
      <c r="A459" s="14">
        <v>0.879</v>
      </c>
      <c r="B459" s="14">
        <v>0.479</v>
      </c>
      <c r="C459" s="14">
        <v>0.10731</v>
      </c>
      <c r="D459" s="25">
        <v>458.0</v>
      </c>
      <c r="E459" s="26">
        <f t="shared" si="1"/>
        <v>0.3802992519</v>
      </c>
      <c r="F459" s="18">
        <f t="shared" si="2"/>
        <v>-0.3046949397</v>
      </c>
    </row>
    <row r="460">
      <c r="A460" s="14">
        <v>0.879</v>
      </c>
      <c r="B460" s="14">
        <v>0.479</v>
      </c>
      <c r="C460" s="14">
        <v>0.10769</v>
      </c>
      <c r="D460" s="25">
        <v>459.0</v>
      </c>
      <c r="E460" s="26">
        <f t="shared" si="1"/>
        <v>0.3811305071</v>
      </c>
      <c r="F460" s="18">
        <f t="shared" si="2"/>
        <v>-0.3025130137</v>
      </c>
    </row>
    <row r="461">
      <c r="A461" s="14">
        <v>0.87964</v>
      </c>
      <c r="B461" s="14">
        <v>0.47913143</v>
      </c>
      <c r="C461" s="14">
        <v>0.10771</v>
      </c>
      <c r="D461" s="25">
        <v>460.0</v>
      </c>
      <c r="E461" s="26">
        <f t="shared" si="1"/>
        <v>0.3819617623</v>
      </c>
      <c r="F461" s="18">
        <f t="shared" si="2"/>
        <v>-0.300332527</v>
      </c>
    </row>
    <row r="462">
      <c r="A462" s="14">
        <v>0.879713595</v>
      </c>
      <c r="B462" s="14">
        <v>0.479246736</v>
      </c>
      <c r="C462" s="14">
        <v>0.108</v>
      </c>
      <c r="D462" s="25">
        <v>461.0</v>
      </c>
      <c r="E462" s="26">
        <f t="shared" si="1"/>
        <v>0.3827930175</v>
      </c>
      <c r="F462" s="18">
        <f t="shared" si="2"/>
        <v>-0.2981534673</v>
      </c>
    </row>
    <row r="463">
      <c r="A463" s="14">
        <v>0.88</v>
      </c>
      <c r="B463" s="14">
        <v>0.48</v>
      </c>
      <c r="C463" s="14">
        <v>0.109</v>
      </c>
      <c r="D463" s="25">
        <v>462.0</v>
      </c>
      <c r="E463" s="26">
        <f t="shared" si="1"/>
        <v>0.3836242727</v>
      </c>
      <c r="F463" s="18">
        <f t="shared" si="2"/>
        <v>-0.2959758224</v>
      </c>
    </row>
    <row r="464">
      <c r="A464" s="14">
        <v>0.88</v>
      </c>
      <c r="B464" s="14">
        <v>0.480791092</v>
      </c>
      <c r="C464" s="14">
        <v>0.109784193</v>
      </c>
      <c r="D464" s="25">
        <v>463.0</v>
      </c>
      <c r="E464" s="26">
        <f t="shared" si="1"/>
        <v>0.3844555278</v>
      </c>
      <c r="F464" s="18">
        <f t="shared" si="2"/>
        <v>-0.2937995801</v>
      </c>
    </row>
    <row r="465">
      <c r="A465" s="14">
        <v>0.88</v>
      </c>
      <c r="B465" s="14">
        <v>0.481</v>
      </c>
      <c r="C465" s="14">
        <v>0.11</v>
      </c>
      <c r="D465" s="25">
        <v>464.0</v>
      </c>
      <c r="E465" s="26">
        <f t="shared" si="1"/>
        <v>0.385286783</v>
      </c>
      <c r="F465" s="18">
        <f t="shared" si="2"/>
        <v>-0.2916247284</v>
      </c>
    </row>
    <row r="466">
      <c r="A466" s="14">
        <v>0.88025</v>
      </c>
      <c r="B466" s="14">
        <v>0.48163</v>
      </c>
      <c r="C466" s="14">
        <v>0.11</v>
      </c>
      <c r="D466" s="25">
        <v>465.0</v>
      </c>
      <c r="E466" s="26">
        <f t="shared" si="1"/>
        <v>0.3861180382</v>
      </c>
      <c r="F466" s="18">
        <f t="shared" si="2"/>
        <v>-0.2894512552</v>
      </c>
    </row>
    <row r="467">
      <c r="A467" s="14">
        <v>0.881475747</v>
      </c>
      <c r="B467" s="14">
        <v>0.48181</v>
      </c>
      <c r="C467" s="14">
        <v>0.11023</v>
      </c>
      <c r="D467" s="25">
        <v>466.0</v>
      </c>
      <c r="E467" s="26">
        <f t="shared" si="1"/>
        <v>0.3869492934</v>
      </c>
      <c r="F467" s="18">
        <f t="shared" si="2"/>
        <v>-0.2872791485</v>
      </c>
    </row>
    <row r="468">
      <c r="A468" s="14">
        <v>0.882</v>
      </c>
      <c r="B468" s="14">
        <v>0.483</v>
      </c>
      <c r="C468" s="14">
        <v>0.11091</v>
      </c>
      <c r="D468" s="25">
        <v>467.0</v>
      </c>
      <c r="E468" s="26">
        <f t="shared" si="1"/>
        <v>0.3877805486</v>
      </c>
      <c r="F468" s="18">
        <f t="shared" si="2"/>
        <v>-0.2851083964</v>
      </c>
    </row>
    <row r="469">
      <c r="A469" s="14">
        <v>0.882</v>
      </c>
      <c r="B469" s="14">
        <v>0.4845</v>
      </c>
      <c r="C469" s="14">
        <v>0.110937618</v>
      </c>
      <c r="D469" s="25">
        <v>468.0</v>
      </c>
      <c r="E469" s="26">
        <f t="shared" si="1"/>
        <v>0.3886118038</v>
      </c>
      <c r="F469" s="18">
        <f t="shared" si="2"/>
        <v>-0.2829389869</v>
      </c>
    </row>
    <row r="470">
      <c r="A470" s="14">
        <v>0.882</v>
      </c>
      <c r="B470" s="14">
        <v>0.48453</v>
      </c>
      <c r="C470" s="14">
        <v>0.111092761</v>
      </c>
      <c r="D470" s="25">
        <v>469.0</v>
      </c>
      <c r="E470" s="26">
        <f t="shared" si="1"/>
        <v>0.389443059</v>
      </c>
      <c r="F470" s="18">
        <f t="shared" si="2"/>
        <v>-0.2807709082</v>
      </c>
    </row>
    <row r="471">
      <c r="A471" s="14">
        <v>0.882</v>
      </c>
      <c r="B471" s="14">
        <v>0.485</v>
      </c>
      <c r="C471" s="14">
        <v>0.11132</v>
      </c>
      <c r="D471" s="25">
        <v>470.0</v>
      </c>
      <c r="E471" s="26">
        <f t="shared" si="1"/>
        <v>0.3902743142</v>
      </c>
      <c r="F471" s="18">
        <f t="shared" si="2"/>
        <v>-0.2786041485</v>
      </c>
    </row>
    <row r="472">
      <c r="A472" s="14">
        <v>0.882085383</v>
      </c>
      <c r="B472" s="14">
        <v>0.48574</v>
      </c>
      <c r="C472" s="14">
        <v>0.112</v>
      </c>
      <c r="D472" s="25">
        <v>471.0</v>
      </c>
      <c r="E472" s="26">
        <f t="shared" si="1"/>
        <v>0.3911055694</v>
      </c>
      <c r="F472" s="18">
        <f t="shared" si="2"/>
        <v>-0.276438696</v>
      </c>
    </row>
    <row r="473">
      <c r="A473" s="14">
        <v>0.883</v>
      </c>
      <c r="B473" s="14">
        <v>0.48614</v>
      </c>
      <c r="C473" s="14">
        <v>0.112</v>
      </c>
      <c r="D473" s="25">
        <v>472.0</v>
      </c>
      <c r="E473" s="26">
        <f t="shared" si="1"/>
        <v>0.3919368246</v>
      </c>
      <c r="F473" s="18">
        <f t="shared" si="2"/>
        <v>-0.274274539</v>
      </c>
    </row>
    <row r="474">
      <c r="A474" s="14">
        <v>0.883545935</v>
      </c>
      <c r="B474" s="14">
        <v>0.4877</v>
      </c>
      <c r="C474" s="14">
        <v>0.113</v>
      </c>
      <c r="D474" s="25">
        <v>473.0</v>
      </c>
      <c r="E474" s="26">
        <f t="shared" si="1"/>
        <v>0.3927680798</v>
      </c>
      <c r="F474" s="18">
        <f t="shared" si="2"/>
        <v>-0.2721116658</v>
      </c>
    </row>
    <row r="475">
      <c r="A475" s="14">
        <v>0.884</v>
      </c>
      <c r="B475" s="14">
        <v>0.488</v>
      </c>
      <c r="C475" s="14">
        <v>0.113</v>
      </c>
      <c r="D475" s="25">
        <v>474.0</v>
      </c>
      <c r="E475" s="26">
        <f t="shared" si="1"/>
        <v>0.393599335</v>
      </c>
      <c r="F475" s="18">
        <f t="shared" si="2"/>
        <v>-0.2699500649</v>
      </c>
    </row>
    <row r="476">
      <c r="A476" s="14">
        <v>0.884</v>
      </c>
      <c r="B476" s="14">
        <v>0.48827</v>
      </c>
      <c r="C476" s="14">
        <v>0.113945253</v>
      </c>
      <c r="D476" s="25">
        <v>475.0</v>
      </c>
      <c r="E476" s="26">
        <f t="shared" si="1"/>
        <v>0.3944305902</v>
      </c>
      <c r="F476" s="18">
        <f t="shared" si="2"/>
        <v>-0.2677897245</v>
      </c>
    </row>
    <row r="477">
      <c r="A477" s="14">
        <v>0.884</v>
      </c>
      <c r="B477" s="14">
        <v>0.48879</v>
      </c>
      <c r="C477" s="14">
        <v>0.114</v>
      </c>
      <c r="D477" s="25">
        <v>476.0</v>
      </c>
      <c r="E477" s="26">
        <f t="shared" si="1"/>
        <v>0.3952618454</v>
      </c>
      <c r="F477" s="18">
        <f t="shared" si="2"/>
        <v>-0.2656306332</v>
      </c>
    </row>
    <row r="478">
      <c r="A478" s="14">
        <v>0.884440243</v>
      </c>
      <c r="B478" s="14">
        <v>0.489</v>
      </c>
      <c r="C478" s="14">
        <v>0.11451</v>
      </c>
      <c r="D478" s="25">
        <v>477.0</v>
      </c>
      <c r="E478" s="26">
        <f t="shared" si="1"/>
        <v>0.3960931006</v>
      </c>
      <c r="F478" s="18">
        <f t="shared" si="2"/>
        <v>-0.2634727795</v>
      </c>
    </row>
    <row r="479">
      <c r="A479" s="14">
        <v>0.885</v>
      </c>
      <c r="B479" s="14">
        <v>0.48927</v>
      </c>
      <c r="C479" s="14">
        <v>0.11479</v>
      </c>
      <c r="D479" s="25">
        <v>478.0</v>
      </c>
      <c r="E479" s="26">
        <f t="shared" si="1"/>
        <v>0.3969243558</v>
      </c>
      <c r="F479" s="18">
        <f t="shared" si="2"/>
        <v>-0.2613161519</v>
      </c>
    </row>
    <row r="480">
      <c r="A480" s="14">
        <v>0.885</v>
      </c>
      <c r="B480" s="14">
        <v>0.49</v>
      </c>
      <c r="C480" s="14">
        <v>0.115</v>
      </c>
      <c r="D480" s="25">
        <v>479.0</v>
      </c>
      <c r="E480" s="26">
        <f t="shared" si="1"/>
        <v>0.397755611</v>
      </c>
      <c r="F480" s="18">
        <f t="shared" si="2"/>
        <v>-0.259160739</v>
      </c>
    </row>
    <row r="481">
      <c r="A481" s="14">
        <v>0.88588</v>
      </c>
      <c r="B481" s="14">
        <v>0.49049</v>
      </c>
      <c r="C481" s="14">
        <v>0.115</v>
      </c>
      <c r="D481" s="25">
        <v>480.0</v>
      </c>
      <c r="E481" s="26">
        <f t="shared" si="1"/>
        <v>0.3985868662</v>
      </c>
      <c r="F481" s="18">
        <f t="shared" si="2"/>
        <v>-0.2570065295</v>
      </c>
    </row>
    <row r="482">
      <c r="A482" s="14">
        <v>0.886</v>
      </c>
      <c r="B482" s="14">
        <v>0.490946174</v>
      </c>
      <c r="C482" s="14">
        <v>0.115</v>
      </c>
      <c r="D482" s="25">
        <v>481.0</v>
      </c>
      <c r="E482" s="26">
        <f t="shared" si="1"/>
        <v>0.3994181214</v>
      </c>
      <c r="F482" s="18">
        <f t="shared" si="2"/>
        <v>-0.2548535119</v>
      </c>
    </row>
    <row r="483">
      <c r="A483" s="14">
        <v>0.886</v>
      </c>
      <c r="B483" s="14">
        <v>0.491</v>
      </c>
      <c r="C483" s="14">
        <v>0.115460448</v>
      </c>
      <c r="D483" s="25">
        <v>482.0</v>
      </c>
      <c r="E483" s="26">
        <f t="shared" si="1"/>
        <v>0.4002493766</v>
      </c>
      <c r="F483" s="18">
        <f t="shared" si="2"/>
        <v>-0.2527016751</v>
      </c>
    </row>
    <row r="484">
      <c r="A484" s="14">
        <v>0.886590719</v>
      </c>
      <c r="B484" s="14">
        <v>0.491247326</v>
      </c>
      <c r="C484" s="14">
        <v>0.11556</v>
      </c>
      <c r="D484" s="25">
        <v>483.0</v>
      </c>
      <c r="E484" s="26">
        <f t="shared" si="1"/>
        <v>0.4010806318</v>
      </c>
      <c r="F484" s="18">
        <f t="shared" si="2"/>
        <v>-0.2505510078</v>
      </c>
    </row>
    <row r="485">
      <c r="A485" s="14">
        <v>0.88767</v>
      </c>
      <c r="B485" s="14">
        <v>0.492</v>
      </c>
      <c r="C485" s="14">
        <v>0.11587</v>
      </c>
      <c r="D485" s="25">
        <v>484.0</v>
      </c>
      <c r="E485" s="26">
        <f t="shared" si="1"/>
        <v>0.4019118869</v>
      </c>
      <c r="F485" s="18">
        <f t="shared" si="2"/>
        <v>-0.2484014987</v>
      </c>
    </row>
    <row r="486">
      <c r="A486" s="14">
        <v>0.888</v>
      </c>
      <c r="B486" s="14">
        <v>0.492</v>
      </c>
      <c r="C486" s="14">
        <v>0.116</v>
      </c>
      <c r="D486" s="25">
        <v>485.0</v>
      </c>
      <c r="E486" s="26">
        <f t="shared" si="1"/>
        <v>0.4027431421</v>
      </c>
      <c r="F486" s="18">
        <f t="shared" si="2"/>
        <v>-0.2462531368</v>
      </c>
    </row>
    <row r="487">
      <c r="A487" s="14">
        <v>0.888</v>
      </c>
      <c r="B487" s="14">
        <v>0.493</v>
      </c>
      <c r="C487" s="14">
        <v>0.116793513</v>
      </c>
      <c r="D487" s="25">
        <v>486.0</v>
      </c>
      <c r="E487" s="26">
        <f t="shared" si="1"/>
        <v>0.4035743973</v>
      </c>
      <c r="F487" s="18">
        <f t="shared" si="2"/>
        <v>-0.2441059108</v>
      </c>
    </row>
    <row r="488">
      <c r="A488" s="14">
        <v>0.888</v>
      </c>
      <c r="B488" s="14">
        <v>0.493</v>
      </c>
      <c r="C488" s="14">
        <v>0.11681</v>
      </c>
      <c r="D488" s="25">
        <v>487.0</v>
      </c>
      <c r="E488" s="26">
        <f t="shared" si="1"/>
        <v>0.4044056525</v>
      </c>
      <c r="F488" s="18">
        <f t="shared" si="2"/>
        <v>-0.2419598096</v>
      </c>
    </row>
    <row r="489">
      <c r="A489" s="14">
        <v>0.888</v>
      </c>
      <c r="B489" s="14">
        <v>0.49309</v>
      </c>
      <c r="C489" s="14">
        <v>0.11757</v>
      </c>
      <c r="D489" s="25">
        <v>488.0</v>
      </c>
      <c r="E489" s="26">
        <f t="shared" si="1"/>
        <v>0.4052369077</v>
      </c>
      <c r="F489" s="18">
        <f t="shared" si="2"/>
        <v>-0.2398148224</v>
      </c>
    </row>
    <row r="490">
      <c r="A490" s="14">
        <v>0.889</v>
      </c>
      <c r="B490" s="14">
        <v>0.494</v>
      </c>
      <c r="C490" s="14">
        <v>0.11776</v>
      </c>
      <c r="D490" s="25">
        <v>489.0</v>
      </c>
      <c r="E490" s="26">
        <f t="shared" si="1"/>
        <v>0.4060681629</v>
      </c>
      <c r="F490" s="18">
        <f t="shared" si="2"/>
        <v>-0.2376709379</v>
      </c>
    </row>
    <row r="491">
      <c r="A491" s="14">
        <v>0.889878571</v>
      </c>
      <c r="B491" s="14">
        <v>0.494</v>
      </c>
      <c r="C491" s="14">
        <v>0.118</v>
      </c>
      <c r="D491" s="25">
        <v>490.0</v>
      </c>
      <c r="E491" s="26">
        <f t="shared" si="1"/>
        <v>0.4068994181</v>
      </c>
      <c r="F491" s="18">
        <f t="shared" si="2"/>
        <v>-0.2355281453</v>
      </c>
    </row>
    <row r="492">
      <c r="A492" s="14">
        <v>0.889973223</v>
      </c>
      <c r="B492" s="14">
        <v>0.494519204</v>
      </c>
      <c r="C492" s="14">
        <v>0.11909464</v>
      </c>
      <c r="D492" s="25">
        <v>491.0</v>
      </c>
      <c r="E492" s="26">
        <f t="shared" si="1"/>
        <v>0.4077306733</v>
      </c>
      <c r="F492" s="18">
        <f t="shared" si="2"/>
        <v>-0.2333864335</v>
      </c>
    </row>
    <row r="493">
      <c r="A493" s="14">
        <v>0.89</v>
      </c>
      <c r="B493" s="14">
        <v>0.49495</v>
      </c>
      <c r="C493" s="14">
        <v>0.1192</v>
      </c>
      <c r="D493" s="25">
        <v>492.0</v>
      </c>
      <c r="E493" s="26">
        <f t="shared" si="1"/>
        <v>0.4085619285</v>
      </c>
      <c r="F493" s="18">
        <f t="shared" si="2"/>
        <v>-0.2312457918</v>
      </c>
    </row>
    <row r="494">
      <c r="A494" s="14">
        <v>0.891</v>
      </c>
      <c r="B494" s="14">
        <v>0.495</v>
      </c>
      <c r="C494" s="14">
        <v>0.119282886</v>
      </c>
      <c r="D494" s="25">
        <v>493.0</v>
      </c>
      <c r="E494" s="26">
        <f t="shared" si="1"/>
        <v>0.4093931837</v>
      </c>
      <c r="F494" s="18">
        <f t="shared" si="2"/>
        <v>-0.2291062092</v>
      </c>
    </row>
    <row r="495">
      <c r="A495" s="14">
        <v>0.891</v>
      </c>
      <c r="B495" s="14">
        <v>0.495</v>
      </c>
      <c r="C495" s="14">
        <v>0.119803272</v>
      </c>
      <c r="D495" s="25">
        <v>494.0</v>
      </c>
      <c r="E495" s="26">
        <f t="shared" si="1"/>
        <v>0.4102244389</v>
      </c>
      <c r="F495" s="18">
        <f t="shared" si="2"/>
        <v>-0.2269676749</v>
      </c>
    </row>
    <row r="496">
      <c r="A496" s="14">
        <v>0.891</v>
      </c>
      <c r="B496" s="14">
        <v>0.49553</v>
      </c>
      <c r="C496" s="14">
        <v>0.12</v>
      </c>
      <c r="D496" s="25">
        <v>495.0</v>
      </c>
      <c r="E496" s="26">
        <f t="shared" si="1"/>
        <v>0.4110556941</v>
      </c>
      <c r="F496" s="18">
        <f t="shared" si="2"/>
        <v>-0.224830178</v>
      </c>
    </row>
    <row r="497">
      <c r="A497" s="14">
        <v>0.891</v>
      </c>
      <c r="B497" s="14">
        <v>0.496</v>
      </c>
      <c r="C497" s="14">
        <v>0.120328106</v>
      </c>
      <c r="D497" s="25">
        <v>496.0</v>
      </c>
      <c r="E497" s="26">
        <f t="shared" si="1"/>
        <v>0.4118869493</v>
      </c>
      <c r="F497" s="18">
        <f t="shared" si="2"/>
        <v>-0.2226937079</v>
      </c>
    </row>
    <row r="498">
      <c r="A498" s="14">
        <v>0.89186</v>
      </c>
      <c r="B498" s="14">
        <v>0.496</v>
      </c>
      <c r="C498" s="14">
        <v>0.121</v>
      </c>
      <c r="D498" s="25">
        <v>497.0</v>
      </c>
      <c r="E498" s="26">
        <f t="shared" si="1"/>
        <v>0.4127182045</v>
      </c>
      <c r="F498" s="18">
        <f t="shared" si="2"/>
        <v>-0.2205582538</v>
      </c>
    </row>
    <row r="499">
      <c r="A499" s="14">
        <v>0.893</v>
      </c>
      <c r="B499" s="14">
        <v>0.49615</v>
      </c>
      <c r="C499" s="14">
        <v>0.12139</v>
      </c>
      <c r="D499" s="25">
        <v>498.0</v>
      </c>
      <c r="E499" s="26">
        <f t="shared" si="1"/>
        <v>0.4135494597</v>
      </c>
      <c r="F499" s="18">
        <f t="shared" si="2"/>
        <v>-0.2184238051</v>
      </c>
    </row>
    <row r="500">
      <c r="A500" s="14">
        <v>0.89318</v>
      </c>
      <c r="B500" s="14">
        <v>0.496337593</v>
      </c>
      <c r="C500" s="14">
        <v>0.12275</v>
      </c>
      <c r="D500" s="25">
        <v>499.0</v>
      </c>
      <c r="E500" s="26">
        <f t="shared" si="1"/>
        <v>0.4143807149</v>
      </c>
      <c r="F500" s="18">
        <f t="shared" si="2"/>
        <v>-0.2162903509</v>
      </c>
    </row>
    <row r="501">
      <c r="A501" s="14">
        <v>0.894</v>
      </c>
      <c r="B501" s="14">
        <v>0.497</v>
      </c>
      <c r="C501" s="14">
        <v>0.12279</v>
      </c>
      <c r="D501" s="25">
        <v>500.0</v>
      </c>
      <c r="E501" s="26">
        <f t="shared" si="1"/>
        <v>0.4152119701</v>
      </c>
      <c r="F501" s="18">
        <f t="shared" si="2"/>
        <v>-0.2141578808</v>
      </c>
    </row>
    <row r="502">
      <c r="A502" s="14">
        <v>0.894309103</v>
      </c>
      <c r="B502" s="14">
        <v>0.498</v>
      </c>
      <c r="C502" s="14">
        <v>0.123</v>
      </c>
      <c r="D502" s="25">
        <v>501.0</v>
      </c>
      <c r="E502" s="26">
        <f t="shared" si="1"/>
        <v>0.4160432253</v>
      </c>
      <c r="F502" s="18">
        <f t="shared" si="2"/>
        <v>-0.2120263841</v>
      </c>
    </row>
    <row r="503">
      <c r="A503" s="14">
        <v>0.89521</v>
      </c>
      <c r="B503" s="14">
        <v>0.498</v>
      </c>
      <c r="C503" s="14">
        <v>0.123</v>
      </c>
      <c r="D503" s="25">
        <v>502.0</v>
      </c>
      <c r="E503" s="26">
        <f t="shared" si="1"/>
        <v>0.4168744805</v>
      </c>
      <c r="F503" s="18">
        <f t="shared" si="2"/>
        <v>-0.2098958503</v>
      </c>
    </row>
    <row r="504">
      <c r="A504" s="14">
        <v>0.896</v>
      </c>
      <c r="B504" s="14">
        <v>0.498</v>
      </c>
      <c r="C504" s="14">
        <v>0.12348</v>
      </c>
      <c r="D504" s="25">
        <v>503.0</v>
      </c>
      <c r="E504" s="26">
        <f t="shared" si="1"/>
        <v>0.4177057357</v>
      </c>
      <c r="F504" s="18">
        <f t="shared" si="2"/>
        <v>-0.2077662688</v>
      </c>
    </row>
    <row r="505">
      <c r="A505" s="14">
        <v>0.896</v>
      </c>
      <c r="B505" s="14">
        <v>0.4984653</v>
      </c>
      <c r="C505" s="14">
        <v>0.12352</v>
      </c>
      <c r="D505" s="25">
        <v>504.0</v>
      </c>
      <c r="E505" s="26">
        <f t="shared" si="1"/>
        <v>0.4185369909</v>
      </c>
      <c r="F505" s="18">
        <f t="shared" si="2"/>
        <v>-0.2056376291</v>
      </c>
    </row>
    <row r="506">
      <c r="A506" s="14">
        <v>0.896</v>
      </c>
      <c r="B506" s="14">
        <v>0.499</v>
      </c>
      <c r="C506" s="14">
        <v>0.123717859</v>
      </c>
      <c r="D506" s="25">
        <v>505.0</v>
      </c>
      <c r="E506" s="26">
        <f t="shared" si="1"/>
        <v>0.4193682461</v>
      </c>
      <c r="F506" s="18">
        <f t="shared" si="2"/>
        <v>-0.2035099208</v>
      </c>
    </row>
    <row r="507">
      <c r="A507" s="14">
        <v>0.896</v>
      </c>
      <c r="B507" s="14">
        <v>0.5</v>
      </c>
      <c r="C507" s="14">
        <v>0.12372</v>
      </c>
      <c r="D507" s="25">
        <v>506.0</v>
      </c>
      <c r="E507" s="26">
        <f t="shared" si="1"/>
        <v>0.4201995012</v>
      </c>
      <c r="F507" s="18">
        <f t="shared" si="2"/>
        <v>-0.2013831334</v>
      </c>
    </row>
    <row r="508">
      <c r="A508" s="14">
        <v>0.896</v>
      </c>
      <c r="B508" s="14">
        <v>0.50036</v>
      </c>
      <c r="C508" s="14">
        <v>0.124348067</v>
      </c>
      <c r="D508" s="25">
        <v>507.0</v>
      </c>
      <c r="E508" s="26">
        <f t="shared" si="1"/>
        <v>0.4210307564</v>
      </c>
      <c r="F508" s="18">
        <f t="shared" si="2"/>
        <v>-0.1992572566</v>
      </c>
    </row>
    <row r="509">
      <c r="A509" s="14">
        <v>0.896723807</v>
      </c>
      <c r="B509" s="14">
        <v>0.501537681</v>
      </c>
      <c r="C509" s="14">
        <v>0.12468</v>
      </c>
      <c r="D509" s="25">
        <v>508.0</v>
      </c>
      <c r="E509" s="26">
        <f t="shared" si="1"/>
        <v>0.4218620116</v>
      </c>
      <c r="F509" s="18">
        <f t="shared" si="2"/>
        <v>-0.1971322798</v>
      </c>
    </row>
    <row r="510">
      <c r="A510" s="14">
        <v>0.898</v>
      </c>
      <c r="B510" s="14">
        <v>0.502</v>
      </c>
      <c r="C510" s="14">
        <v>0.12474</v>
      </c>
      <c r="D510" s="25">
        <v>509.0</v>
      </c>
      <c r="E510" s="26">
        <f t="shared" si="1"/>
        <v>0.4226932668</v>
      </c>
      <c r="F510" s="18">
        <f t="shared" si="2"/>
        <v>-0.1950081929</v>
      </c>
    </row>
    <row r="511">
      <c r="A511" s="14">
        <v>0.898</v>
      </c>
      <c r="B511" s="14">
        <v>0.503</v>
      </c>
      <c r="C511" s="14">
        <v>0.12504</v>
      </c>
      <c r="D511" s="25">
        <v>510.0</v>
      </c>
      <c r="E511" s="26">
        <f t="shared" si="1"/>
        <v>0.423524522</v>
      </c>
      <c r="F511" s="18">
        <f t="shared" si="2"/>
        <v>-0.1928849854</v>
      </c>
    </row>
    <row r="512">
      <c r="A512" s="14">
        <v>0.898</v>
      </c>
      <c r="B512" s="14">
        <v>0.503</v>
      </c>
      <c r="C512" s="14">
        <v>0.12533</v>
      </c>
      <c r="D512" s="25">
        <v>511.0</v>
      </c>
      <c r="E512" s="26">
        <f t="shared" si="1"/>
        <v>0.4243557772</v>
      </c>
      <c r="F512" s="18">
        <f t="shared" si="2"/>
        <v>-0.1907626471</v>
      </c>
    </row>
    <row r="513">
      <c r="A513" s="14">
        <v>0.898727894</v>
      </c>
      <c r="B513" s="14">
        <v>0.50379</v>
      </c>
      <c r="C513" s="14">
        <v>0.12569</v>
      </c>
      <c r="D513" s="25">
        <v>512.0</v>
      </c>
      <c r="E513" s="26">
        <f t="shared" si="1"/>
        <v>0.4251870324</v>
      </c>
      <c r="F513" s="18">
        <f t="shared" si="2"/>
        <v>-0.1886411676</v>
      </c>
    </row>
    <row r="514">
      <c r="A514" s="14">
        <v>0.898874462</v>
      </c>
      <c r="B514" s="14">
        <v>0.504</v>
      </c>
      <c r="C514" s="14">
        <v>0.12583</v>
      </c>
      <c r="D514" s="25">
        <v>513.0</v>
      </c>
      <c r="E514" s="26">
        <f t="shared" si="1"/>
        <v>0.4260182876</v>
      </c>
      <c r="F514" s="18">
        <f t="shared" si="2"/>
        <v>-0.1865205369</v>
      </c>
    </row>
    <row r="515">
      <c r="A515" s="14">
        <v>0.900567949</v>
      </c>
      <c r="B515" s="14">
        <v>0.50442</v>
      </c>
      <c r="C515" s="14">
        <v>0.126</v>
      </c>
      <c r="D515" s="25">
        <v>514.0</v>
      </c>
      <c r="E515" s="26">
        <f t="shared" si="1"/>
        <v>0.4268495428</v>
      </c>
      <c r="F515" s="18">
        <f t="shared" si="2"/>
        <v>-0.1844007446</v>
      </c>
    </row>
    <row r="516">
      <c r="A516" s="14">
        <v>0.901545942</v>
      </c>
      <c r="B516" s="14">
        <v>0.505</v>
      </c>
      <c r="C516" s="14">
        <v>0.126</v>
      </c>
      <c r="D516" s="25">
        <v>515.0</v>
      </c>
      <c r="E516" s="26">
        <f t="shared" si="1"/>
        <v>0.427680798</v>
      </c>
      <c r="F516" s="18">
        <f t="shared" si="2"/>
        <v>-0.1822817807</v>
      </c>
    </row>
    <row r="517">
      <c r="A517" s="14">
        <v>0.902</v>
      </c>
      <c r="B517" s="14">
        <v>0.505196333</v>
      </c>
      <c r="C517" s="14">
        <v>0.12692</v>
      </c>
      <c r="D517" s="25">
        <v>516.0</v>
      </c>
      <c r="E517" s="26">
        <f t="shared" si="1"/>
        <v>0.4285120532</v>
      </c>
      <c r="F517" s="18">
        <f t="shared" si="2"/>
        <v>-0.1801636348</v>
      </c>
    </row>
    <row r="518">
      <c r="A518" s="14">
        <v>0.902094483</v>
      </c>
      <c r="B518" s="14">
        <v>0.505625546</v>
      </c>
      <c r="C518" s="14">
        <v>0.127</v>
      </c>
      <c r="D518" s="25">
        <v>517.0</v>
      </c>
      <c r="E518" s="26">
        <f t="shared" si="1"/>
        <v>0.4293433084</v>
      </c>
      <c r="F518" s="18">
        <f t="shared" si="2"/>
        <v>-0.1780462969</v>
      </c>
    </row>
    <row r="519">
      <c r="A519" s="14">
        <v>0.903</v>
      </c>
      <c r="B519" s="14">
        <v>0.505740523</v>
      </c>
      <c r="C519" s="14">
        <v>0.127</v>
      </c>
      <c r="D519" s="25">
        <v>518.0</v>
      </c>
      <c r="E519" s="26">
        <f t="shared" si="1"/>
        <v>0.4301745636</v>
      </c>
      <c r="F519" s="18">
        <f t="shared" si="2"/>
        <v>-0.175929757</v>
      </c>
    </row>
    <row r="520">
      <c r="A520" s="14">
        <v>0.90432</v>
      </c>
      <c r="B520" s="14">
        <v>0.507</v>
      </c>
      <c r="C520" s="14">
        <v>0.12721</v>
      </c>
      <c r="D520" s="25">
        <v>519.0</v>
      </c>
      <c r="E520" s="26">
        <f t="shared" si="1"/>
        <v>0.4310058188</v>
      </c>
      <c r="F520" s="18">
        <f t="shared" si="2"/>
        <v>-0.1738140049</v>
      </c>
    </row>
    <row r="521">
      <c r="A521" s="14">
        <v>0.905</v>
      </c>
      <c r="B521" s="14">
        <v>0.508</v>
      </c>
      <c r="C521" s="14">
        <v>0.128</v>
      </c>
      <c r="D521" s="25">
        <v>520.0</v>
      </c>
      <c r="E521" s="26">
        <f t="shared" si="1"/>
        <v>0.431837074</v>
      </c>
      <c r="F521" s="18">
        <f t="shared" si="2"/>
        <v>-0.1716990305</v>
      </c>
    </row>
    <row r="522">
      <c r="A522" s="14">
        <v>0.905</v>
      </c>
      <c r="B522" s="14">
        <v>0.508</v>
      </c>
      <c r="C522" s="14">
        <v>0.128</v>
      </c>
      <c r="D522" s="25">
        <v>521.0</v>
      </c>
      <c r="E522" s="26">
        <f t="shared" si="1"/>
        <v>0.4326683292</v>
      </c>
      <c r="F522" s="18">
        <f t="shared" si="2"/>
        <v>-0.1695848239</v>
      </c>
    </row>
    <row r="523">
      <c r="A523" s="14">
        <v>0.90528</v>
      </c>
      <c r="B523" s="14">
        <v>0.508</v>
      </c>
      <c r="C523" s="14">
        <v>0.128</v>
      </c>
      <c r="D523" s="25">
        <v>522.0</v>
      </c>
      <c r="E523" s="26">
        <f t="shared" si="1"/>
        <v>0.4334995844</v>
      </c>
      <c r="F523" s="18">
        <f t="shared" si="2"/>
        <v>-0.1674713751</v>
      </c>
    </row>
    <row r="524">
      <c r="A524" s="14">
        <v>0.90557</v>
      </c>
      <c r="B524" s="14">
        <v>0.50817</v>
      </c>
      <c r="C524" s="14">
        <v>0.12832</v>
      </c>
      <c r="D524" s="25">
        <v>523.0</v>
      </c>
      <c r="E524" s="26">
        <f t="shared" si="1"/>
        <v>0.4343308396</v>
      </c>
      <c r="F524" s="18">
        <f t="shared" si="2"/>
        <v>-0.165358674</v>
      </c>
    </row>
    <row r="525">
      <c r="A525" s="14">
        <v>0.90587</v>
      </c>
      <c r="B525" s="14">
        <v>0.508190036</v>
      </c>
      <c r="C525" s="14">
        <v>0.12869</v>
      </c>
      <c r="D525" s="25">
        <v>524.0</v>
      </c>
      <c r="E525" s="26">
        <f t="shared" si="1"/>
        <v>0.4351620948</v>
      </c>
      <c r="F525" s="18">
        <f t="shared" si="2"/>
        <v>-0.1632467108</v>
      </c>
    </row>
    <row r="526">
      <c r="A526" s="14">
        <v>0.906</v>
      </c>
      <c r="B526" s="14">
        <v>0.509</v>
      </c>
      <c r="C526" s="14">
        <v>0.13</v>
      </c>
      <c r="D526" s="25">
        <v>525.0</v>
      </c>
      <c r="E526" s="26">
        <f t="shared" si="1"/>
        <v>0.43599335</v>
      </c>
      <c r="F526" s="18">
        <f t="shared" si="2"/>
        <v>-0.1611354754</v>
      </c>
    </row>
    <row r="527">
      <c r="A527" s="14">
        <v>0.906</v>
      </c>
      <c r="B527" s="14">
        <v>0.50961</v>
      </c>
      <c r="C527" s="14">
        <v>0.13</v>
      </c>
      <c r="D527" s="25">
        <v>526.0</v>
      </c>
      <c r="E527" s="26">
        <f t="shared" si="1"/>
        <v>0.4368246052</v>
      </c>
      <c r="F527" s="18">
        <f t="shared" si="2"/>
        <v>-0.1590249581</v>
      </c>
    </row>
    <row r="528">
      <c r="A528" s="14">
        <v>0.906</v>
      </c>
      <c r="B528" s="14">
        <v>0.511</v>
      </c>
      <c r="C528" s="14">
        <v>0.13015</v>
      </c>
      <c r="D528" s="25">
        <v>527.0</v>
      </c>
      <c r="E528" s="26">
        <f t="shared" si="1"/>
        <v>0.4376558603</v>
      </c>
      <c r="F528" s="18">
        <f t="shared" si="2"/>
        <v>-0.1569151488</v>
      </c>
    </row>
    <row r="529">
      <c r="A529" s="14">
        <v>0.90674746</v>
      </c>
      <c r="B529" s="14">
        <v>0.511</v>
      </c>
      <c r="C529" s="14">
        <v>0.130687982</v>
      </c>
      <c r="D529" s="25">
        <v>528.0</v>
      </c>
      <c r="E529" s="26">
        <f t="shared" si="1"/>
        <v>0.4384871155</v>
      </c>
      <c r="F529" s="18">
        <f t="shared" si="2"/>
        <v>-0.1548060378</v>
      </c>
    </row>
    <row r="530">
      <c r="A530" s="14">
        <v>0.906912208</v>
      </c>
      <c r="B530" s="14">
        <v>0.51231</v>
      </c>
      <c r="C530" s="14">
        <v>0.132</v>
      </c>
      <c r="D530" s="25">
        <v>529.0</v>
      </c>
      <c r="E530" s="26">
        <f t="shared" si="1"/>
        <v>0.4393183707</v>
      </c>
      <c r="F530" s="18">
        <f t="shared" si="2"/>
        <v>-0.1526976152</v>
      </c>
    </row>
    <row r="531">
      <c r="A531" s="14">
        <v>0.907</v>
      </c>
      <c r="B531" s="14">
        <v>0.513</v>
      </c>
      <c r="C531" s="14">
        <v>0.132</v>
      </c>
      <c r="D531" s="25">
        <v>530.0</v>
      </c>
      <c r="E531" s="26">
        <f t="shared" si="1"/>
        <v>0.4401496259</v>
      </c>
      <c r="F531" s="18">
        <f t="shared" si="2"/>
        <v>-0.1505898712</v>
      </c>
    </row>
    <row r="532">
      <c r="A532" s="14">
        <v>0.907</v>
      </c>
      <c r="B532" s="14">
        <v>0.51354</v>
      </c>
      <c r="C532" s="14">
        <v>0.132774115</v>
      </c>
      <c r="D532" s="25">
        <v>531.0</v>
      </c>
      <c r="E532" s="26">
        <f t="shared" si="1"/>
        <v>0.4409808811</v>
      </c>
      <c r="F532" s="18">
        <f t="shared" si="2"/>
        <v>-0.148482796</v>
      </c>
    </row>
    <row r="533">
      <c r="A533" s="14">
        <v>0.908</v>
      </c>
      <c r="B533" s="14">
        <v>0.514</v>
      </c>
      <c r="C533" s="14">
        <v>0.13297</v>
      </c>
      <c r="D533" s="25">
        <v>532.0</v>
      </c>
      <c r="E533" s="26">
        <f t="shared" si="1"/>
        <v>0.4418121363</v>
      </c>
      <c r="F533" s="18">
        <f t="shared" si="2"/>
        <v>-0.1463763798</v>
      </c>
    </row>
    <row r="534">
      <c r="A534" s="14">
        <v>0.908</v>
      </c>
      <c r="B534" s="14">
        <v>0.514492035</v>
      </c>
      <c r="C534" s="14">
        <v>0.133</v>
      </c>
      <c r="D534" s="25">
        <v>533.0</v>
      </c>
      <c r="E534" s="26">
        <f t="shared" si="1"/>
        <v>0.4426433915</v>
      </c>
      <c r="F534" s="18">
        <f t="shared" si="2"/>
        <v>-0.1442706129</v>
      </c>
    </row>
    <row r="535">
      <c r="A535" s="14">
        <v>0.90836</v>
      </c>
      <c r="B535" s="14">
        <v>0.51469</v>
      </c>
      <c r="C535" s="14">
        <v>0.134</v>
      </c>
      <c r="D535" s="25">
        <v>534.0</v>
      </c>
      <c r="E535" s="26">
        <f t="shared" si="1"/>
        <v>0.4434746467</v>
      </c>
      <c r="F535" s="18">
        <f t="shared" si="2"/>
        <v>-0.1421654855</v>
      </c>
    </row>
    <row r="536">
      <c r="A536" s="14">
        <v>0.909</v>
      </c>
      <c r="B536" s="14">
        <v>0.516</v>
      </c>
      <c r="C536" s="14">
        <v>0.134</v>
      </c>
      <c r="D536" s="25">
        <v>535.0</v>
      </c>
      <c r="E536" s="26">
        <f t="shared" si="1"/>
        <v>0.4443059019</v>
      </c>
      <c r="F536" s="18">
        <f t="shared" si="2"/>
        <v>-0.1400609879</v>
      </c>
    </row>
    <row r="537">
      <c r="A537" s="14">
        <v>0.909</v>
      </c>
      <c r="B537" s="14">
        <v>0.516</v>
      </c>
      <c r="C537" s="14">
        <v>0.135</v>
      </c>
      <c r="D537" s="25">
        <v>536.0</v>
      </c>
      <c r="E537" s="26">
        <f t="shared" si="1"/>
        <v>0.4451371571</v>
      </c>
      <c r="F537" s="18">
        <f t="shared" si="2"/>
        <v>-0.1379571105</v>
      </c>
    </row>
    <row r="538">
      <c r="A538" s="14">
        <v>0.90981</v>
      </c>
      <c r="B538" s="14">
        <v>0.516</v>
      </c>
      <c r="C538" s="14">
        <v>0.135</v>
      </c>
      <c r="D538" s="25">
        <v>537.0</v>
      </c>
      <c r="E538" s="26">
        <f t="shared" si="1"/>
        <v>0.4459684123</v>
      </c>
      <c r="F538" s="18">
        <f t="shared" si="2"/>
        <v>-0.1358538435</v>
      </c>
    </row>
    <row r="539">
      <c r="A539" s="14">
        <v>0.91</v>
      </c>
      <c r="B539" s="14">
        <v>0.51649</v>
      </c>
      <c r="C539" s="14">
        <v>0.13509</v>
      </c>
      <c r="D539" s="25">
        <v>538.0</v>
      </c>
      <c r="E539" s="26">
        <f t="shared" si="1"/>
        <v>0.4467996675</v>
      </c>
      <c r="F539" s="18">
        <f t="shared" si="2"/>
        <v>-0.1337511774</v>
      </c>
    </row>
    <row r="540">
      <c r="A540" s="14">
        <v>0.91</v>
      </c>
      <c r="B540" s="14">
        <v>0.51697</v>
      </c>
      <c r="C540" s="14">
        <v>0.135638788</v>
      </c>
      <c r="D540" s="25">
        <v>539.0</v>
      </c>
      <c r="E540" s="26">
        <f t="shared" si="1"/>
        <v>0.4476309227</v>
      </c>
      <c r="F540" s="18">
        <f t="shared" si="2"/>
        <v>-0.1316491024</v>
      </c>
    </row>
    <row r="541">
      <c r="A541" s="14">
        <v>0.910268962</v>
      </c>
      <c r="B541" s="14">
        <v>0.518630743</v>
      </c>
      <c r="C541" s="14">
        <v>0.13586</v>
      </c>
      <c r="D541" s="25">
        <v>540.0</v>
      </c>
      <c r="E541" s="26">
        <f t="shared" si="1"/>
        <v>0.4484621779</v>
      </c>
      <c r="F541" s="18">
        <f t="shared" si="2"/>
        <v>-0.129547609</v>
      </c>
    </row>
    <row r="542">
      <c r="A542" s="14">
        <v>0.910357833</v>
      </c>
      <c r="B542" s="14">
        <v>0.519</v>
      </c>
      <c r="C542" s="14">
        <v>0.136</v>
      </c>
      <c r="D542" s="25">
        <v>541.0</v>
      </c>
      <c r="E542" s="26">
        <f t="shared" si="1"/>
        <v>0.4492934331</v>
      </c>
      <c r="F542" s="18">
        <f t="shared" si="2"/>
        <v>-0.1274466876</v>
      </c>
    </row>
    <row r="543">
      <c r="A543" s="14">
        <v>0.911632538</v>
      </c>
      <c r="B543" s="14">
        <v>0.519</v>
      </c>
      <c r="C543" s="14">
        <v>0.136</v>
      </c>
      <c r="D543" s="25">
        <v>542.0</v>
      </c>
      <c r="E543" s="26">
        <f t="shared" si="1"/>
        <v>0.4501246883</v>
      </c>
      <c r="F543" s="18">
        <f t="shared" si="2"/>
        <v>-0.1253463285</v>
      </c>
    </row>
    <row r="544">
      <c r="A544" s="14">
        <v>0.912</v>
      </c>
      <c r="B544" s="14">
        <v>0.52</v>
      </c>
      <c r="C544" s="14">
        <v>0.13633</v>
      </c>
      <c r="D544" s="25">
        <v>543.0</v>
      </c>
      <c r="E544" s="26">
        <f t="shared" si="1"/>
        <v>0.4509559435</v>
      </c>
      <c r="F544" s="18">
        <f t="shared" si="2"/>
        <v>-0.1232465222</v>
      </c>
    </row>
    <row r="545">
      <c r="A545" s="14">
        <v>0.91226</v>
      </c>
      <c r="B545" s="14">
        <v>0.520303547</v>
      </c>
      <c r="C545" s="14">
        <v>0.13636</v>
      </c>
      <c r="D545" s="25">
        <v>544.0</v>
      </c>
      <c r="E545" s="26">
        <f t="shared" si="1"/>
        <v>0.4517871987</v>
      </c>
      <c r="F545" s="18">
        <f t="shared" si="2"/>
        <v>-0.1211472593</v>
      </c>
    </row>
    <row r="546">
      <c r="A546" s="14">
        <v>0.913</v>
      </c>
      <c r="B546" s="14">
        <v>0.520342112</v>
      </c>
      <c r="C546" s="14">
        <v>0.13647</v>
      </c>
      <c r="D546" s="25">
        <v>545.0</v>
      </c>
      <c r="E546" s="26">
        <f t="shared" si="1"/>
        <v>0.4526184539</v>
      </c>
      <c r="F546" s="18">
        <f t="shared" si="2"/>
        <v>-0.1190485301</v>
      </c>
    </row>
    <row r="547">
      <c r="A547" s="14">
        <v>0.913</v>
      </c>
      <c r="B547" s="14">
        <v>0.521</v>
      </c>
      <c r="C547" s="14">
        <v>0.136957005</v>
      </c>
      <c r="D547" s="25">
        <v>546.0</v>
      </c>
      <c r="E547" s="26">
        <f t="shared" si="1"/>
        <v>0.4534497091</v>
      </c>
      <c r="F547" s="18">
        <f t="shared" si="2"/>
        <v>-0.1169503251</v>
      </c>
    </row>
    <row r="548">
      <c r="A548" s="14">
        <v>0.913020372</v>
      </c>
      <c r="B548" s="14">
        <v>0.522</v>
      </c>
      <c r="C548" s="14">
        <v>0.13788</v>
      </c>
      <c r="D548" s="25">
        <v>547.0</v>
      </c>
      <c r="E548" s="26">
        <f t="shared" si="1"/>
        <v>0.4542809643</v>
      </c>
      <c r="F548" s="18">
        <f t="shared" si="2"/>
        <v>-0.1148526348</v>
      </c>
    </row>
    <row r="549">
      <c r="A549" s="14">
        <v>0.91316092</v>
      </c>
      <c r="B549" s="14">
        <v>0.52234</v>
      </c>
      <c r="C549" s="14">
        <v>0.138</v>
      </c>
      <c r="D549" s="25">
        <v>548.0</v>
      </c>
      <c r="E549" s="26">
        <f t="shared" si="1"/>
        <v>0.4551122195</v>
      </c>
      <c r="F549" s="18">
        <f t="shared" si="2"/>
        <v>-0.1127554499</v>
      </c>
    </row>
    <row r="550">
      <c r="A550" s="14">
        <v>0.913571239</v>
      </c>
      <c r="B550" s="14">
        <v>0.52259</v>
      </c>
      <c r="C550" s="14">
        <v>0.138</v>
      </c>
      <c r="D550" s="25">
        <v>549.0</v>
      </c>
      <c r="E550" s="26">
        <f t="shared" si="1"/>
        <v>0.4559434746</v>
      </c>
      <c r="F550" s="18">
        <f t="shared" si="2"/>
        <v>-0.1106587607</v>
      </c>
    </row>
    <row r="551">
      <c r="A551" s="14">
        <v>0.914219022</v>
      </c>
      <c r="B551" s="14">
        <v>0.523</v>
      </c>
      <c r="C551" s="14">
        <v>0.138572946</v>
      </c>
      <c r="D551" s="25">
        <v>550.0</v>
      </c>
      <c r="E551" s="26">
        <f t="shared" si="1"/>
        <v>0.4567747298</v>
      </c>
      <c r="F551" s="18">
        <f t="shared" si="2"/>
        <v>-0.1085625579</v>
      </c>
    </row>
    <row r="552">
      <c r="A552" s="14">
        <v>0.914430678</v>
      </c>
      <c r="B552" s="14">
        <v>0.523</v>
      </c>
      <c r="C552" s="14">
        <v>0.1388</v>
      </c>
      <c r="D552" s="25">
        <v>551.0</v>
      </c>
      <c r="E552" s="26">
        <f t="shared" si="1"/>
        <v>0.457605985</v>
      </c>
      <c r="F552" s="18">
        <f t="shared" si="2"/>
        <v>-0.106466832</v>
      </c>
    </row>
    <row r="553">
      <c r="A553" s="14">
        <v>0.91451</v>
      </c>
      <c r="B553" s="14">
        <v>0.525</v>
      </c>
      <c r="C553" s="14">
        <v>0.14</v>
      </c>
      <c r="D553" s="25">
        <v>552.0</v>
      </c>
      <c r="E553" s="26">
        <f t="shared" si="1"/>
        <v>0.4584372402</v>
      </c>
      <c r="F553" s="18">
        <f t="shared" si="2"/>
        <v>-0.1043715736</v>
      </c>
    </row>
    <row r="554">
      <c r="A554" s="14">
        <v>0.915</v>
      </c>
      <c r="B554" s="14">
        <v>0.525</v>
      </c>
      <c r="C554" s="14">
        <v>0.14</v>
      </c>
      <c r="D554" s="25">
        <v>553.0</v>
      </c>
      <c r="E554" s="26">
        <f t="shared" si="1"/>
        <v>0.4592684954</v>
      </c>
      <c r="F554" s="18">
        <f t="shared" si="2"/>
        <v>-0.1022767733</v>
      </c>
    </row>
    <row r="555">
      <c r="A555" s="14">
        <v>0.915</v>
      </c>
      <c r="B555" s="14">
        <v>0.525</v>
      </c>
      <c r="C555" s="14">
        <v>0.140134647</v>
      </c>
      <c r="D555" s="25">
        <v>554.0</v>
      </c>
      <c r="E555" s="26">
        <f t="shared" si="1"/>
        <v>0.4600997506</v>
      </c>
      <c r="F555" s="18">
        <f t="shared" si="2"/>
        <v>-0.1001824218</v>
      </c>
    </row>
    <row r="556">
      <c r="A556" s="14">
        <v>0.91529417</v>
      </c>
      <c r="B556" s="14">
        <v>0.526</v>
      </c>
      <c r="C556" s="14">
        <v>0.14145</v>
      </c>
      <c r="D556" s="25">
        <v>555.0</v>
      </c>
      <c r="E556" s="26">
        <f t="shared" si="1"/>
        <v>0.4609310058</v>
      </c>
      <c r="F556" s="18">
        <f t="shared" si="2"/>
        <v>-0.09808850952</v>
      </c>
    </row>
    <row r="557">
      <c r="A557" s="14">
        <v>0.915701866</v>
      </c>
      <c r="B557" s="14">
        <v>0.526</v>
      </c>
      <c r="C557" s="14">
        <v>0.14166</v>
      </c>
      <c r="D557" s="25">
        <v>556.0</v>
      </c>
      <c r="E557" s="26">
        <f t="shared" si="1"/>
        <v>0.461762261</v>
      </c>
      <c r="F557" s="18">
        <f t="shared" si="2"/>
        <v>-0.09599502727</v>
      </c>
    </row>
    <row r="558">
      <c r="A558" s="14">
        <v>0.916</v>
      </c>
      <c r="B558" s="14">
        <v>0.527</v>
      </c>
      <c r="C558" s="14">
        <v>0.142</v>
      </c>
      <c r="D558" s="25">
        <v>557.0</v>
      </c>
      <c r="E558" s="26">
        <f t="shared" si="1"/>
        <v>0.4625935162</v>
      </c>
      <c r="F558" s="18">
        <f t="shared" si="2"/>
        <v>-0.09390196565</v>
      </c>
    </row>
    <row r="559">
      <c r="A559" s="14">
        <v>0.91612</v>
      </c>
      <c r="B559" s="14">
        <v>0.527</v>
      </c>
      <c r="C559" s="14">
        <v>0.142</v>
      </c>
      <c r="D559" s="25">
        <v>558.0</v>
      </c>
      <c r="E559" s="26">
        <f t="shared" si="1"/>
        <v>0.4634247714</v>
      </c>
      <c r="F559" s="18">
        <f t="shared" si="2"/>
        <v>-0.09180931532</v>
      </c>
    </row>
    <row r="560">
      <c r="A560" s="14">
        <v>0.917</v>
      </c>
      <c r="B560" s="14">
        <v>0.528</v>
      </c>
      <c r="C560" s="14">
        <v>0.142</v>
      </c>
      <c r="D560" s="25">
        <v>559.0</v>
      </c>
      <c r="E560" s="26">
        <f t="shared" si="1"/>
        <v>0.4642560266</v>
      </c>
      <c r="F560" s="18">
        <f t="shared" si="2"/>
        <v>-0.08971706697</v>
      </c>
    </row>
    <row r="561">
      <c r="A561" s="14">
        <v>0.918</v>
      </c>
      <c r="B561" s="14">
        <v>0.529</v>
      </c>
      <c r="C561" s="14">
        <v>0.142</v>
      </c>
      <c r="D561" s="25">
        <v>560.0</v>
      </c>
      <c r="E561" s="26">
        <f t="shared" si="1"/>
        <v>0.4650872818</v>
      </c>
      <c r="F561" s="18">
        <f t="shared" si="2"/>
        <v>-0.08762521128</v>
      </c>
    </row>
    <row r="562">
      <c r="A562" s="14">
        <v>0.918</v>
      </c>
      <c r="B562" s="14">
        <v>0.53</v>
      </c>
      <c r="C562" s="14">
        <v>0.14234</v>
      </c>
      <c r="D562" s="25">
        <v>561.0</v>
      </c>
      <c r="E562" s="26">
        <f t="shared" si="1"/>
        <v>0.465918537</v>
      </c>
      <c r="F562" s="18">
        <f t="shared" si="2"/>
        <v>-0.08553373895</v>
      </c>
    </row>
    <row r="563">
      <c r="A563" s="14">
        <v>0.918288589</v>
      </c>
      <c r="B563" s="14">
        <v>0.53024</v>
      </c>
      <c r="C563" s="14">
        <v>0.14293</v>
      </c>
      <c r="D563" s="25">
        <v>562.0</v>
      </c>
      <c r="E563" s="26">
        <f t="shared" si="1"/>
        <v>0.4667497922</v>
      </c>
      <c r="F563" s="18">
        <f t="shared" si="2"/>
        <v>-0.08344264071</v>
      </c>
    </row>
    <row r="564">
      <c r="A564" s="14">
        <v>0.919</v>
      </c>
      <c r="B564" s="14">
        <v>0.531</v>
      </c>
      <c r="C564" s="14">
        <v>0.14296</v>
      </c>
      <c r="D564" s="25">
        <v>563.0</v>
      </c>
      <c r="E564" s="26">
        <f t="shared" si="1"/>
        <v>0.4675810474</v>
      </c>
      <c r="F564" s="18">
        <f t="shared" si="2"/>
        <v>-0.08135190727</v>
      </c>
    </row>
    <row r="565">
      <c r="A565" s="14">
        <v>0.91916</v>
      </c>
      <c r="B565" s="14">
        <v>0.531</v>
      </c>
      <c r="C565" s="14">
        <v>0.143</v>
      </c>
      <c r="D565" s="25">
        <v>564.0</v>
      </c>
      <c r="E565" s="26">
        <f t="shared" si="1"/>
        <v>0.4684123026</v>
      </c>
      <c r="F565" s="18">
        <f t="shared" si="2"/>
        <v>-0.07926152937</v>
      </c>
    </row>
    <row r="566">
      <c r="A566" s="14">
        <v>0.92</v>
      </c>
      <c r="B566" s="14">
        <v>0.531</v>
      </c>
      <c r="C566" s="14">
        <v>0.143</v>
      </c>
      <c r="D566" s="25">
        <v>565.0</v>
      </c>
      <c r="E566" s="26">
        <f t="shared" si="1"/>
        <v>0.4692435578</v>
      </c>
      <c r="F566" s="18">
        <f t="shared" si="2"/>
        <v>-0.07717149776</v>
      </c>
    </row>
    <row r="567">
      <c r="A567" s="14">
        <v>0.92</v>
      </c>
      <c r="B567" s="14">
        <v>0.53122</v>
      </c>
      <c r="C567" s="14">
        <v>0.144</v>
      </c>
      <c r="D567" s="25">
        <v>566.0</v>
      </c>
      <c r="E567" s="26">
        <f t="shared" si="1"/>
        <v>0.470074813</v>
      </c>
      <c r="F567" s="18">
        <f t="shared" si="2"/>
        <v>-0.07508180321</v>
      </c>
    </row>
    <row r="568">
      <c r="A568" s="14">
        <v>0.921125412</v>
      </c>
      <c r="B568" s="14">
        <v>0.531310618</v>
      </c>
      <c r="C568" s="14">
        <v>0.144</v>
      </c>
      <c r="D568" s="25">
        <v>567.0</v>
      </c>
      <c r="E568" s="26">
        <f t="shared" si="1"/>
        <v>0.4709060682</v>
      </c>
      <c r="F568" s="18">
        <f t="shared" si="2"/>
        <v>-0.07299243647</v>
      </c>
    </row>
    <row r="569">
      <c r="A569" s="14">
        <v>0.921934128</v>
      </c>
      <c r="B569" s="14">
        <v>0.53164</v>
      </c>
      <c r="C569" s="14">
        <v>0.14476</v>
      </c>
      <c r="D569" s="25">
        <v>568.0</v>
      </c>
      <c r="E569" s="26">
        <f t="shared" si="1"/>
        <v>0.4717373234</v>
      </c>
      <c r="F569" s="18">
        <f t="shared" si="2"/>
        <v>-0.07090338832</v>
      </c>
    </row>
    <row r="570">
      <c r="A570" s="14">
        <v>0.922</v>
      </c>
      <c r="B570" s="14">
        <v>0.532</v>
      </c>
      <c r="C570" s="14">
        <v>0.146</v>
      </c>
      <c r="D570" s="25">
        <v>569.0</v>
      </c>
      <c r="E570" s="26">
        <f t="shared" si="1"/>
        <v>0.4725685786</v>
      </c>
      <c r="F570" s="18">
        <f t="shared" si="2"/>
        <v>-0.06881464957</v>
      </c>
    </row>
    <row r="571">
      <c r="A571" s="14">
        <v>0.922493756</v>
      </c>
      <c r="B571" s="14">
        <v>0.53206</v>
      </c>
      <c r="C571" s="14">
        <v>0.146</v>
      </c>
      <c r="D571" s="25">
        <v>570.0</v>
      </c>
      <c r="E571" s="26">
        <f t="shared" si="1"/>
        <v>0.4733998337</v>
      </c>
      <c r="F571" s="18">
        <f t="shared" si="2"/>
        <v>-0.06672621099</v>
      </c>
    </row>
    <row r="572">
      <c r="A572" s="14">
        <v>0.92281127</v>
      </c>
      <c r="B572" s="14">
        <v>0.533</v>
      </c>
      <c r="C572" s="14">
        <v>0.14609611</v>
      </c>
      <c r="D572" s="25">
        <v>571.0</v>
      </c>
      <c r="E572" s="26">
        <f t="shared" si="1"/>
        <v>0.4742310889</v>
      </c>
      <c r="F572" s="18">
        <f t="shared" si="2"/>
        <v>-0.06463806341</v>
      </c>
    </row>
    <row r="573">
      <c r="A573" s="14">
        <v>0.923</v>
      </c>
      <c r="B573" s="14">
        <v>0.53466</v>
      </c>
      <c r="C573" s="14">
        <v>0.146377146</v>
      </c>
      <c r="D573" s="25">
        <v>572.0</v>
      </c>
      <c r="E573" s="26">
        <f t="shared" si="1"/>
        <v>0.4750623441</v>
      </c>
      <c r="F573" s="18">
        <f t="shared" si="2"/>
        <v>-0.06255019763</v>
      </c>
    </row>
    <row r="574">
      <c r="A574" s="14">
        <v>0.924</v>
      </c>
      <c r="B574" s="14">
        <v>0.53466</v>
      </c>
      <c r="C574" s="14">
        <v>0.1466</v>
      </c>
      <c r="D574" s="25">
        <v>573.0</v>
      </c>
      <c r="E574" s="26">
        <f t="shared" si="1"/>
        <v>0.4758935993</v>
      </c>
      <c r="F574" s="18">
        <f t="shared" si="2"/>
        <v>-0.06046260449</v>
      </c>
    </row>
    <row r="575">
      <c r="A575" s="14">
        <v>0.925</v>
      </c>
      <c r="B575" s="14">
        <v>0.535</v>
      </c>
      <c r="C575" s="14">
        <v>0.147</v>
      </c>
      <c r="D575" s="25">
        <v>574.0</v>
      </c>
      <c r="E575" s="26">
        <f t="shared" si="1"/>
        <v>0.4767248545</v>
      </c>
      <c r="F575" s="18">
        <f t="shared" si="2"/>
        <v>-0.05837527481</v>
      </c>
    </row>
    <row r="576">
      <c r="A576" s="14">
        <v>0.925</v>
      </c>
      <c r="B576" s="14">
        <v>0.535</v>
      </c>
      <c r="C576" s="14">
        <v>0.148</v>
      </c>
      <c r="D576" s="25">
        <v>575.0</v>
      </c>
      <c r="E576" s="26">
        <f t="shared" si="1"/>
        <v>0.4775561097</v>
      </c>
      <c r="F576" s="18">
        <f t="shared" si="2"/>
        <v>-0.05628819944</v>
      </c>
    </row>
    <row r="577">
      <c r="A577" s="14">
        <v>0.92542</v>
      </c>
      <c r="B577" s="14">
        <v>0.536</v>
      </c>
      <c r="C577" s="14">
        <v>0.14868</v>
      </c>
      <c r="D577" s="25">
        <v>576.0</v>
      </c>
      <c r="E577" s="26">
        <f t="shared" si="1"/>
        <v>0.4783873649</v>
      </c>
      <c r="F577" s="18">
        <f t="shared" si="2"/>
        <v>-0.05420136923</v>
      </c>
    </row>
    <row r="578">
      <c r="A578" s="14">
        <v>0.926</v>
      </c>
      <c r="B578" s="14">
        <v>0.536746919</v>
      </c>
      <c r="C578" s="14">
        <v>0.149</v>
      </c>
      <c r="D578" s="25">
        <v>577.0</v>
      </c>
      <c r="E578" s="26">
        <f t="shared" si="1"/>
        <v>0.4792186201</v>
      </c>
      <c r="F578" s="18">
        <f t="shared" si="2"/>
        <v>-0.05211477503</v>
      </c>
    </row>
    <row r="579">
      <c r="A579" s="14">
        <v>0.926107109</v>
      </c>
      <c r="B579" s="14">
        <v>0.537</v>
      </c>
      <c r="C579" s="14">
        <v>0.14975</v>
      </c>
      <c r="D579" s="25">
        <v>578.0</v>
      </c>
      <c r="E579" s="26">
        <f t="shared" si="1"/>
        <v>0.4800498753</v>
      </c>
      <c r="F579" s="18">
        <f t="shared" si="2"/>
        <v>-0.0500284077</v>
      </c>
    </row>
    <row r="580">
      <c r="A580" s="14">
        <v>0.926311195</v>
      </c>
      <c r="B580" s="14">
        <v>0.53726</v>
      </c>
      <c r="C580" s="14">
        <v>0.15</v>
      </c>
      <c r="D580" s="25">
        <v>579.0</v>
      </c>
      <c r="E580" s="26">
        <f t="shared" si="1"/>
        <v>0.4808811305</v>
      </c>
      <c r="F580" s="18">
        <f t="shared" si="2"/>
        <v>-0.04794225813</v>
      </c>
    </row>
    <row r="581">
      <c r="A581" s="14">
        <v>0.926595807</v>
      </c>
      <c r="B581" s="14">
        <v>0.537825167</v>
      </c>
      <c r="C581" s="14">
        <v>0.15</v>
      </c>
      <c r="D581" s="25">
        <v>580.0</v>
      </c>
      <c r="E581" s="26">
        <f t="shared" si="1"/>
        <v>0.4817123857</v>
      </c>
      <c r="F581" s="18">
        <f t="shared" si="2"/>
        <v>-0.04585631718</v>
      </c>
    </row>
    <row r="582">
      <c r="A582" s="14">
        <v>0.927</v>
      </c>
      <c r="B582" s="14">
        <v>0.538</v>
      </c>
      <c r="C582" s="14">
        <v>0.15</v>
      </c>
      <c r="D582" s="25">
        <v>581.0</v>
      </c>
      <c r="E582" s="26">
        <f t="shared" si="1"/>
        <v>0.4825436409</v>
      </c>
      <c r="F582" s="18">
        <f t="shared" si="2"/>
        <v>-0.04377057573</v>
      </c>
    </row>
    <row r="583">
      <c r="A583" s="14">
        <v>0.927176654</v>
      </c>
      <c r="B583" s="14">
        <v>0.53899</v>
      </c>
      <c r="C583" s="14">
        <v>0.15048</v>
      </c>
      <c r="D583" s="25">
        <v>582.0</v>
      </c>
      <c r="E583" s="26">
        <f t="shared" si="1"/>
        <v>0.4833748961</v>
      </c>
      <c r="F583" s="18">
        <f t="shared" si="2"/>
        <v>-0.04168502469</v>
      </c>
    </row>
    <row r="584">
      <c r="A584" s="14">
        <v>0.928</v>
      </c>
      <c r="B584" s="14">
        <v>0.539</v>
      </c>
      <c r="C584" s="14">
        <v>0.15072</v>
      </c>
      <c r="D584" s="25">
        <v>583.0</v>
      </c>
      <c r="E584" s="26">
        <f t="shared" si="1"/>
        <v>0.4842061513</v>
      </c>
      <c r="F584" s="18">
        <f t="shared" si="2"/>
        <v>-0.03959965494</v>
      </c>
    </row>
    <row r="585">
      <c r="A585" s="14">
        <v>0.928045869</v>
      </c>
      <c r="B585" s="14">
        <v>0.539770722</v>
      </c>
      <c r="C585" s="14">
        <v>0.151</v>
      </c>
      <c r="D585" s="25">
        <v>584.0</v>
      </c>
      <c r="E585" s="26">
        <f t="shared" si="1"/>
        <v>0.4850374065</v>
      </c>
      <c r="F585" s="18">
        <f t="shared" si="2"/>
        <v>-0.03751445738</v>
      </c>
    </row>
    <row r="586">
      <c r="A586" s="14">
        <v>0.929</v>
      </c>
      <c r="B586" s="14">
        <v>0.54008</v>
      </c>
      <c r="C586" s="14">
        <v>0.15184</v>
      </c>
      <c r="D586" s="25">
        <v>585.0</v>
      </c>
      <c r="E586" s="26">
        <f t="shared" si="1"/>
        <v>0.4858686617</v>
      </c>
      <c r="F586" s="18">
        <f t="shared" si="2"/>
        <v>-0.03542942293</v>
      </c>
    </row>
    <row r="587">
      <c r="A587" s="14">
        <v>0.929</v>
      </c>
      <c r="B587" s="14">
        <v>0.541</v>
      </c>
      <c r="C587" s="14">
        <v>0.152</v>
      </c>
      <c r="D587" s="25">
        <v>586.0</v>
      </c>
      <c r="E587" s="26">
        <f t="shared" si="1"/>
        <v>0.4866999169</v>
      </c>
      <c r="F587" s="18">
        <f t="shared" si="2"/>
        <v>-0.03334454249</v>
      </c>
    </row>
    <row r="588">
      <c r="A588" s="14">
        <v>0.92933</v>
      </c>
      <c r="B588" s="14">
        <v>0.541</v>
      </c>
      <c r="C588" s="14">
        <v>0.153066069</v>
      </c>
      <c r="D588" s="25">
        <v>587.0</v>
      </c>
      <c r="E588" s="26">
        <f t="shared" si="1"/>
        <v>0.4875311721</v>
      </c>
      <c r="F588" s="18">
        <f t="shared" si="2"/>
        <v>-0.03125980698</v>
      </c>
    </row>
    <row r="589">
      <c r="A589" s="14">
        <v>0.93</v>
      </c>
      <c r="B589" s="14">
        <v>0.541345119</v>
      </c>
      <c r="C589" s="14">
        <v>0.153526559</v>
      </c>
      <c r="D589" s="25">
        <v>588.0</v>
      </c>
      <c r="E589" s="26">
        <f t="shared" si="1"/>
        <v>0.4883624273</v>
      </c>
      <c r="F589" s="18">
        <f t="shared" si="2"/>
        <v>-0.02917520732</v>
      </c>
    </row>
    <row r="590">
      <c r="A590" s="14">
        <v>0.93037951</v>
      </c>
      <c r="B590" s="14">
        <v>0.542</v>
      </c>
      <c r="C590" s="14">
        <v>0.154</v>
      </c>
      <c r="D590" s="25">
        <v>589.0</v>
      </c>
      <c r="E590" s="26">
        <f t="shared" si="1"/>
        <v>0.4891936825</v>
      </c>
      <c r="F590" s="18">
        <f t="shared" si="2"/>
        <v>-0.02709073444</v>
      </c>
    </row>
    <row r="591">
      <c r="A591" s="14">
        <v>0.931</v>
      </c>
      <c r="B591" s="14">
        <v>0.5421</v>
      </c>
      <c r="C591" s="14">
        <v>0.15445</v>
      </c>
      <c r="D591" s="25">
        <v>590.0</v>
      </c>
      <c r="E591" s="26">
        <f t="shared" si="1"/>
        <v>0.4900249377</v>
      </c>
      <c r="F591" s="18">
        <f t="shared" si="2"/>
        <v>-0.02500637926</v>
      </c>
    </row>
    <row r="592">
      <c r="A592" s="14">
        <v>0.931</v>
      </c>
      <c r="B592" s="14">
        <v>0.54252</v>
      </c>
      <c r="C592" s="14">
        <v>0.155</v>
      </c>
      <c r="D592" s="25">
        <v>591.0</v>
      </c>
      <c r="E592" s="26">
        <f t="shared" si="1"/>
        <v>0.4908561929</v>
      </c>
      <c r="F592" s="18">
        <f t="shared" si="2"/>
        <v>-0.02292213271</v>
      </c>
    </row>
    <row r="593">
      <c r="A593" s="14">
        <v>0.931</v>
      </c>
      <c r="B593" s="14">
        <v>0.543</v>
      </c>
      <c r="C593" s="14">
        <v>0.155</v>
      </c>
      <c r="D593" s="25">
        <v>592.0</v>
      </c>
      <c r="E593" s="26">
        <f t="shared" si="1"/>
        <v>0.491687448</v>
      </c>
      <c r="F593" s="18">
        <f t="shared" si="2"/>
        <v>-0.02083798574</v>
      </c>
    </row>
    <row r="594">
      <c r="A594" s="14">
        <v>0.93164</v>
      </c>
      <c r="B594" s="14">
        <v>0.543</v>
      </c>
      <c r="C594" s="14">
        <v>0.15603</v>
      </c>
      <c r="D594" s="25">
        <v>593.0</v>
      </c>
      <c r="E594" s="26">
        <f t="shared" si="1"/>
        <v>0.4925187032</v>
      </c>
      <c r="F594" s="18">
        <f t="shared" si="2"/>
        <v>-0.01875392927</v>
      </c>
    </row>
    <row r="595">
      <c r="A595" s="14">
        <v>0.932</v>
      </c>
      <c r="B595" s="14">
        <v>0.5432</v>
      </c>
      <c r="C595" s="14">
        <v>0.156313822</v>
      </c>
      <c r="D595" s="25">
        <v>594.0</v>
      </c>
      <c r="E595" s="26">
        <f t="shared" si="1"/>
        <v>0.4933499584</v>
      </c>
      <c r="F595" s="18">
        <f t="shared" si="2"/>
        <v>-0.01666995426</v>
      </c>
    </row>
    <row r="596">
      <c r="A596" s="14">
        <v>0.932</v>
      </c>
      <c r="B596" s="14">
        <v>0.54355</v>
      </c>
      <c r="C596" s="14">
        <v>0.15639</v>
      </c>
      <c r="D596" s="25">
        <v>595.0</v>
      </c>
      <c r="E596" s="26">
        <f t="shared" si="1"/>
        <v>0.4941812136</v>
      </c>
      <c r="F596" s="18">
        <f t="shared" si="2"/>
        <v>-0.01458605164</v>
      </c>
    </row>
    <row r="597">
      <c r="A597" s="14">
        <v>0.932</v>
      </c>
      <c r="B597" s="14">
        <v>0.54388</v>
      </c>
      <c r="C597" s="14">
        <v>0.157</v>
      </c>
      <c r="D597" s="25">
        <v>596.0</v>
      </c>
      <c r="E597" s="26">
        <f t="shared" si="1"/>
        <v>0.4950124688</v>
      </c>
      <c r="F597" s="18">
        <f t="shared" si="2"/>
        <v>-0.01250221236</v>
      </c>
    </row>
    <row r="598">
      <c r="A598" s="14">
        <v>0.933</v>
      </c>
      <c r="B598" s="14">
        <v>0.545</v>
      </c>
      <c r="C598" s="14">
        <v>0.157</v>
      </c>
      <c r="D598" s="25">
        <v>597.0</v>
      </c>
      <c r="E598" s="26">
        <f t="shared" si="1"/>
        <v>0.495843724</v>
      </c>
      <c r="F598" s="18">
        <f t="shared" si="2"/>
        <v>-0.01041842736</v>
      </c>
    </row>
    <row r="599">
      <c r="A599" s="14">
        <v>0.934</v>
      </c>
      <c r="B599" s="14">
        <v>0.545</v>
      </c>
      <c r="C599" s="14">
        <v>0.15746</v>
      </c>
      <c r="D599" s="25">
        <v>598.0</v>
      </c>
      <c r="E599" s="26">
        <f t="shared" si="1"/>
        <v>0.4966749792</v>
      </c>
      <c r="F599" s="18">
        <f t="shared" si="2"/>
        <v>-0.00833468761</v>
      </c>
    </row>
    <row r="600">
      <c r="A600" s="14">
        <v>0.934</v>
      </c>
      <c r="B600" s="14">
        <v>0.546</v>
      </c>
      <c r="C600" s="14">
        <v>0.158</v>
      </c>
      <c r="D600" s="25">
        <v>599.0</v>
      </c>
      <c r="E600" s="26">
        <f t="shared" si="1"/>
        <v>0.4975062344</v>
      </c>
      <c r="F600" s="18">
        <f t="shared" si="2"/>
        <v>-0.006250984044</v>
      </c>
    </row>
    <row r="601">
      <c r="A601" s="14">
        <v>0.934</v>
      </c>
      <c r="B601" s="14">
        <v>0.546</v>
      </c>
      <c r="C601" s="14">
        <v>0.1589</v>
      </c>
      <c r="D601" s="25">
        <v>600.0</v>
      </c>
      <c r="E601" s="26">
        <f t="shared" si="1"/>
        <v>0.4983374896</v>
      </c>
      <c r="F601" s="18">
        <f t="shared" si="2"/>
        <v>-0.004167307619</v>
      </c>
    </row>
    <row r="602">
      <c r="A602" s="14">
        <v>0.934</v>
      </c>
      <c r="B602" s="14">
        <v>0.546</v>
      </c>
      <c r="C602" s="14">
        <v>0.16065</v>
      </c>
      <c r="D602" s="25">
        <v>601.0</v>
      </c>
      <c r="E602" s="26">
        <f t="shared" si="1"/>
        <v>0.4991687448</v>
      </c>
      <c r="F602" s="18">
        <f t="shared" si="2"/>
        <v>-0.002083649286</v>
      </c>
    </row>
    <row r="603">
      <c r="A603" s="14">
        <v>0.934</v>
      </c>
      <c r="B603" s="14">
        <v>0.54604</v>
      </c>
      <c r="C603" s="14">
        <v>0.161</v>
      </c>
      <c r="D603" s="25">
        <v>602.0</v>
      </c>
      <c r="E603" s="26">
        <f t="shared" si="1"/>
        <v>0.5</v>
      </c>
      <c r="F603" s="18">
        <f t="shared" si="2"/>
        <v>0</v>
      </c>
    </row>
    <row r="604">
      <c r="A604" s="14">
        <v>0.934729993</v>
      </c>
      <c r="B604" s="14">
        <v>0.547</v>
      </c>
      <c r="C604" s="14">
        <v>0.16157</v>
      </c>
      <c r="D604" s="25">
        <v>603.0</v>
      </c>
      <c r="E604" s="26">
        <f t="shared" si="1"/>
        <v>0.5008312552</v>
      </c>
      <c r="F604" s="18">
        <f t="shared" si="2"/>
        <v>0.002083649286</v>
      </c>
    </row>
    <row r="605">
      <c r="A605" s="14">
        <v>0.934744895</v>
      </c>
      <c r="B605" s="14">
        <v>0.547509372</v>
      </c>
      <c r="C605" s="14">
        <v>0.1616</v>
      </c>
      <c r="D605" s="25">
        <v>604.0</v>
      </c>
      <c r="E605" s="26">
        <f t="shared" si="1"/>
        <v>0.5016625104</v>
      </c>
      <c r="F605" s="18">
        <f t="shared" si="2"/>
        <v>0.004167307619</v>
      </c>
    </row>
    <row r="606">
      <c r="A606" s="14">
        <v>0.935</v>
      </c>
      <c r="B606" s="14">
        <v>0.547612607</v>
      </c>
      <c r="C606" s="14">
        <v>0.16292</v>
      </c>
      <c r="D606" s="25">
        <v>605.0</v>
      </c>
      <c r="E606" s="26">
        <f t="shared" si="1"/>
        <v>0.5024937656</v>
      </c>
      <c r="F606" s="18">
        <f t="shared" si="2"/>
        <v>0.006250984044</v>
      </c>
    </row>
    <row r="607">
      <c r="A607" s="14">
        <v>0.935</v>
      </c>
      <c r="B607" s="14">
        <v>0.548</v>
      </c>
      <c r="C607" s="14">
        <v>0.163760737</v>
      </c>
      <c r="D607" s="25">
        <v>606.0</v>
      </c>
      <c r="E607" s="26">
        <f t="shared" si="1"/>
        <v>0.5033250208</v>
      </c>
      <c r="F607" s="18">
        <f t="shared" si="2"/>
        <v>0.00833468761</v>
      </c>
    </row>
    <row r="608">
      <c r="A608" s="14">
        <v>0.936</v>
      </c>
      <c r="B608" s="14">
        <v>0.54854</v>
      </c>
      <c r="C608" s="14">
        <v>0.164</v>
      </c>
      <c r="D608" s="25">
        <v>607.0</v>
      </c>
      <c r="E608" s="26">
        <f t="shared" si="1"/>
        <v>0.504156276</v>
      </c>
      <c r="F608" s="18">
        <f t="shared" si="2"/>
        <v>0.01041842736</v>
      </c>
    </row>
    <row r="609">
      <c r="A609" s="14">
        <v>0.93668282</v>
      </c>
      <c r="B609" s="14">
        <v>0.5487</v>
      </c>
      <c r="C609" s="14">
        <v>0.165455714</v>
      </c>
      <c r="D609" s="25">
        <v>608.0</v>
      </c>
      <c r="E609" s="26">
        <f t="shared" si="1"/>
        <v>0.5049875312</v>
      </c>
      <c r="F609" s="18">
        <f t="shared" si="2"/>
        <v>0.01250221236</v>
      </c>
    </row>
    <row r="610">
      <c r="A610" s="14">
        <v>0.937</v>
      </c>
      <c r="B610" s="14">
        <v>0.549840569</v>
      </c>
      <c r="C610" s="14">
        <v>0.166</v>
      </c>
      <c r="D610" s="25">
        <v>609.0</v>
      </c>
      <c r="E610" s="26">
        <f t="shared" si="1"/>
        <v>0.5058187864</v>
      </c>
      <c r="F610" s="18">
        <f t="shared" si="2"/>
        <v>0.01458605164</v>
      </c>
    </row>
    <row r="611">
      <c r="A611" s="14">
        <v>0.937103748</v>
      </c>
      <c r="B611" s="14">
        <v>0.54994</v>
      </c>
      <c r="C611" s="14">
        <v>0.167</v>
      </c>
      <c r="D611" s="25">
        <v>610.0</v>
      </c>
      <c r="E611" s="26">
        <f t="shared" si="1"/>
        <v>0.5066500416</v>
      </c>
      <c r="F611" s="18">
        <f t="shared" si="2"/>
        <v>0.01666995426</v>
      </c>
    </row>
    <row r="612">
      <c r="A612" s="14">
        <v>0.937142491</v>
      </c>
      <c r="B612" s="14">
        <v>0.550026834</v>
      </c>
      <c r="C612" s="14">
        <v>0.167</v>
      </c>
      <c r="D612" s="25">
        <v>611.0</v>
      </c>
      <c r="E612" s="26">
        <f t="shared" si="1"/>
        <v>0.5074812968</v>
      </c>
      <c r="F612" s="18">
        <f t="shared" si="2"/>
        <v>0.01875392927</v>
      </c>
    </row>
    <row r="613">
      <c r="A613" s="14">
        <v>0.937840343</v>
      </c>
      <c r="B613" s="14">
        <v>0.55011</v>
      </c>
      <c r="C613" s="14">
        <v>0.167</v>
      </c>
      <c r="D613" s="25">
        <v>612.0</v>
      </c>
      <c r="E613" s="26">
        <f t="shared" si="1"/>
        <v>0.508312552</v>
      </c>
      <c r="F613" s="18">
        <f t="shared" si="2"/>
        <v>0.02083798574</v>
      </c>
    </row>
    <row r="614">
      <c r="A614" s="14">
        <v>0.93793</v>
      </c>
      <c r="B614" s="14">
        <v>0.551357508</v>
      </c>
      <c r="C614" s="14">
        <v>0.168</v>
      </c>
      <c r="D614" s="25">
        <v>613.0</v>
      </c>
      <c r="E614" s="26">
        <f t="shared" si="1"/>
        <v>0.5091438071</v>
      </c>
      <c r="F614" s="18">
        <f t="shared" si="2"/>
        <v>0.02292213271</v>
      </c>
    </row>
    <row r="615">
      <c r="A615" s="14">
        <v>0.938</v>
      </c>
      <c r="B615" s="14">
        <v>0.551522553</v>
      </c>
      <c r="C615" s="14">
        <v>0.168489456</v>
      </c>
      <c r="D615" s="25">
        <v>614.0</v>
      </c>
      <c r="E615" s="26">
        <f t="shared" si="1"/>
        <v>0.5099750623</v>
      </c>
      <c r="F615" s="18">
        <f t="shared" si="2"/>
        <v>0.02500637926</v>
      </c>
    </row>
    <row r="616">
      <c r="A616" s="14">
        <v>0.939</v>
      </c>
      <c r="B616" s="14">
        <v>0.552</v>
      </c>
      <c r="C616" s="14">
        <v>0.171</v>
      </c>
      <c r="D616" s="25">
        <v>615.0</v>
      </c>
      <c r="E616" s="26">
        <f t="shared" si="1"/>
        <v>0.5108063175</v>
      </c>
      <c r="F616" s="18">
        <f t="shared" si="2"/>
        <v>0.02709073444</v>
      </c>
    </row>
    <row r="617">
      <c r="A617" s="14">
        <v>0.939</v>
      </c>
      <c r="B617" s="14">
        <v>0.55211</v>
      </c>
      <c r="C617" s="14">
        <v>0.171</v>
      </c>
      <c r="D617" s="25">
        <v>616.0</v>
      </c>
      <c r="E617" s="26">
        <f t="shared" si="1"/>
        <v>0.5116375727</v>
      </c>
      <c r="F617" s="18">
        <f t="shared" si="2"/>
        <v>0.02917520732</v>
      </c>
    </row>
    <row r="618">
      <c r="A618" s="14">
        <v>0.939</v>
      </c>
      <c r="B618" s="14">
        <v>0.55225</v>
      </c>
      <c r="C618" s="14">
        <v>0.1717</v>
      </c>
      <c r="D618" s="25">
        <v>617.0</v>
      </c>
      <c r="E618" s="26">
        <f t="shared" si="1"/>
        <v>0.5124688279</v>
      </c>
      <c r="F618" s="18">
        <f t="shared" si="2"/>
        <v>0.03125980698</v>
      </c>
    </row>
    <row r="619">
      <c r="A619" s="14">
        <v>0.93913883</v>
      </c>
      <c r="B619" s="14">
        <v>0.552589834</v>
      </c>
      <c r="C619" s="14">
        <v>0.17175</v>
      </c>
      <c r="D619" s="25">
        <v>618.0</v>
      </c>
      <c r="E619" s="26">
        <f t="shared" si="1"/>
        <v>0.5133000831</v>
      </c>
      <c r="F619" s="18">
        <f t="shared" si="2"/>
        <v>0.03334454249</v>
      </c>
    </row>
    <row r="620">
      <c r="A620" s="14">
        <v>0.939575672</v>
      </c>
      <c r="B620" s="14">
        <v>0.553</v>
      </c>
      <c r="C620" s="14">
        <v>0.17176</v>
      </c>
      <c r="D620" s="25">
        <v>619.0</v>
      </c>
      <c r="E620" s="26">
        <f t="shared" si="1"/>
        <v>0.5141313383</v>
      </c>
      <c r="F620" s="18">
        <f t="shared" si="2"/>
        <v>0.03542942293</v>
      </c>
    </row>
    <row r="621">
      <c r="A621" s="14">
        <v>0.94</v>
      </c>
      <c r="B621" s="14">
        <v>0.553</v>
      </c>
      <c r="C621" s="14">
        <v>0.172</v>
      </c>
      <c r="D621" s="25">
        <v>620.0</v>
      </c>
      <c r="E621" s="26">
        <f t="shared" si="1"/>
        <v>0.5149625935</v>
      </c>
      <c r="F621" s="18">
        <f t="shared" si="2"/>
        <v>0.03751445738</v>
      </c>
    </row>
    <row r="622">
      <c r="A622" s="14">
        <v>0.941</v>
      </c>
      <c r="B622" s="14">
        <v>0.554</v>
      </c>
      <c r="C622" s="14">
        <v>0.172502428</v>
      </c>
      <c r="D622" s="25">
        <v>621.0</v>
      </c>
      <c r="E622" s="26">
        <f t="shared" si="1"/>
        <v>0.5157938487</v>
      </c>
      <c r="F622" s="18">
        <f t="shared" si="2"/>
        <v>0.03959965494</v>
      </c>
    </row>
    <row r="623">
      <c r="A623" s="14">
        <v>0.942</v>
      </c>
      <c r="B623" s="14">
        <v>0.55475</v>
      </c>
      <c r="C623" s="14">
        <v>0.17338039</v>
      </c>
      <c r="D623" s="25">
        <v>622.0</v>
      </c>
      <c r="E623" s="26">
        <f t="shared" si="1"/>
        <v>0.5166251039</v>
      </c>
      <c r="F623" s="18">
        <f t="shared" si="2"/>
        <v>0.04168502469</v>
      </c>
    </row>
    <row r="624">
      <c r="A624" s="14">
        <v>0.942</v>
      </c>
      <c r="B624" s="14">
        <v>0.55499</v>
      </c>
      <c r="C624" s="14">
        <v>0.17383</v>
      </c>
      <c r="D624" s="25">
        <v>623.0</v>
      </c>
      <c r="E624" s="26">
        <f t="shared" si="1"/>
        <v>0.5174563591</v>
      </c>
      <c r="F624" s="18">
        <f t="shared" si="2"/>
        <v>0.04377057573</v>
      </c>
    </row>
    <row r="625">
      <c r="A625" s="14">
        <v>0.942</v>
      </c>
      <c r="B625" s="14">
        <v>0.555</v>
      </c>
      <c r="C625" s="14">
        <v>0.174</v>
      </c>
      <c r="D625" s="25">
        <v>624.0</v>
      </c>
      <c r="E625" s="26">
        <f t="shared" si="1"/>
        <v>0.5182876143</v>
      </c>
      <c r="F625" s="18">
        <f t="shared" si="2"/>
        <v>0.04585631718</v>
      </c>
    </row>
    <row r="626">
      <c r="A626" s="14">
        <v>0.942081571</v>
      </c>
      <c r="B626" s="14">
        <v>0.555</v>
      </c>
      <c r="C626" s="14">
        <v>0.17457</v>
      </c>
      <c r="D626" s="25">
        <v>625.0</v>
      </c>
      <c r="E626" s="26">
        <f t="shared" si="1"/>
        <v>0.5191188695</v>
      </c>
      <c r="F626" s="18">
        <f t="shared" si="2"/>
        <v>0.04794225813</v>
      </c>
    </row>
    <row r="627">
      <c r="A627" s="14">
        <v>0.942846596</v>
      </c>
      <c r="B627" s="14">
        <v>0.555</v>
      </c>
      <c r="C627" s="14">
        <v>0.17461</v>
      </c>
      <c r="D627" s="25">
        <v>626.0</v>
      </c>
      <c r="E627" s="26">
        <f t="shared" si="1"/>
        <v>0.5199501247</v>
      </c>
      <c r="F627" s="18">
        <f t="shared" si="2"/>
        <v>0.0500284077</v>
      </c>
    </row>
    <row r="628">
      <c r="A628" s="14">
        <v>0.943</v>
      </c>
      <c r="B628" s="14">
        <v>0.556</v>
      </c>
      <c r="C628" s="14">
        <v>0.17521</v>
      </c>
      <c r="D628" s="25">
        <v>627.0</v>
      </c>
      <c r="E628" s="26">
        <f t="shared" si="1"/>
        <v>0.5207813799</v>
      </c>
      <c r="F628" s="18">
        <f t="shared" si="2"/>
        <v>0.05211477503</v>
      </c>
    </row>
    <row r="629">
      <c r="A629" s="14">
        <v>0.943</v>
      </c>
      <c r="B629" s="14">
        <v>0.556</v>
      </c>
      <c r="C629" s="14">
        <v>0.17554</v>
      </c>
      <c r="D629" s="25">
        <v>628.0</v>
      </c>
      <c r="E629" s="26">
        <f t="shared" si="1"/>
        <v>0.5216126351</v>
      </c>
      <c r="F629" s="18">
        <f t="shared" si="2"/>
        <v>0.05420136923</v>
      </c>
    </row>
    <row r="630">
      <c r="A630" s="14">
        <v>0.943</v>
      </c>
      <c r="B630" s="14">
        <v>0.55664</v>
      </c>
      <c r="C630" s="14">
        <v>0.176</v>
      </c>
      <c r="D630" s="25">
        <v>629.0</v>
      </c>
      <c r="E630" s="26">
        <f t="shared" si="1"/>
        <v>0.5224438903</v>
      </c>
      <c r="F630" s="18">
        <f t="shared" si="2"/>
        <v>0.05628819944</v>
      </c>
    </row>
    <row r="631">
      <c r="A631" s="14">
        <v>0.943</v>
      </c>
      <c r="B631" s="14">
        <v>0.557</v>
      </c>
      <c r="C631" s="14">
        <v>0.176</v>
      </c>
      <c r="D631" s="25">
        <v>630.0</v>
      </c>
      <c r="E631" s="26">
        <f t="shared" si="1"/>
        <v>0.5232751455</v>
      </c>
      <c r="F631" s="18">
        <f t="shared" si="2"/>
        <v>0.05837527481</v>
      </c>
    </row>
    <row r="632">
      <c r="A632" s="14">
        <v>0.94367</v>
      </c>
      <c r="B632" s="14">
        <v>0.557</v>
      </c>
      <c r="C632" s="14">
        <v>0.177</v>
      </c>
      <c r="D632" s="25">
        <v>631.0</v>
      </c>
      <c r="E632" s="26">
        <f t="shared" si="1"/>
        <v>0.5241064007</v>
      </c>
      <c r="F632" s="18">
        <f t="shared" si="2"/>
        <v>0.06046260449</v>
      </c>
    </row>
    <row r="633">
      <c r="A633" s="14">
        <v>0.94397</v>
      </c>
      <c r="B633" s="14">
        <v>0.557</v>
      </c>
      <c r="C633" s="14">
        <v>0.178</v>
      </c>
      <c r="D633" s="25">
        <v>632.0</v>
      </c>
      <c r="E633" s="26">
        <f t="shared" si="1"/>
        <v>0.5249376559</v>
      </c>
      <c r="F633" s="18">
        <f t="shared" si="2"/>
        <v>0.06255019763</v>
      </c>
    </row>
    <row r="634">
      <c r="A634" s="14">
        <v>0.944854617</v>
      </c>
      <c r="B634" s="14">
        <v>0.557</v>
      </c>
      <c r="C634" s="14">
        <v>0.178061873</v>
      </c>
      <c r="D634" s="25">
        <v>633.0</v>
      </c>
      <c r="E634" s="26">
        <f t="shared" si="1"/>
        <v>0.5257689111</v>
      </c>
      <c r="F634" s="18">
        <f t="shared" si="2"/>
        <v>0.06463806341</v>
      </c>
    </row>
    <row r="635">
      <c r="A635" s="14">
        <v>0.945707023</v>
      </c>
      <c r="B635" s="14">
        <v>0.557574093</v>
      </c>
      <c r="C635" s="14">
        <v>0.17808</v>
      </c>
      <c r="D635" s="25">
        <v>634.0</v>
      </c>
      <c r="E635" s="26">
        <f t="shared" si="1"/>
        <v>0.5266001663</v>
      </c>
      <c r="F635" s="18">
        <f t="shared" si="2"/>
        <v>0.06672621099</v>
      </c>
    </row>
    <row r="636">
      <c r="A636" s="14">
        <v>0.946</v>
      </c>
      <c r="B636" s="14">
        <v>0.558</v>
      </c>
      <c r="C636" s="14">
        <v>0.179</v>
      </c>
      <c r="D636" s="25">
        <v>635.0</v>
      </c>
      <c r="E636" s="26">
        <f t="shared" si="1"/>
        <v>0.5274314214</v>
      </c>
      <c r="F636" s="18">
        <f t="shared" si="2"/>
        <v>0.06881464957</v>
      </c>
    </row>
    <row r="637">
      <c r="A637" s="14">
        <v>0.946018219</v>
      </c>
      <c r="B637" s="14">
        <v>0.558</v>
      </c>
      <c r="C637" s="14">
        <v>0.179</v>
      </c>
      <c r="D637" s="25">
        <v>636.0</v>
      </c>
      <c r="E637" s="26">
        <f t="shared" si="1"/>
        <v>0.5282626766</v>
      </c>
      <c r="F637" s="18">
        <f t="shared" si="2"/>
        <v>0.07090338832</v>
      </c>
    </row>
    <row r="638">
      <c r="A638" s="14">
        <v>0.94632</v>
      </c>
      <c r="B638" s="14">
        <v>0.558</v>
      </c>
      <c r="C638" s="14">
        <v>0.17914</v>
      </c>
      <c r="D638" s="25">
        <v>637.0</v>
      </c>
      <c r="E638" s="26">
        <f t="shared" si="1"/>
        <v>0.5290939318</v>
      </c>
      <c r="F638" s="18">
        <f t="shared" si="2"/>
        <v>0.07299243647</v>
      </c>
    </row>
    <row r="639">
      <c r="A639" s="14">
        <v>0.94675</v>
      </c>
      <c r="B639" s="14">
        <v>0.558732927</v>
      </c>
      <c r="C639" s="14">
        <v>0.179436386</v>
      </c>
      <c r="D639" s="25">
        <v>638.0</v>
      </c>
      <c r="E639" s="26">
        <f t="shared" si="1"/>
        <v>0.529925187</v>
      </c>
      <c r="F639" s="18">
        <f t="shared" si="2"/>
        <v>0.07508180321</v>
      </c>
    </row>
    <row r="640">
      <c r="A640" s="14">
        <v>0.947</v>
      </c>
      <c r="B640" s="14">
        <v>0.55884</v>
      </c>
      <c r="C640" s="14">
        <v>0.17955</v>
      </c>
      <c r="D640" s="25">
        <v>639.0</v>
      </c>
      <c r="E640" s="26">
        <f t="shared" si="1"/>
        <v>0.5307564422</v>
      </c>
      <c r="F640" s="18">
        <f t="shared" si="2"/>
        <v>0.07717149776</v>
      </c>
    </row>
    <row r="641">
      <c r="A641" s="14">
        <v>0.947</v>
      </c>
      <c r="B641" s="14">
        <v>0.559</v>
      </c>
      <c r="C641" s="14">
        <v>0.18</v>
      </c>
      <c r="D641" s="25">
        <v>640.0</v>
      </c>
      <c r="E641" s="26">
        <f t="shared" si="1"/>
        <v>0.5315876974</v>
      </c>
      <c r="F641" s="18">
        <f t="shared" si="2"/>
        <v>0.07926152937</v>
      </c>
    </row>
    <row r="642">
      <c r="A642" s="14">
        <v>0.948</v>
      </c>
      <c r="B642" s="14">
        <v>0.55954</v>
      </c>
      <c r="C642" s="14">
        <v>0.18</v>
      </c>
      <c r="D642" s="25">
        <v>641.0</v>
      </c>
      <c r="E642" s="26">
        <f t="shared" si="1"/>
        <v>0.5324189526</v>
      </c>
      <c r="F642" s="18">
        <f t="shared" si="2"/>
        <v>0.08135190727</v>
      </c>
    </row>
    <row r="643">
      <c r="A643" s="14">
        <v>0.948</v>
      </c>
      <c r="B643" s="14">
        <v>0.56066</v>
      </c>
      <c r="C643" s="14">
        <v>0.18037</v>
      </c>
      <c r="D643" s="25">
        <v>642.0</v>
      </c>
      <c r="E643" s="26">
        <f t="shared" si="1"/>
        <v>0.5332502078</v>
      </c>
      <c r="F643" s="18">
        <f t="shared" si="2"/>
        <v>0.08344264071</v>
      </c>
    </row>
    <row r="644">
      <c r="A644" s="14">
        <v>0.949</v>
      </c>
      <c r="B644" s="14">
        <v>0.561</v>
      </c>
      <c r="C644" s="14">
        <v>0.1806</v>
      </c>
      <c r="D644" s="25">
        <v>643.0</v>
      </c>
      <c r="E644" s="26">
        <f t="shared" si="1"/>
        <v>0.534081463</v>
      </c>
      <c r="F644" s="18">
        <f t="shared" si="2"/>
        <v>0.08553373895</v>
      </c>
    </row>
    <row r="645">
      <c r="A645" s="14">
        <v>0.949118972</v>
      </c>
      <c r="B645" s="14">
        <v>0.561</v>
      </c>
      <c r="C645" s="14">
        <v>0.1809</v>
      </c>
      <c r="D645" s="25">
        <v>644.0</v>
      </c>
      <c r="E645" s="26">
        <f t="shared" si="1"/>
        <v>0.5349127182</v>
      </c>
      <c r="F645" s="18">
        <f t="shared" si="2"/>
        <v>0.08762521128</v>
      </c>
    </row>
    <row r="646">
      <c r="A646" s="14">
        <v>0.95</v>
      </c>
      <c r="B646" s="14">
        <v>0.561213255</v>
      </c>
      <c r="C646" s="14">
        <v>0.180987507</v>
      </c>
      <c r="D646" s="25">
        <v>645.0</v>
      </c>
      <c r="E646" s="26">
        <f t="shared" si="1"/>
        <v>0.5357439734</v>
      </c>
      <c r="F646" s="18">
        <f t="shared" si="2"/>
        <v>0.08971706697</v>
      </c>
    </row>
    <row r="647">
      <c r="A647" s="14">
        <v>0.95025</v>
      </c>
      <c r="B647" s="14">
        <v>0.562</v>
      </c>
      <c r="C647" s="14">
        <v>0.182</v>
      </c>
      <c r="D647" s="25">
        <v>646.0</v>
      </c>
      <c r="E647" s="26">
        <f t="shared" si="1"/>
        <v>0.5365752286</v>
      </c>
      <c r="F647" s="18">
        <f t="shared" si="2"/>
        <v>0.09180931532</v>
      </c>
    </row>
    <row r="648">
      <c r="A648" s="14">
        <v>0.95076</v>
      </c>
      <c r="B648" s="14">
        <v>0.56215</v>
      </c>
      <c r="C648" s="14">
        <v>0.182</v>
      </c>
      <c r="D648" s="25">
        <v>647.0</v>
      </c>
      <c r="E648" s="26">
        <f t="shared" si="1"/>
        <v>0.5374064838</v>
      </c>
      <c r="F648" s="18">
        <f t="shared" si="2"/>
        <v>0.09390196565</v>
      </c>
    </row>
    <row r="649">
      <c r="A649" s="14">
        <v>0.951</v>
      </c>
      <c r="B649" s="14">
        <v>0.562511384</v>
      </c>
      <c r="C649" s="14">
        <v>0.182</v>
      </c>
      <c r="D649" s="25">
        <v>648.0</v>
      </c>
      <c r="E649" s="26">
        <f t="shared" si="1"/>
        <v>0.538237739</v>
      </c>
      <c r="F649" s="18">
        <f t="shared" si="2"/>
        <v>0.09599502727</v>
      </c>
    </row>
    <row r="650">
      <c r="A650" s="14">
        <v>0.952</v>
      </c>
      <c r="B650" s="14">
        <v>0.563</v>
      </c>
      <c r="C650" s="14">
        <v>0.183</v>
      </c>
      <c r="D650" s="25">
        <v>649.0</v>
      </c>
      <c r="E650" s="26">
        <f t="shared" si="1"/>
        <v>0.5390689942</v>
      </c>
      <c r="F650" s="18">
        <f t="shared" si="2"/>
        <v>0.09808850952</v>
      </c>
    </row>
    <row r="651">
      <c r="A651" s="14">
        <v>0.952</v>
      </c>
      <c r="B651" s="14">
        <v>0.564</v>
      </c>
      <c r="C651" s="14">
        <v>0.183248922</v>
      </c>
      <c r="D651" s="25">
        <v>650.0</v>
      </c>
      <c r="E651" s="26">
        <f t="shared" si="1"/>
        <v>0.5399002494</v>
      </c>
      <c r="F651" s="18">
        <f t="shared" si="2"/>
        <v>0.1001824218</v>
      </c>
    </row>
    <row r="652">
      <c r="A652" s="14">
        <v>0.952486575</v>
      </c>
      <c r="B652" s="14">
        <v>0.564</v>
      </c>
      <c r="C652" s="14">
        <v>0.183541179</v>
      </c>
      <c r="D652" s="25">
        <v>651.0</v>
      </c>
      <c r="E652" s="26">
        <f t="shared" si="1"/>
        <v>0.5407315046</v>
      </c>
      <c r="F652" s="18">
        <f t="shared" si="2"/>
        <v>0.1022767733</v>
      </c>
    </row>
    <row r="653">
      <c r="A653" s="14">
        <v>0.953</v>
      </c>
      <c r="B653" s="14">
        <v>0.565</v>
      </c>
      <c r="C653" s="14">
        <v>0.18355</v>
      </c>
      <c r="D653" s="25">
        <v>652.0</v>
      </c>
      <c r="E653" s="26">
        <f t="shared" si="1"/>
        <v>0.5415627598</v>
      </c>
      <c r="F653" s="18">
        <f t="shared" si="2"/>
        <v>0.1043715736</v>
      </c>
    </row>
    <row r="654">
      <c r="A654" s="14">
        <v>0.95348</v>
      </c>
      <c r="B654" s="14">
        <v>0.56624</v>
      </c>
      <c r="C654" s="14">
        <v>0.18437</v>
      </c>
      <c r="D654" s="25">
        <v>653.0</v>
      </c>
      <c r="E654" s="26">
        <f t="shared" si="1"/>
        <v>0.542394015</v>
      </c>
      <c r="F654" s="18">
        <f t="shared" si="2"/>
        <v>0.106466832</v>
      </c>
    </row>
    <row r="655">
      <c r="A655" s="14">
        <v>0.953855872</v>
      </c>
      <c r="B655" s="14">
        <v>0.56679</v>
      </c>
      <c r="C655" s="14">
        <v>0.18519</v>
      </c>
      <c r="D655" s="25">
        <v>654.0</v>
      </c>
      <c r="E655" s="26">
        <f t="shared" si="1"/>
        <v>0.5432252702</v>
      </c>
      <c r="F655" s="18">
        <f t="shared" si="2"/>
        <v>0.1085625579</v>
      </c>
    </row>
    <row r="656">
      <c r="A656" s="14">
        <v>0.954</v>
      </c>
      <c r="B656" s="14">
        <v>0.567</v>
      </c>
      <c r="C656" s="14">
        <v>0.186</v>
      </c>
      <c r="D656" s="25">
        <v>655.0</v>
      </c>
      <c r="E656" s="26">
        <f t="shared" si="1"/>
        <v>0.5440565254</v>
      </c>
      <c r="F656" s="18">
        <f t="shared" si="2"/>
        <v>0.1106587607</v>
      </c>
    </row>
    <row r="657">
      <c r="A657" s="14">
        <v>0.954</v>
      </c>
      <c r="B657" s="14">
        <v>0.567</v>
      </c>
      <c r="C657" s="14">
        <v>0.18676</v>
      </c>
      <c r="D657" s="25">
        <v>656.0</v>
      </c>
      <c r="E657" s="26">
        <f t="shared" si="1"/>
        <v>0.5448877805</v>
      </c>
      <c r="F657" s="18">
        <f t="shared" si="2"/>
        <v>0.1127554499</v>
      </c>
    </row>
    <row r="658">
      <c r="A658" s="14">
        <v>0.954</v>
      </c>
      <c r="B658" s="14">
        <v>0.56776619</v>
      </c>
      <c r="C658" s="14">
        <v>0.187</v>
      </c>
      <c r="D658" s="25">
        <v>657.0</v>
      </c>
      <c r="E658" s="26">
        <f t="shared" si="1"/>
        <v>0.5457190357</v>
      </c>
      <c r="F658" s="18">
        <f t="shared" si="2"/>
        <v>0.1148526348</v>
      </c>
    </row>
    <row r="659">
      <c r="A659" s="14">
        <v>0.954</v>
      </c>
      <c r="B659" s="14">
        <v>0.56778</v>
      </c>
      <c r="C659" s="14">
        <v>0.188816205</v>
      </c>
      <c r="D659" s="25">
        <v>658.0</v>
      </c>
      <c r="E659" s="26">
        <f t="shared" si="1"/>
        <v>0.5465502909</v>
      </c>
      <c r="F659" s="18">
        <f t="shared" si="2"/>
        <v>0.1169503251</v>
      </c>
    </row>
    <row r="660">
      <c r="A660" s="14">
        <v>0.954329729</v>
      </c>
      <c r="B660" s="14">
        <v>0.568</v>
      </c>
      <c r="C660" s="14">
        <v>0.18985</v>
      </c>
      <c r="D660" s="25">
        <v>659.0</v>
      </c>
      <c r="E660" s="26">
        <f t="shared" si="1"/>
        <v>0.5473815461</v>
      </c>
      <c r="F660" s="18">
        <f t="shared" si="2"/>
        <v>0.1190485301</v>
      </c>
    </row>
    <row r="661">
      <c r="A661" s="14">
        <v>0.95544</v>
      </c>
      <c r="B661" s="14">
        <v>0.568</v>
      </c>
      <c r="C661" s="14">
        <v>0.19034</v>
      </c>
      <c r="D661" s="25">
        <v>660.0</v>
      </c>
      <c r="E661" s="26">
        <f t="shared" si="1"/>
        <v>0.5482128013</v>
      </c>
      <c r="F661" s="18">
        <f t="shared" si="2"/>
        <v>0.1211472593</v>
      </c>
    </row>
    <row r="662">
      <c r="A662" s="14">
        <v>0.95571</v>
      </c>
      <c r="B662" s="14">
        <v>0.56837</v>
      </c>
      <c r="C662" s="14">
        <v>0.1909</v>
      </c>
      <c r="D662" s="25">
        <v>661.0</v>
      </c>
      <c r="E662" s="26">
        <f t="shared" si="1"/>
        <v>0.5490440565</v>
      </c>
      <c r="F662" s="18">
        <f t="shared" si="2"/>
        <v>0.1232465222</v>
      </c>
    </row>
    <row r="663">
      <c r="A663" s="14">
        <v>0.955990791</v>
      </c>
      <c r="B663" s="14">
        <v>0.57</v>
      </c>
      <c r="C663" s="14">
        <v>0.191</v>
      </c>
      <c r="D663" s="25">
        <v>662.0</v>
      </c>
      <c r="E663" s="26">
        <f t="shared" si="1"/>
        <v>0.5498753117</v>
      </c>
      <c r="F663" s="18">
        <f t="shared" si="2"/>
        <v>0.1253463285</v>
      </c>
    </row>
    <row r="664">
      <c r="A664" s="14">
        <v>0.958</v>
      </c>
      <c r="B664" s="14">
        <v>0.571</v>
      </c>
      <c r="C664" s="14">
        <v>0.19317</v>
      </c>
      <c r="D664" s="25">
        <v>663.0</v>
      </c>
      <c r="E664" s="26">
        <f t="shared" si="1"/>
        <v>0.5507065669</v>
      </c>
      <c r="F664" s="18">
        <f t="shared" si="2"/>
        <v>0.1274466876</v>
      </c>
    </row>
    <row r="665">
      <c r="A665" s="14">
        <v>0.958966196</v>
      </c>
      <c r="B665" s="14">
        <v>0.57104</v>
      </c>
      <c r="C665" s="14">
        <v>0.194</v>
      </c>
      <c r="D665" s="25">
        <v>664.0</v>
      </c>
      <c r="E665" s="26">
        <f t="shared" si="1"/>
        <v>0.5515378221</v>
      </c>
      <c r="F665" s="18">
        <f t="shared" si="2"/>
        <v>0.129547609</v>
      </c>
    </row>
    <row r="666">
      <c r="A666" s="14">
        <v>0.96053</v>
      </c>
      <c r="B666" s="14">
        <v>0.571055591</v>
      </c>
      <c r="C666" s="14">
        <v>0.195444584</v>
      </c>
      <c r="D666" s="25">
        <v>665.0</v>
      </c>
      <c r="E666" s="26">
        <f t="shared" si="1"/>
        <v>0.5523690773</v>
      </c>
      <c r="F666" s="18">
        <f t="shared" si="2"/>
        <v>0.1316491024</v>
      </c>
    </row>
    <row r="667">
      <c r="A667" s="14">
        <v>0.96372</v>
      </c>
      <c r="B667" s="14">
        <v>0.572</v>
      </c>
      <c r="C667" s="14">
        <v>0.196</v>
      </c>
      <c r="D667" s="25">
        <v>666.0</v>
      </c>
      <c r="E667" s="26">
        <f t="shared" si="1"/>
        <v>0.5532003325</v>
      </c>
      <c r="F667" s="18">
        <f t="shared" si="2"/>
        <v>0.1337511774</v>
      </c>
    </row>
    <row r="668">
      <c r="A668" s="14">
        <v>0.967983007</v>
      </c>
      <c r="B668" s="14">
        <v>0.572</v>
      </c>
      <c r="C668" s="14">
        <v>0.199</v>
      </c>
      <c r="D668" s="25">
        <v>667.0</v>
      </c>
      <c r="E668" s="26">
        <f t="shared" si="1"/>
        <v>0.5540315877</v>
      </c>
      <c r="F668" s="18">
        <f t="shared" si="2"/>
        <v>0.1358538435</v>
      </c>
    </row>
    <row r="669">
      <c r="A669" s="14">
        <v>0.969</v>
      </c>
      <c r="B669" s="14">
        <v>0.572575808</v>
      </c>
      <c r="C669" s="14">
        <v>0.2</v>
      </c>
      <c r="D669" s="25">
        <v>668.0</v>
      </c>
      <c r="E669" s="26">
        <f t="shared" si="1"/>
        <v>0.5548628429</v>
      </c>
      <c r="F669" s="18">
        <f t="shared" si="2"/>
        <v>0.1379571105</v>
      </c>
    </row>
    <row r="670">
      <c r="A670" s="14">
        <v>0.97</v>
      </c>
      <c r="B670" s="14">
        <v>0.573110342</v>
      </c>
      <c r="C670" s="14">
        <v>0.2</v>
      </c>
      <c r="D670" s="25">
        <v>669.0</v>
      </c>
      <c r="E670" s="26">
        <f t="shared" si="1"/>
        <v>0.5556940981</v>
      </c>
      <c r="F670" s="18">
        <f t="shared" si="2"/>
        <v>0.1400609879</v>
      </c>
    </row>
    <row r="671">
      <c r="A671" s="14">
        <v>0.971</v>
      </c>
      <c r="B671" s="14">
        <v>0.5737</v>
      </c>
      <c r="C671" s="14">
        <v>0.202</v>
      </c>
      <c r="D671" s="25">
        <v>670.0</v>
      </c>
      <c r="E671" s="26">
        <f t="shared" si="1"/>
        <v>0.5565253533</v>
      </c>
      <c r="F671" s="18">
        <f t="shared" si="2"/>
        <v>0.1421654855</v>
      </c>
    </row>
    <row r="672">
      <c r="A672" s="14">
        <v>0.972</v>
      </c>
      <c r="B672" s="14">
        <v>0.574</v>
      </c>
      <c r="C672" s="14">
        <v>0.20243</v>
      </c>
      <c r="D672" s="25">
        <v>671.0</v>
      </c>
      <c r="E672" s="26">
        <f t="shared" si="1"/>
        <v>0.5573566085</v>
      </c>
      <c r="F672" s="18">
        <f t="shared" si="2"/>
        <v>0.1442706129</v>
      </c>
    </row>
    <row r="673">
      <c r="A673" s="14">
        <v>0.97459</v>
      </c>
      <c r="B673" s="14">
        <v>0.574</v>
      </c>
      <c r="C673" s="14">
        <v>0.204</v>
      </c>
      <c r="D673" s="25">
        <v>672.0</v>
      </c>
      <c r="E673" s="26">
        <f t="shared" si="1"/>
        <v>0.5581878637</v>
      </c>
      <c r="F673" s="18">
        <f t="shared" si="2"/>
        <v>0.1463763798</v>
      </c>
    </row>
    <row r="674">
      <c r="A674" s="14">
        <v>0.974669576</v>
      </c>
      <c r="B674" s="14">
        <v>0.57414</v>
      </c>
      <c r="C674" s="14">
        <v>0.20646</v>
      </c>
      <c r="D674" s="25">
        <v>673.0</v>
      </c>
      <c r="E674" s="26">
        <f t="shared" si="1"/>
        <v>0.5590191189</v>
      </c>
      <c r="F674" s="18">
        <f t="shared" si="2"/>
        <v>0.148482796</v>
      </c>
    </row>
    <row r="675">
      <c r="A675" s="14">
        <v>0.97619</v>
      </c>
      <c r="B675" s="14">
        <v>0.575</v>
      </c>
      <c r="C675" s="14">
        <v>0.208</v>
      </c>
      <c r="D675" s="25">
        <v>674.0</v>
      </c>
      <c r="E675" s="26">
        <f t="shared" si="1"/>
        <v>0.5598503741</v>
      </c>
      <c r="F675" s="18">
        <f t="shared" si="2"/>
        <v>0.1505898712</v>
      </c>
    </row>
    <row r="676">
      <c r="A676" s="14">
        <v>0.97841</v>
      </c>
      <c r="B676" s="14">
        <v>0.576</v>
      </c>
      <c r="C676" s="14">
        <v>0.21</v>
      </c>
      <c r="D676" s="25">
        <v>675.0</v>
      </c>
      <c r="E676" s="26">
        <f t="shared" si="1"/>
        <v>0.5606816293</v>
      </c>
      <c r="F676" s="18">
        <f t="shared" si="2"/>
        <v>0.1526976152</v>
      </c>
    </row>
    <row r="677">
      <c r="A677" s="14">
        <v>0.978613198</v>
      </c>
      <c r="B677" s="14">
        <v>0.576</v>
      </c>
      <c r="C677" s="14">
        <v>0.21</v>
      </c>
      <c r="D677" s="25">
        <v>676.0</v>
      </c>
      <c r="E677" s="26">
        <f t="shared" si="1"/>
        <v>0.5615128845</v>
      </c>
      <c r="F677" s="18">
        <f t="shared" si="2"/>
        <v>0.1548060378</v>
      </c>
    </row>
    <row r="678">
      <c r="A678" s="14">
        <v>0.98</v>
      </c>
      <c r="B678" s="14">
        <v>0.57672</v>
      </c>
      <c r="C678" s="14">
        <v>0.212</v>
      </c>
      <c r="D678" s="25">
        <v>677.0</v>
      </c>
      <c r="E678" s="26">
        <f t="shared" si="1"/>
        <v>0.5623441397</v>
      </c>
      <c r="F678" s="18">
        <f t="shared" si="2"/>
        <v>0.1569151488</v>
      </c>
    </row>
    <row r="679">
      <c r="A679" s="14">
        <v>0.98</v>
      </c>
      <c r="B679" s="14">
        <v>0.57733</v>
      </c>
      <c r="C679" s="14">
        <v>0.212</v>
      </c>
      <c r="D679" s="25">
        <v>678.0</v>
      </c>
      <c r="E679" s="26">
        <f t="shared" si="1"/>
        <v>0.5631753948</v>
      </c>
      <c r="F679" s="18">
        <f t="shared" si="2"/>
        <v>0.1590249581</v>
      </c>
    </row>
    <row r="680">
      <c r="A680" s="14">
        <v>0.98</v>
      </c>
      <c r="B680" s="14">
        <v>0.578</v>
      </c>
      <c r="C680" s="14">
        <v>0.21312</v>
      </c>
      <c r="D680" s="25">
        <v>679.0</v>
      </c>
      <c r="E680" s="26">
        <f t="shared" si="1"/>
        <v>0.56400665</v>
      </c>
      <c r="F680" s="18">
        <f t="shared" si="2"/>
        <v>0.1611354754</v>
      </c>
    </row>
    <row r="681">
      <c r="A681" s="14">
        <v>0.983</v>
      </c>
      <c r="B681" s="14">
        <v>0.578</v>
      </c>
      <c r="C681" s="14">
        <v>0.21348</v>
      </c>
      <c r="D681" s="25">
        <v>680.0</v>
      </c>
      <c r="E681" s="26">
        <f t="shared" si="1"/>
        <v>0.5648379052</v>
      </c>
      <c r="F681" s="18">
        <f t="shared" si="2"/>
        <v>0.1632467108</v>
      </c>
    </row>
    <row r="682">
      <c r="A682" s="14">
        <v>0.983</v>
      </c>
      <c r="B682" s="14">
        <v>0.579</v>
      </c>
      <c r="C682" s="14">
        <v>0.21394</v>
      </c>
      <c r="D682" s="25">
        <v>681.0</v>
      </c>
      <c r="E682" s="26">
        <f t="shared" si="1"/>
        <v>0.5656691604</v>
      </c>
      <c r="F682" s="18">
        <f t="shared" si="2"/>
        <v>0.165358674</v>
      </c>
    </row>
    <row r="683">
      <c r="A683" s="14">
        <v>0.983</v>
      </c>
      <c r="B683" s="14">
        <v>0.579392254</v>
      </c>
      <c r="C683" s="14">
        <v>0.215</v>
      </c>
      <c r="D683" s="25">
        <v>682.0</v>
      </c>
      <c r="E683" s="26">
        <f t="shared" si="1"/>
        <v>0.5665004156</v>
      </c>
      <c r="F683" s="18">
        <f t="shared" si="2"/>
        <v>0.1674713751</v>
      </c>
    </row>
    <row r="684">
      <c r="A684" s="14">
        <v>0.983</v>
      </c>
      <c r="B684" s="14">
        <v>0.57941</v>
      </c>
      <c r="C684" s="14">
        <v>0.21515955</v>
      </c>
      <c r="D684" s="25">
        <v>683.0</v>
      </c>
      <c r="E684" s="26">
        <f t="shared" si="1"/>
        <v>0.5673316708</v>
      </c>
      <c r="F684" s="18">
        <f t="shared" si="2"/>
        <v>0.1695848239</v>
      </c>
    </row>
    <row r="685">
      <c r="A685" s="14">
        <v>0.984136045</v>
      </c>
      <c r="B685" s="14">
        <v>0.58</v>
      </c>
      <c r="C685" s="14">
        <v>0.218</v>
      </c>
      <c r="D685" s="25">
        <v>684.0</v>
      </c>
      <c r="E685" s="26">
        <f t="shared" si="1"/>
        <v>0.568162926</v>
      </c>
      <c r="F685" s="18">
        <f t="shared" si="2"/>
        <v>0.1716990305</v>
      </c>
    </row>
    <row r="686">
      <c r="A686" s="14">
        <v>0.98521</v>
      </c>
      <c r="B686" s="14">
        <v>0.58</v>
      </c>
      <c r="C686" s="14">
        <v>0.21843</v>
      </c>
      <c r="D686" s="25">
        <v>685.0</v>
      </c>
      <c r="E686" s="26">
        <f t="shared" si="1"/>
        <v>0.5689941812</v>
      </c>
      <c r="F686" s="18">
        <f t="shared" si="2"/>
        <v>0.1738140049</v>
      </c>
    </row>
    <row r="687">
      <c r="A687" s="14">
        <v>0.98569</v>
      </c>
      <c r="B687" s="14">
        <v>0.58013165</v>
      </c>
      <c r="C687" s="14">
        <v>0.221060365</v>
      </c>
      <c r="D687" s="25">
        <v>686.0</v>
      </c>
      <c r="E687" s="26">
        <f t="shared" si="1"/>
        <v>0.5698254364</v>
      </c>
      <c r="F687" s="18">
        <f t="shared" si="2"/>
        <v>0.175929757</v>
      </c>
    </row>
    <row r="688">
      <c r="A688" s="14">
        <v>0.986</v>
      </c>
      <c r="B688" s="14">
        <v>0.580200732</v>
      </c>
      <c r="C688" s="14">
        <v>0.22113885</v>
      </c>
      <c r="D688" s="25">
        <v>687.0</v>
      </c>
      <c r="E688" s="26">
        <f t="shared" si="1"/>
        <v>0.5706566916</v>
      </c>
      <c r="F688" s="18">
        <f t="shared" si="2"/>
        <v>0.1780462969</v>
      </c>
    </row>
    <row r="689">
      <c r="A689" s="14">
        <v>0.98912</v>
      </c>
      <c r="B689" s="14">
        <v>0.58147</v>
      </c>
      <c r="C689" s="14">
        <v>0.224</v>
      </c>
      <c r="D689" s="25">
        <v>688.0</v>
      </c>
      <c r="E689" s="26">
        <f t="shared" si="1"/>
        <v>0.5714879468</v>
      </c>
      <c r="F689" s="18">
        <f t="shared" si="2"/>
        <v>0.1801636348</v>
      </c>
    </row>
    <row r="690">
      <c r="A690" s="14">
        <v>0.99</v>
      </c>
      <c r="B690" s="14">
        <v>0.581843853</v>
      </c>
      <c r="C690" s="14">
        <v>0.2254</v>
      </c>
      <c r="D690" s="25">
        <v>689.0</v>
      </c>
      <c r="E690" s="26">
        <f t="shared" si="1"/>
        <v>0.572319202</v>
      </c>
      <c r="F690" s="18">
        <f t="shared" si="2"/>
        <v>0.1822817807</v>
      </c>
    </row>
    <row r="691">
      <c r="A691" s="14">
        <v>0.991</v>
      </c>
      <c r="B691" s="14">
        <v>0.582</v>
      </c>
      <c r="C691" s="14">
        <v>0.226</v>
      </c>
      <c r="D691" s="25">
        <v>690.0</v>
      </c>
      <c r="E691" s="26">
        <f t="shared" si="1"/>
        <v>0.5731504572</v>
      </c>
      <c r="F691" s="18">
        <f t="shared" si="2"/>
        <v>0.1844007446</v>
      </c>
    </row>
    <row r="692">
      <c r="A692" s="14">
        <v>0.993025005</v>
      </c>
      <c r="B692" s="14">
        <v>0.582</v>
      </c>
      <c r="C692" s="14">
        <v>0.23</v>
      </c>
      <c r="D692" s="25">
        <v>691.0</v>
      </c>
      <c r="E692" s="26">
        <f t="shared" si="1"/>
        <v>0.5739817124</v>
      </c>
      <c r="F692" s="18">
        <f t="shared" si="2"/>
        <v>0.1865205369</v>
      </c>
    </row>
    <row r="693">
      <c r="A693" s="14">
        <v>0.99496</v>
      </c>
      <c r="B693" s="14">
        <v>0.58218</v>
      </c>
      <c r="C693" s="14">
        <v>0.23669</v>
      </c>
      <c r="D693" s="25">
        <v>692.0</v>
      </c>
      <c r="E693" s="26">
        <f t="shared" si="1"/>
        <v>0.5748129676</v>
      </c>
      <c r="F693" s="18">
        <f t="shared" si="2"/>
        <v>0.1886411676</v>
      </c>
    </row>
    <row r="694">
      <c r="A694" s="14">
        <v>0.99537</v>
      </c>
      <c r="B694" s="14">
        <v>0.583</v>
      </c>
      <c r="C694" s="14">
        <v>0.237</v>
      </c>
      <c r="D694" s="25">
        <v>693.0</v>
      </c>
      <c r="E694" s="26">
        <f t="shared" si="1"/>
        <v>0.5756442228</v>
      </c>
      <c r="F694" s="18">
        <f t="shared" si="2"/>
        <v>0.1907626471</v>
      </c>
    </row>
    <row r="695">
      <c r="A695" s="14">
        <v>0.99876</v>
      </c>
      <c r="B695" s="14">
        <v>0.584</v>
      </c>
      <c r="C695" s="14">
        <v>0.24</v>
      </c>
      <c r="D695" s="25">
        <v>694.0</v>
      </c>
      <c r="E695" s="26">
        <f t="shared" si="1"/>
        <v>0.576475478</v>
      </c>
      <c r="F695" s="18">
        <f t="shared" si="2"/>
        <v>0.1928849854</v>
      </c>
    </row>
    <row r="696">
      <c r="A696" s="14">
        <v>0.99903</v>
      </c>
      <c r="B696" s="14">
        <v>0.584</v>
      </c>
      <c r="C696" s="14">
        <v>0.24</v>
      </c>
      <c r="D696" s="25">
        <v>695.0</v>
      </c>
      <c r="E696" s="26">
        <f t="shared" si="1"/>
        <v>0.5773067332</v>
      </c>
      <c r="F696" s="18">
        <f t="shared" si="2"/>
        <v>0.1950081929</v>
      </c>
    </row>
    <row r="697">
      <c r="A697" s="14">
        <v>1.0</v>
      </c>
      <c r="B697" s="14">
        <v>0.584</v>
      </c>
      <c r="C697" s="14">
        <v>0.24</v>
      </c>
      <c r="D697" s="25">
        <v>696.0</v>
      </c>
      <c r="E697" s="26">
        <f t="shared" si="1"/>
        <v>0.5781379884</v>
      </c>
      <c r="F697" s="18">
        <f t="shared" si="2"/>
        <v>0.1971322798</v>
      </c>
    </row>
    <row r="698">
      <c r="A698" s="14">
        <v>1.00268</v>
      </c>
      <c r="B698" s="14">
        <v>0.5845</v>
      </c>
      <c r="C698" s="14">
        <v>0.242</v>
      </c>
      <c r="D698" s="25">
        <v>697.0</v>
      </c>
      <c r="E698" s="26">
        <f t="shared" si="1"/>
        <v>0.5789692436</v>
      </c>
      <c r="F698" s="18">
        <f t="shared" si="2"/>
        <v>0.1992572566</v>
      </c>
    </row>
    <row r="699">
      <c r="A699" s="14">
        <v>1.003</v>
      </c>
      <c r="B699" s="14">
        <v>0.585</v>
      </c>
      <c r="C699" s="14">
        <v>0.24558</v>
      </c>
      <c r="D699" s="25">
        <v>698.0</v>
      </c>
      <c r="E699" s="26">
        <f t="shared" si="1"/>
        <v>0.5798004988</v>
      </c>
      <c r="F699" s="18">
        <f t="shared" si="2"/>
        <v>0.2013831334</v>
      </c>
    </row>
    <row r="700">
      <c r="A700" s="14">
        <v>1.003187299</v>
      </c>
      <c r="B700" s="14">
        <v>0.585</v>
      </c>
      <c r="C700" s="14">
        <v>0.246528223</v>
      </c>
      <c r="D700" s="25">
        <v>699.0</v>
      </c>
      <c r="E700" s="26">
        <f t="shared" si="1"/>
        <v>0.5806317539</v>
      </c>
      <c r="F700" s="18">
        <f t="shared" si="2"/>
        <v>0.2035099208</v>
      </c>
    </row>
    <row r="701">
      <c r="A701" s="14">
        <v>1.005</v>
      </c>
      <c r="B701" s="14">
        <v>0.585</v>
      </c>
      <c r="C701" s="14">
        <v>0.25</v>
      </c>
      <c r="D701" s="25">
        <v>700.0</v>
      </c>
      <c r="E701" s="26">
        <f t="shared" si="1"/>
        <v>0.5814630091</v>
      </c>
      <c r="F701" s="18">
        <f t="shared" si="2"/>
        <v>0.2056376291</v>
      </c>
    </row>
    <row r="702">
      <c r="A702" s="14">
        <v>1.00508</v>
      </c>
      <c r="B702" s="14">
        <v>0.585214674</v>
      </c>
      <c r="C702" s="14">
        <v>0.250880182</v>
      </c>
      <c r="D702" s="25">
        <v>701.0</v>
      </c>
      <c r="E702" s="26">
        <f t="shared" si="1"/>
        <v>0.5822942643</v>
      </c>
      <c r="F702" s="18">
        <f t="shared" si="2"/>
        <v>0.2077662688</v>
      </c>
    </row>
    <row r="703">
      <c r="A703" s="14">
        <v>1.006</v>
      </c>
      <c r="B703" s="14">
        <v>0.585384488</v>
      </c>
      <c r="C703" s="14">
        <v>0.251343131</v>
      </c>
      <c r="D703" s="25">
        <v>702.0</v>
      </c>
      <c r="E703" s="26">
        <f t="shared" si="1"/>
        <v>0.5831255195</v>
      </c>
      <c r="F703" s="18">
        <f t="shared" si="2"/>
        <v>0.2098958503</v>
      </c>
    </row>
    <row r="704">
      <c r="A704" s="14">
        <v>1.006238341</v>
      </c>
      <c r="B704" s="14">
        <v>0.58557</v>
      </c>
      <c r="C704" s="14">
        <v>0.251666635</v>
      </c>
      <c r="D704" s="25">
        <v>703.0</v>
      </c>
      <c r="E704" s="26">
        <f t="shared" si="1"/>
        <v>0.5839567747</v>
      </c>
      <c r="F704" s="18">
        <f t="shared" si="2"/>
        <v>0.2120263841</v>
      </c>
    </row>
    <row r="705">
      <c r="A705" s="14">
        <v>1.007483721</v>
      </c>
      <c r="B705" s="14">
        <v>0.586</v>
      </c>
      <c r="C705" s="14">
        <v>0.25609</v>
      </c>
      <c r="D705" s="25">
        <v>704.0</v>
      </c>
      <c r="E705" s="26">
        <f t="shared" si="1"/>
        <v>0.5847880299</v>
      </c>
      <c r="F705" s="18">
        <f t="shared" si="2"/>
        <v>0.2141578808</v>
      </c>
    </row>
    <row r="706">
      <c r="A706" s="14">
        <v>1.00793</v>
      </c>
      <c r="B706" s="14">
        <v>0.587305248</v>
      </c>
      <c r="C706" s="14">
        <v>0.25704217</v>
      </c>
      <c r="D706" s="25">
        <v>705.0</v>
      </c>
      <c r="E706" s="26">
        <f t="shared" si="1"/>
        <v>0.5856192851</v>
      </c>
      <c r="F706" s="18">
        <f t="shared" si="2"/>
        <v>0.2162903509</v>
      </c>
    </row>
    <row r="707">
      <c r="A707" s="14">
        <v>1.008</v>
      </c>
      <c r="B707" s="14">
        <v>0.58852</v>
      </c>
      <c r="C707" s="14">
        <v>0.25772</v>
      </c>
      <c r="D707" s="25">
        <v>706.0</v>
      </c>
      <c r="E707" s="26">
        <f t="shared" si="1"/>
        <v>0.5864505403</v>
      </c>
      <c r="F707" s="18">
        <f t="shared" si="2"/>
        <v>0.2184238051</v>
      </c>
    </row>
    <row r="708">
      <c r="A708" s="14">
        <v>1.00964</v>
      </c>
      <c r="B708" s="14">
        <v>0.588767052</v>
      </c>
      <c r="C708" s="14">
        <v>0.259</v>
      </c>
      <c r="D708" s="25">
        <v>707.0</v>
      </c>
      <c r="E708" s="26">
        <f t="shared" si="1"/>
        <v>0.5872817955</v>
      </c>
      <c r="F708" s="18">
        <f t="shared" si="2"/>
        <v>0.2205582538</v>
      </c>
    </row>
    <row r="709">
      <c r="A709" s="14">
        <v>1.01404</v>
      </c>
      <c r="B709" s="14">
        <v>0.589</v>
      </c>
      <c r="C709" s="14">
        <v>0.25927034</v>
      </c>
      <c r="D709" s="25">
        <v>708.0</v>
      </c>
      <c r="E709" s="26">
        <f t="shared" si="1"/>
        <v>0.5881130507</v>
      </c>
      <c r="F709" s="18">
        <f t="shared" si="2"/>
        <v>0.2226937079</v>
      </c>
    </row>
    <row r="710">
      <c r="A710" s="14">
        <v>1.01413</v>
      </c>
      <c r="B710" s="14">
        <v>0.591</v>
      </c>
      <c r="C710" s="14">
        <v>0.26248</v>
      </c>
      <c r="D710" s="25">
        <v>709.0</v>
      </c>
      <c r="E710" s="26">
        <f t="shared" si="1"/>
        <v>0.5889443059</v>
      </c>
      <c r="F710" s="18">
        <f t="shared" si="2"/>
        <v>0.224830178</v>
      </c>
    </row>
    <row r="711">
      <c r="A711" s="14">
        <v>1.01528</v>
      </c>
      <c r="B711" s="14">
        <v>0.592</v>
      </c>
      <c r="C711" s="14">
        <v>0.263218194</v>
      </c>
      <c r="D711" s="25">
        <v>710.0</v>
      </c>
      <c r="E711" s="26">
        <f t="shared" si="1"/>
        <v>0.5897755611</v>
      </c>
      <c r="F711" s="18">
        <f t="shared" si="2"/>
        <v>0.2269676749</v>
      </c>
    </row>
    <row r="712">
      <c r="A712" s="14">
        <v>1.01905</v>
      </c>
      <c r="B712" s="14">
        <v>0.592</v>
      </c>
      <c r="C712" s="14">
        <v>0.265</v>
      </c>
      <c r="D712" s="25">
        <v>711.0</v>
      </c>
      <c r="E712" s="26">
        <f t="shared" si="1"/>
        <v>0.5906068163</v>
      </c>
      <c r="F712" s="18">
        <f t="shared" si="2"/>
        <v>0.2291062092</v>
      </c>
    </row>
    <row r="713">
      <c r="A713" s="14">
        <v>1.02</v>
      </c>
      <c r="B713" s="14">
        <v>0.59201</v>
      </c>
      <c r="C713" s="14">
        <v>0.265</v>
      </c>
      <c r="D713" s="25">
        <v>712.0</v>
      </c>
      <c r="E713" s="26">
        <f t="shared" si="1"/>
        <v>0.5914380715</v>
      </c>
      <c r="F713" s="18">
        <f t="shared" si="2"/>
        <v>0.2312457918</v>
      </c>
    </row>
    <row r="714">
      <c r="A714" s="14">
        <v>1.02152</v>
      </c>
      <c r="B714" s="14">
        <v>0.593</v>
      </c>
      <c r="C714" s="14">
        <v>0.265428066</v>
      </c>
      <c r="D714" s="25">
        <v>713.0</v>
      </c>
      <c r="E714" s="26">
        <f t="shared" si="1"/>
        <v>0.5922693267</v>
      </c>
      <c r="F714" s="18">
        <f t="shared" si="2"/>
        <v>0.2333864335</v>
      </c>
    </row>
    <row r="715">
      <c r="A715" s="14">
        <v>1.02169</v>
      </c>
      <c r="B715" s="14">
        <v>0.593</v>
      </c>
      <c r="C715" s="14">
        <v>0.266</v>
      </c>
      <c r="D715" s="25">
        <v>714.0</v>
      </c>
      <c r="E715" s="26">
        <f t="shared" si="1"/>
        <v>0.5931005819</v>
      </c>
      <c r="F715" s="18">
        <f t="shared" si="2"/>
        <v>0.2355281453</v>
      </c>
    </row>
    <row r="716">
      <c r="A716" s="14">
        <v>1.023</v>
      </c>
      <c r="B716" s="14">
        <v>0.593</v>
      </c>
      <c r="C716" s="14">
        <v>0.266</v>
      </c>
      <c r="D716" s="25">
        <v>715.0</v>
      </c>
      <c r="E716" s="26">
        <f t="shared" si="1"/>
        <v>0.5939318371</v>
      </c>
      <c r="F716" s="18">
        <f t="shared" si="2"/>
        <v>0.2376709379</v>
      </c>
    </row>
    <row r="717">
      <c r="A717" s="14">
        <v>1.02507</v>
      </c>
      <c r="B717" s="14">
        <v>0.593361557</v>
      </c>
      <c r="C717" s="14">
        <v>0.27</v>
      </c>
      <c r="D717" s="25">
        <v>716.0</v>
      </c>
      <c r="E717" s="26">
        <f t="shared" si="1"/>
        <v>0.5947630923</v>
      </c>
      <c r="F717" s="18">
        <f t="shared" si="2"/>
        <v>0.2398148224</v>
      </c>
    </row>
    <row r="718">
      <c r="A718" s="14">
        <v>1.02626</v>
      </c>
      <c r="B718" s="14">
        <v>0.594</v>
      </c>
      <c r="C718" s="14">
        <v>0.27</v>
      </c>
      <c r="D718" s="25">
        <v>717.0</v>
      </c>
      <c r="E718" s="26">
        <f t="shared" si="1"/>
        <v>0.5955943475</v>
      </c>
      <c r="F718" s="18">
        <f t="shared" si="2"/>
        <v>0.2419598096</v>
      </c>
    </row>
    <row r="719">
      <c r="A719" s="14">
        <v>1.029</v>
      </c>
      <c r="B719" s="14">
        <v>0.59444</v>
      </c>
      <c r="C719" s="14">
        <v>0.27</v>
      </c>
      <c r="D719" s="25">
        <v>718.0</v>
      </c>
      <c r="E719" s="26">
        <f t="shared" si="1"/>
        <v>0.5964256027</v>
      </c>
      <c r="F719" s="18">
        <f t="shared" si="2"/>
        <v>0.2441059108</v>
      </c>
    </row>
    <row r="720">
      <c r="A720" s="14">
        <v>1.029</v>
      </c>
      <c r="B720" s="14">
        <v>0.596</v>
      </c>
      <c r="C720" s="14">
        <v>0.271</v>
      </c>
      <c r="D720" s="25">
        <v>719.0</v>
      </c>
      <c r="E720" s="26">
        <f t="shared" si="1"/>
        <v>0.5972568579</v>
      </c>
      <c r="F720" s="18">
        <f t="shared" si="2"/>
        <v>0.2462531368</v>
      </c>
    </row>
    <row r="721">
      <c r="A721" s="14">
        <v>1.02912</v>
      </c>
      <c r="B721" s="14">
        <v>0.59609</v>
      </c>
      <c r="C721" s="14">
        <v>0.272</v>
      </c>
      <c r="D721" s="25">
        <v>720.0</v>
      </c>
      <c r="E721" s="26">
        <f t="shared" si="1"/>
        <v>0.5980881131</v>
      </c>
      <c r="F721" s="18">
        <f t="shared" si="2"/>
        <v>0.2484014987</v>
      </c>
    </row>
    <row r="722">
      <c r="A722" s="14">
        <v>1.03143</v>
      </c>
      <c r="B722" s="14">
        <v>0.59625</v>
      </c>
      <c r="C722" s="14">
        <v>0.273432255</v>
      </c>
      <c r="D722" s="25">
        <v>721.0</v>
      </c>
      <c r="E722" s="26">
        <f t="shared" si="1"/>
        <v>0.5989193682</v>
      </c>
      <c r="F722" s="18">
        <f t="shared" si="2"/>
        <v>0.2505510078</v>
      </c>
    </row>
    <row r="723">
      <c r="A723" s="14">
        <v>1.03276</v>
      </c>
      <c r="B723" s="14">
        <v>0.59657</v>
      </c>
      <c r="C723" s="14">
        <v>0.27399</v>
      </c>
      <c r="D723" s="25">
        <v>722.0</v>
      </c>
      <c r="E723" s="26">
        <f t="shared" si="1"/>
        <v>0.5997506234</v>
      </c>
      <c r="F723" s="18">
        <f t="shared" si="2"/>
        <v>0.2527016751</v>
      </c>
    </row>
    <row r="724">
      <c r="A724" s="14">
        <v>1.033</v>
      </c>
      <c r="B724" s="14">
        <v>0.596627891</v>
      </c>
      <c r="C724" s="14">
        <v>0.276731938</v>
      </c>
      <c r="D724" s="25">
        <v>723.0</v>
      </c>
      <c r="E724" s="26">
        <f t="shared" si="1"/>
        <v>0.6005818786</v>
      </c>
      <c r="F724" s="18">
        <f t="shared" si="2"/>
        <v>0.2548535119</v>
      </c>
    </row>
    <row r="725">
      <c r="A725" s="14">
        <v>1.03516</v>
      </c>
      <c r="B725" s="14">
        <v>0.597</v>
      </c>
      <c r="C725" s="14">
        <v>0.278</v>
      </c>
      <c r="D725" s="25">
        <v>724.0</v>
      </c>
      <c r="E725" s="26">
        <f t="shared" si="1"/>
        <v>0.6014131338</v>
      </c>
      <c r="F725" s="18">
        <f t="shared" si="2"/>
        <v>0.2570065295</v>
      </c>
    </row>
    <row r="726">
      <c r="A726" s="14">
        <v>1.03526</v>
      </c>
      <c r="B726" s="14">
        <v>0.597</v>
      </c>
      <c r="C726" s="14">
        <v>0.28</v>
      </c>
      <c r="D726" s="25">
        <v>725.0</v>
      </c>
      <c r="E726" s="26">
        <f t="shared" si="1"/>
        <v>0.602244389</v>
      </c>
      <c r="F726" s="18">
        <f t="shared" si="2"/>
        <v>0.259160739</v>
      </c>
    </row>
    <row r="727">
      <c r="A727" s="14">
        <v>1.03817</v>
      </c>
      <c r="B727" s="14">
        <v>0.597</v>
      </c>
      <c r="C727" s="14">
        <v>0.28105</v>
      </c>
      <c r="D727" s="25">
        <v>726.0</v>
      </c>
      <c r="E727" s="26">
        <f t="shared" si="1"/>
        <v>0.6030756442</v>
      </c>
      <c r="F727" s="18">
        <f t="shared" si="2"/>
        <v>0.2613161519</v>
      </c>
    </row>
    <row r="728">
      <c r="A728" s="14">
        <v>1.03938</v>
      </c>
      <c r="B728" s="14">
        <v>0.598</v>
      </c>
      <c r="C728" s="14">
        <v>0.282</v>
      </c>
      <c r="D728" s="25">
        <v>727.0</v>
      </c>
      <c r="E728" s="26">
        <f t="shared" si="1"/>
        <v>0.6039068994</v>
      </c>
      <c r="F728" s="18">
        <f t="shared" si="2"/>
        <v>0.2634727795</v>
      </c>
    </row>
    <row r="729">
      <c r="A729" s="14">
        <v>1.03999</v>
      </c>
      <c r="B729" s="14">
        <v>0.599</v>
      </c>
      <c r="C729" s="14">
        <v>0.282410324</v>
      </c>
      <c r="D729" s="25">
        <v>728.0</v>
      </c>
      <c r="E729" s="26">
        <f t="shared" si="1"/>
        <v>0.6047381546</v>
      </c>
      <c r="F729" s="18">
        <f t="shared" si="2"/>
        <v>0.2656306332</v>
      </c>
    </row>
    <row r="730">
      <c r="A730" s="14">
        <v>1.04103</v>
      </c>
      <c r="B730" s="14">
        <v>0.601607382</v>
      </c>
      <c r="C730" s="14">
        <v>0.282661825</v>
      </c>
      <c r="D730" s="25">
        <v>729.0</v>
      </c>
      <c r="E730" s="26">
        <f t="shared" si="1"/>
        <v>0.6055694098</v>
      </c>
      <c r="F730" s="18">
        <f t="shared" si="2"/>
        <v>0.2677897245</v>
      </c>
    </row>
    <row r="731">
      <c r="A731" s="14">
        <v>1.04167</v>
      </c>
      <c r="B731" s="14">
        <v>0.602126956</v>
      </c>
      <c r="C731" s="14">
        <v>0.283</v>
      </c>
      <c r="D731" s="25">
        <v>730.0</v>
      </c>
      <c r="E731" s="26">
        <f t="shared" si="1"/>
        <v>0.606400665</v>
      </c>
      <c r="F731" s="18">
        <f t="shared" si="2"/>
        <v>0.2699500649</v>
      </c>
    </row>
    <row r="732">
      <c r="A732" s="14">
        <v>1.041989803</v>
      </c>
      <c r="B732" s="14">
        <v>0.603</v>
      </c>
      <c r="C732" s="14">
        <v>0.28333</v>
      </c>
      <c r="D732" s="25">
        <v>731.0</v>
      </c>
      <c r="E732" s="26">
        <f t="shared" si="1"/>
        <v>0.6072319202</v>
      </c>
      <c r="F732" s="18">
        <f t="shared" si="2"/>
        <v>0.2721116658</v>
      </c>
    </row>
    <row r="733">
      <c r="A733" s="14">
        <v>1.043280005</v>
      </c>
      <c r="B733" s="14">
        <v>0.60362</v>
      </c>
      <c r="C733" s="14">
        <v>0.28467</v>
      </c>
      <c r="D733" s="25">
        <v>732.0</v>
      </c>
      <c r="E733" s="26">
        <f t="shared" si="1"/>
        <v>0.6080631754</v>
      </c>
      <c r="F733" s="18">
        <f t="shared" si="2"/>
        <v>0.274274539</v>
      </c>
    </row>
    <row r="734">
      <c r="A734" s="14">
        <v>1.04356</v>
      </c>
      <c r="B734" s="14">
        <v>0.60365</v>
      </c>
      <c r="C734" s="14">
        <v>0.28551</v>
      </c>
      <c r="D734" s="25">
        <v>733.0</v>
      </c>
      <c r="E734" s="26">
        <f t="shared" si="1"/>
        <v>0.6088944306</v>
      </c>
      <c r="F734" s="18">
        <f t="shared" si="2"/>
        <v>0.276438696</v>
      </c>
    </row>
    <row r="735">
      <c r="A735" s="14">
        <v>1.044</v>
      </c>
      <c r="B735" s="14">
        <v>0.604</v>
      </c>
      <c r="C735" s="14">
        <v>0.28703</v>
      </c>
      <c r="D735" s="25">
        <v>734.0</v>
      </c>
      <c r="E735" s="26">
        <f t="shared" si="1"/>
        <v>0.6097256858</v>
      </c>
      <c r="F735" s="18">
        <f t="shared" si="2"/>
        <v>0.2786041485</v>
      </c>
    </row>
    <row r="736">
      <c r="A736" s="14">
        <v>1.04477</v>
      </c>
      <c r="B736" s="14">
        <v>0.604130983</v>
      </c>
      <c r="C736" s="14">
        <v>0.287371516</v>
      </c>
      <c r="D736" s="25">
        <v>735.0</v>
      </c>
      <c r="E736" s="26">
        <f t="shared" si="1"/>
        <v>0.610556941</v>
      </c>
      <c r="F736" s="18">
        <f t="shared" si="2"/>
        <v>0.2807709082</v>
      </c>
    </row>
    <row r="737">
      <c r="A737" s="14">
        <v>1.045</v>
      </c>
      <c r="B737" s="14">
        <v>0.605</v>
      </c>
      <c r="C737" s="14">
        <v>0.29</v>
      </c>
      <c r="D737" s="25">
        <v>736.0</v>
      </c>
      <c r="E737" s="26">
        <f t="shared" si="1"/>
        <v>0.6113881962</v>
      </c>
      <c r="F737" s="18">
        <f t="shared" si="2"/>
        <v>0.2829389869</v>
      </c>
    </row>
    <row r="738">
      <c r="A738" s="14">
        <v>1.04685</v>
      </c>
      <c r="B738" s="14">
        <v>0.606</v>
      </c>
      <c r="C738" s="14">
        <v>0.291</v>
      </c>
      <c r="D738" s="25">
        <v>737.0</v>
      </c>
      <c r="E738" s="26">
        <f t="shared" si="1"/>
        <v>0.6122194514</v>
      </c>
      <c r="F738" s="18">
        <f t="shared" si="2"/>
        <v>0.2851083964</v>
      </c>
    </row>
    <row r="739">
      <c r="A739" s="14">
        <v>1.047</v>
      </c>
      <c r="B739" s="14">
        <v>0.606</v>
      </c>
      <c r="C739" s="14">
        <v>0.292</v>
      </c>
      <c r="D739" s="25">
        <v>738.0</v>
      </c>
      <c r="E739" s="26">
        <f t="shared" si="1"/>
        <v>0.6130507066</v>
      </c>
      <c r="F739" s="18">
        <f t="shared" si="2"/>
        <v>0.2872791485</v>
      </c>
    </row>
    <row r="740">
      <c r="A740" s="14">
        <v>1.04782</v>
      </c>
      <c r="B740" s="14">
        <v>0.60834527</v>
      </c>
      <c r="C740" s="14">
        <v>0.295</v>
      </c>
      <c r="D740" s="25">
        <v>739.0</v>
      </c>
      <c r="E740" s="26">
        <f t="shared" si="1"/>
        <v>0.6138819618</v>
      </c>
      <c r="F740" s="18">
        <f t="shared" si="2"/>
        <v>0.2894512552</v>
      </c>
    </row>
    <row r="741">
      <c r="A741" s="14">
        <v>1.048</v>
      </c>
      <c r="B741" s="14">
        <v>0.60848</v>
      </c>
      <c r="C741" s="14">
        <v>0.29754</v>
      </c>
      <c r="D741" s="25">
        <v>740.0</v>
      </c>
      <c r="E741" s="26">
        <f t="shared" si="1"/>
        <v>0.614713217</v>
      </c>
      <c r="F741" s="18">
        <f t="shared" si="2"/>
        <v>0.2916247284</v>
      </c>
    </row>
    <row r="742">
      <c r="A742" s="14">
        <v>1.04993</v>
      </c>
      <c r="B742" s="14">
        <v>0.60855</v>
      </c>
      <c r="C742" s="14">
        <v>0.298</v>
      </c>
      <c r="D742" s="25">
        <v>741.0</v>
      </c>
      <c r="E742" s="26">
        <f t="shared" si="1"/>
        <v>0.6155444722</v>
      </c>
      <c r="F742" s="18">
        <f t="shared" si="2"/>
        <v>0.2937995801</v>
      </c>
    </row>
    <row r="743">
      <c r="A743" s="14">
        <v>1.05163</v>
      </c>
      <c r="B743" s="14">
        <v>0.608830452</v>
      </c>
      <c r="C743" s="14">
        <v>0.298388153</v>
      </c>
      <c r="D743" s="25">
        <v>742.0</v>
      </c>
      <c r="E743" s="26">
        <f t="shared" si="1"/>
        <v>0.6163757273</v>
      </c>
      <c r="F743" s="18">
        <f t="shared" si="2"/>
        <v>0.2959758224</v>
      </c>
    </row>
    <row r="744">
      <c r="A744" s="14">
        <v>1.052</v>
      </c>
      <c r="B744" s="14">
        <v>0.609</v>
      </c>
      <c r="C744" s="14">
        <v>0.29927</v>
      </c>
      <c r="D744" s="25">
        <v>743.0</v>
      </c>
      <c r="E744" s="26">
        <f t="shared" si="1"/>
        <v>0.6172069825</v>
      </c>
      <c r="F744" s="18">
        <f t="shared" si="2"/>
        <v>0.2981534673</v>
      </c>
    </row>
    <row r="745">
      <c r="A745" s="14">
        <v>1.05249</v>
      </c>
      <c r="B745" s="14">
        <v>0.611100912</v>
      </c>
      <c r="C745" s="14">
        <v>0.30008</v>
      </c>
      <c r="D745" s="25">
        <v>744.0</v>
      </c>
      <c r="E745" s="26">
        <f t="shared" si="1"/>
        <v>0.6180382377</v>
      </c>
      <c r="F745" s="18">
        <f t="shared" si="2"/>
        <v>0.300332527</v>
      </c>
    </row>
    <row r="746">
      <c r="A746" s="14">
        <v>1.05392</v>
      </c>
      <c r="B746" s="14">
        <v>0.612924099</v>
      </c>
      <c r="C746" s="14">
        <v>0.30118373</v>
      </c>
      <c r="D746" s="25">
        <v>745.0</v>
      </c>
      <c r="E746" s="26">
        <f t="shared" si="1"/>
        <v>0.6188694929</v>
      </c>
      <c r="F746" s="18">
        <f t="shared" si="2"/>
        <v>0.3025130137</v>
      </c>
    </row>
    <row r="747">
      <c r="A747" s="14">
        <v>1.054</v>
      </c>
      <c r="B747" s="14">
        <v>0.614</v>
      </c>
      <c r="C747" s="14">
        <v>0.302</v>
      </c>
      <c r="D747" s="25">
        <v>746.0</v>
      </c>
      <c r="E747" s="26">
        <f t="shared" si="1"/>
        <v>0.6197007481</v>
      </c>
      <c r="F747" s="18">
        <f t="shared" si="2"/>
        <v>0.3046949397</v>
      </c>
    </row>
    <row r="748">
      <c r="A748" s="14">
        <v>1.055</v>
      </c>
      <c r="B748" s="14">
        <v>0.61406213</v>
      </c>
      <c r="C748" s="14">
        <v>0.303728431</v>
      </c>
      <c r="D748" s="25">
        <v>747.0</v>
      </c>
      <c r="E748" s="26">
        <f t="shared" si="1"/>
        <v>0.6205320033</v>
      </c>
      <c r="F748" s="18">
        <f t="shared" si="2"/>
        <v>0.3068783173</v>
      </c>
    </row>
    <row r="749">
      <c r="A749" s="14">
        <v>1.056</v>
      </c>
      <c r="B749" s="14">
        <v>0.61477</v>
      </c>
      <c r="C749" s="14">
        <v>0.304</v>
      </c>
      <c r="D749" s="25">
        <v>748.0</v>
      </c>
      <c r="E749" s="26">
        <f t="shared" si="1"/>
        <v>0.6213632585</v>
      </c>
      <c r="F749" s="18">
        <f t="shared" si="2"/>
        <v>0.3090631587</v>
      </c>
    </row>
    <row r="750">
      <c r="A750" s="14">
        <v>1.05613</v>
      </c>
      <c r="B750" s="14">
        <v>0.61576</v>
      </c>
      <c r="C750" s="14">
        <v>0.306</v>
      </c>
      <c r="D750" s="25">
        <v>749.0</v>
      </c>
      <c r="E750" s="26">
        <f t="shared" si="1"/>
        <v>0.6221945137</v>
      </c>
      <c r="F750" s="18">
        <f t="shared" si="2"/>
        <v>0.3112494765</v>
      </c>
    </row>
    <row r="751">
      <c r="A751" s="14">
        <v>1.058</v>
      </c>
      <c r="B751" s="14">
        <v>0.61583</v>
      </c>
      <c r="C751" s="14">
        <v>0.306</v>
      </c>
      <c r="D751" s="25">
        <v>750.0</v>
      </c>
      <c r="E751" s="26">
        <f t="shared" si="1"/>
        <v>0.6230257689</v>
      </c>
      <c r="F751" s="18">
        <f t="shared" si="2"/>
        <v>0.313437283</v>
      </c>
    </row>
    <row r="752">
      <c r="A752" s="14">
        <v>1.06054</v>
      </c>
      <c r="B752" s="14">
        <v>0.617</v>
      </c>
      <c r="C752" s="14">
        <v>0.308</v>
      </c>
      <c r="D752" s="25">
        <v>751.0</v>
      </c>
      <c r="E752" s="26">
        <f t="shared" si="1"/>
        <v>0.6238570241</v>
      </c>
      <c r="F752" s="18">
        <f t="shared" si="2"/>
        <v>0.3156265909</v>
      </c>
    </row>
    <row r="753">
      <c r="A753" s="14">
        <v>1.06411</v>
      </c>
      <c r="B753" s="14">
        <v>0.617</v>
      </c>
      <c r="C753" s="14">
        <v>0.30826</v>
      </c>
      <c r="D753" s="25">
        <v>752.0</v>
      </c>
      <c r="E753" s="26">
        <f t="shared" si="1"/>
        <v>0.6246882793</v>
      </c>
      <c r="F753" s="18">
        <f t="shared" si="2"/>
        <v>0.3178174126</v>
      </c>
    </row>
    <row r="754">
      <c r="A754" s="14">
        <v>1.06612</v>
      </c>
      <c r="B754" s="14">
        <v>0.617</v>
      </c>
      <c r="C754" s="14">
        <v>0.30844</v>
      </c>
      <c r="D754" s="25">
        <v>753.0</v>
      </c>
      <c r="E754" s="26">
        <f t="shared" si="1"/>
        <v>0.6255195345</v>
      </c>
      <c r="F754" s="18">
        <f t="shared" si="2"/>
        <v>0.3200097608</v>
      </c>
    </row>
    <row r="755">
      <c r="A755" s="14">
        <v>1.067950726</v>
      </c>
      <c r="B755" s="14">
        <v>0.61777</v>
      </c>
      <c r="C755" s="14">
        <v>0.31</v>
      </c>
      <c r="D755" s="25">
        <v>754.0</v>
      </c>
      <c r="E755" s="26">
        <f t="shared" si="1"/>
        <v>0.6263507897</v>
      </c>
      <c r="F755" s="18">
        <f t="shared" si="2"/>
        <v>0.3222036482</v>
      </c>
    </row>
    <row r="756">
      <c r="A756" s="14">
        <v>1.068</v>
      </c>
      <c r="B756" s="14">
        <v>0.617950857</v>
      </c>
      <c r="C756" s="14">
        <v>0.3118</v>
      </c>
      <c r="D756" s="25">
        <v>755.0</v>
      </c>
      <c r="E756" s="26">
        <f t="shared" si="1"/>
        <v>0.6271820449</v>
      </c>
      <c r="F756" s="18">
        <f t="shared" si="2"/>
        <v>0.3243990875</v>
      </c>
    </row>
    <row r="757">
      <c r="A757" s="14">
        <v>1.069</v>
      </c>
      <c r="B757" s="14">
        <v>0.618</v>
      </c>
      <c r="C757" s="14">
        <v>0.31329</v>
      </c>
      <c r="D757" s="25">
        <v>756.0</v>
      </c>
      <c r="E757" s="26">
        <f t="shared" si="1"/>
        <v>0.6280133001</v>
      </c>
      <c r="F757" s="18">
        <f t="shared" si="2"/>
        <v>0.3265960916</v>
      </c>
    </row>
    <row r="758">
      <c r="A758" s="14">
        <v>1.069335938</v>
      </c>
      <c r="B758" s="14">
        <v>0.619</v>
      </c>
      <c r="C758" s="14">
        <v>0.315963835</v>
      </c>
      <c r="D758" s="25">
        <v>757.0</v>
      </c>
      <c r="E758" s="26">
        <f t="shared" si="1"/>
        <v>0.6288445553</v>
      </c>
      <c r="F758" s="18">
        <f t="shared" si="2"/>
        <v>0.3287946731</v>
      </c>
    </row>
    <row r="759">
      <c r="A759" s="14">
        <v>1.07023</v>
      </c>
      <c r="B759" s="14">
        <v>0.62</v>
      </c>
      <c r="C759" s="14">
        <v>0.316</v>
      </c>
      <c r="D759" s="25">
        <v>758.0</v>
      </c>
      <c r="E759" s="26">
        <f t="shared" si="1"/>
        <v>0.6296758105</v>
      </c>
      <c r="F759" s="18">
        <f t="shared" si="2"/>
        <v>0.3309948451</v>
      </c>
    </row>
    <row r="760">
      <c r="A760" s="14">
        <v>1.07284</v>
      </c>
      <c r="B760" s="14">
        <v>0.620070577</v>
      </c>
      <c r="C760" s="14">
        <v>0.31814</v>
      </c>
      <c r="D760" s="25">
        <v>759.0</v>
      </c>
      <c r="E760" s="26">
        <f t="shared" si="1"/>
        <v>0.6305070657</v>
      </c>
      <c r="F760" s="18">
        <f t="shared" si="2"/>
        <v>0.3331966206</v>
      </c>
    </row>
    <row r="761">
      <c r="A761" s="14">
        <v>1.07772</v>
      </c>
      <c r="B761" s="14">
        <v>0.621</v>
      </c>
      <c r="C761" s="14">
        <v>0.3188</v>
      </c>
      <c r="D761" s="25">
        <v>760.0</v>
      </c>
      <c r="E761" s="26">
        <f t="shared" si="1"/>
        <v>0.6313383209</v>
      </c>
      <c r="F761" s="18">
        <f t="shared" si="2"/>
        <v>0.3354000125</v>
      </c>
    </row>
    <row r="762">
      <c r="A762" s="14">
        <v>1.078</v>
      </c>
      <c r="B762" s="14">
        <v>0.622</v>
      </c>
      <c r="C762" s="14">
        <v>0.318834424</v>
      </c>
      <c r="D762" s="25">
        <v>761.0</v>
      </c>
      <c r="E762" s="26">
        <f t="shared" si="1"/>
        <v>0.6321695761</v>
      </c>
      <c r="F762" s="18">
        <f t="shared" si="2"/>
        <v>0.337605034</v>
      </c>
    </row>
    <row r="763">
      <c r="A763" s="14">
        <v>1.078</v>
      </c>
      <c r="B763" s="14">
        <v>0.622</v>
      </c>
      <c r="C763" s="14">
        <v>0.32067</v>
      </c>
      <c r="D763" s="25">
        <v>762.0</v>
      </c>
      <c r="E763" s="26">
        <f t="shared" si="1"/>
        <v>0.6330008313</v>
      </c>
      <c r="F763" s="18">
        <f t="shared" si="2"/>
        <v>0.3398116982</v>
      </c>
    </row>
    <row r="764">
      <c r="A764" s="14">
        <v>1.0786</v>
      </c>
      <c r="B764" s="14">
        <v>0.623</v>
      </c>
      <c r="C764" s="14">
        <v>0.321</v>
      </c>
      <c r="D764" s="25">
        <v>763.0</v>
      </c>
      <c r="E764" s="26">
        <f t="shared" si="1"/>
        <v>0.6338320865</v>
      </c>
      <c r="F764" s="18">
        <f t="shared" si="2"/>
        <v>0.3420200183</v>
      </c>
    </row>
    <row r="765">
      <c r="A765" s="14">
        <v>1.08</v>
      </c>
      <c r="B765" s="14">
        <v>0.62433</v>
      </c>
      <c r="C765" s="14">
        <v>0.32331</v>
      </c>
      <c r="D765" s="25">
        <v>764.0</v>
      </c>
      <c r="E765" s="26">
        <f t="shared" si="1"/>
        <v>0.6346633416</v>
      </c>
      <c r="F765" s="18">
        <f t="shared" si="2"/>
        <v>0.3442300076</v>
      </c>
    </row>
    <row r="766">
      <c r="A766" s="14">
        <v>1.081</v>
      </c>
      <c r="B766" s="14">
        <v>0.625</v>
      </c>
      <c r="C766" s="14">
        <v>0.324489564</v>
      </c>
      <c r="D766" s="25">
        <v>765.0</v>
      </c>
      <c r="E766" s="26">
        <f t="shared" si="1"/>
        <v>0.6354945968</v>
      </c>
      <c r="F766" s="18">
        <f t="shared" si="2"/>
        <v>0.3464416794</v>
      </c>
    </row>
    <row r="767">
      <c r="A767" s="14">
        <v>1.08113</v>
      </c>
      <c r="B767" s="14">
        <v>0.62545</v>
      </c>
      <c r="C767" s="14">
        <v>0.32524</v>
      </c>
      <c r="D767" s="25">
        <v>766.0</v>
      </c>
      <c r="E767" s="26">
        <f t="shared" si="1"/>
        <v>0.636325852</v>
      </c>
      <c r="F767" s="18">
        <f t="shared" si="2"/>
        <v>0.3486550471</v>
      </c>
    </row>
    <row r="768">
      <c r="A768" s="14">
        <v>1.081417799</v>
      </c>
      <c r="B768" s="14">
        <v>0.626</v>
      </c>
      <c r="C768" s="14">
        <v>0.32524</v>
      </c>
      <c r="D768" s="25">
        <v>767.0</v>
      </c>
      <c r="E768" s="26">
        <f t="shared" si="1"/>
        <v>0.6371571072</v>
      </c>
      <c r="F768" s="18">
        <f t="shared" si="2"/>
        <v>0.3508701242</v>
      </c>
    </row>
    <row r="769">
      <c r="A769" s="14">
        <v>1.08182</v>
      </c>
      <c r="B769" s="14">
        <v>0.626006722</v>
      </c>
      <c r="C769" s="14">
        <v>0.329</v>
      </c>
      <c r="D769" s="25">
        <v>768.0</v>
      </c>
      <c r="E769" s="26">
        <f t="shared" si="1"/>
        <v>0.6379883624</v>
      </c>
      <c r="F769" s="18">
        <f t="shared" si="2"/>
        <v>0.3530869242</v>
      </c>
    </row>
    <row r="770">
      <c r="A770" s="14">
        <v>1.08268</v>
      </c>
      <c r="B770" s="14">
        <v>0.626350224</v>
      </c>
      <c r="C770" s="14">
        <v>0.329</v>
      </c>
      <c r="D770" s="25">
        <v>769.0</v>
      </c>
      <c r="E770" s="26">
        <f t="shared" si="1"/>
        <v>0.6388196176</v>
      </c>
      <c r="F770" s="18">
        <f t="shared" si="2"/>
        <v>0.3553054607</v>
      </c>
    </row>
    <row r="771">
      <c r="A771" s="14">
        <v>1.083095908</v>
      </c>
      <c r="B771" s="14">
        <v>0.627</v>
      </c>
      <c r="C771" s="14">
        <v>0.32957</v>
      </c>
      <c r="D771" s="25">
        <v>770.0</v>
      </c>
      <c r="E771" s="26">
        <f t="shared" si="1"/>
        <v>0.6396508728</v>
      </c>
      <c r="F771" s="18">
        <f t="shared" si="2"/>
        <v>0.3575257474</v>
      </c>
    </row>
    <row r="772">
      <c r="A772" s="14">
        <v>1.08383</v>
      </c>
      <c r="B772" s="14">
        <v>0.627</v>
      </c>
      <c r="C772" s="14">
        <v>0.333</v>
      </c>
      <c r="D772" s="25">
        <v>771.0</v>
      </c>
      <c r="E772" s="26">
        <f t="shared" si="1"/>
        <v>0.640482128</v>
      </c>
      <c r="F772" s="18">
        <f t="shared" si="2"/>
        <v>0.359747798</v>
      </c>
    </row>
    <row r="773">
      <c r="A773" s="14">
        <v>1.08393</v>
      </c>
      <c r="B773" s="14">
        <v>0.627162635</v>
      </c>
      <c r="C773" s="14">
        <v>0.338</v>
      </c>
      <c r="D773" s="25">
        <v>772.0</v>
      </c>
      <c r="E773" s="26">
        <f t="shared" si="1"/>
        <v>0.6413133832</v>
      </c>
      <c r="F773" s="18">
        <f t="shared" si="2"/>
        <v>0.3619716262</v>
      </c>
    </row>
    <row r="774">
      <c r="A774" s="14">
        <v>1.086</v>
      </c>
      <c r="B774" s="14">
        <v>0.62877</v>
      </c>
      <c r="C774" s="14">
        <v>0.34</v>
      </c>
      <c r="D774" s="25">
        <v>773.0</v>
      </c>
      <c r="E774" s="26">
        <f t="shared" si="1"/>
        <v>0.6421446384</v>
      </c>
      <c r="F774" s="18">
        <f t="shared" si="2"/>
        <v>0.364197246</v>
      </c>
    </row>
    <row r="775">
      <c r="A775" s="14">
        <v>1.08672</v>
      </c>
      <c r="B775" s="14">
        <v>0.629</v>
      </c>
      <c r="C775" s="14">
        <v>0.341</v>
      </c>
      <c r="D775" s="25">
        <v>774.0</v>
      </c>
      <c r="E775" s="26">
        <f t="shared" si="1"/>
        <v>0.6429758936</v>
      </c>
      <c r="F775" s="18">
        <f t="shared" si="2"/>
        <v>0.3664246713</v>
      </c>
    </row>
    <row r="776">
      <c r="A776" s="14">
        <v>1.08708</v>
      </c>
      <c r="B776" s="14">
        <v>0.63</v>
      </c>
      <c r="C776" s="14">
        <v>0.341</v>
      </c>
      <c r="D776" s="25">
        <v>775.0</v>
      </c>
      <c r="E776" s="26">
        <f t="shared" si="1"/>
        <v>0.6438071488</v>
      </c>
      <c r="F776" s="18">
        <f t="shared" si="2"/>
        <v>0.368653916</v>
      </c>
    </row>
    <row r="777">
      <c r="A777" s="14">
        <v>1.08764</v>
      </c>
      <c r="B777" s="14">
        <v>0.631</v>
      </c>
      <c r="C777" s="14">
        <v>0.343</v>
      </c>
      <c r="D777" s="25">
        <v>776.0</v>
      </c>
      <c r="E777" s="26">
        <f t="shared" si="1"/>
        <v>0.644638404</v>
      </c>
      <c r="F777" s="18">
        <f t="shared" si="2"/>
        <v>0.3708849943</v>
      </c>
    </row>
    <row r="778">
      <c r="A778" s="14">
        <v>1.088</v>
      </c>
      <c r="B778" s="14">
        <v>0.631</v>
      </c>
      <c r="C778" s="14">
        <v>0.345</v>
      </c>
      <c r="D778" s="25">
        <v>777.0</v>
      </c>
      <c r="E778" s="26">
        <f t="shared" si="1"/>
        <v>0.6454696592</v>
      </c>
      <c r="F778" s="18">
        <f t="shared" si="2"/>
        <v>0.3731179203</v>
      </c>
    </row>
    <row r="779">
      <c r="A779" s="14">
        <v>1.088</v>
      </c>
      <c r="B779" s="14">
        <v>0.632</v>
      </c>
      <c r="C779" s="14">
        <v>0.35329</v>
      </c>
      <c r="D779" s="25">
        <v>778.0</v>
      </c>
      <c r="E779" s="26">
        <f t="shared" si="1"/>
        <v>0.6463009144</v>
      </c>
      <c r="F779" s="18">
        <f t="shared" si="2"/>
        <v>0.3753527081</v>
      </c>
    </row>
    <row r="780">
      <c r="A780" s="14">
        <v>1.088</v>
      </c>
      <c r="B780" s="14">
        <v>0.632</v>
      </c>
      <c r="C780" s="14">
        <v>0.35561</v>
      </c>
      <c r="D780" s="25">
        <v>779.0</v>
      </c>
      <c r="E780" s="26">
        <f t="shared" si="1"/>
        <v>0.6471321696</v>
      </c>
      <c r="F780" s="18">
        <f t="shared" si="2"/>
        <v>0.3775893722</v>
      </c>
    </row>
    <row r="781">
      <c r="A781" s="14">
        <v>1.089</v>
      </c>
      <c r="B781" s="14">
        <v>0.63274</v>
      </c>
      <c r="C781" s="14">
        <v>0.35637</v>
      </c>
      <c r="D781" s="25">
        <v>780.0</v>
      </c>
      <c r="E781" s="26">
        <f t="shared" si="1"/>
        <v>0.6479634248</v>
      </c>
      <c r="F781" s="18">
        <f t="shared" si="2"/>
        <v>0.3798279268</v>
      </c>
    </row>
    <row r="782">
      <c r="A782" s="14">
        <v>1.08983</v>
      </c>
      <c r="B782" s="14">
        <v>0.63297</v>
      </c>
      <c r="C782" s="14">
        <v>0.357</v>
      </c>
      <c r="D782" s="25">
        <v>781.0</v>
      </c>
      <c r="E782" s="26">
        <f t="shared" si="1"/>
        <v>0.64879468</v>
      </c>
      <c r="F782" s="18">
        <f t="shared" si="2"/>
        <v>0.3820683864</v>
      </c>
    </row>
    <row r="783">
      <c r="A783" s="14">
        <v>1.09</v>
      </c>
      <c r="B783" s="14">
        <v>0.633</v>
      </c>
      <c r="C783" s="14">
        <v>0.357184172</v>
      </c>
      <c r="D783" s="25">
        <v>782.0</v>
      </c>
      <c r="E783" s="26">
        <f t="shared" si="1"/>
        <v>0.6496259352</v>
      </c>
      <c r="F783" s="18">
        <f t="shared" si="2"/>
        <v>0.3843107656</v>
      </c>
    </row>
    <row r="784">
      <c r="A784" s="14">
        <v>1.092</v>
      </c>
      <c r="B784" s="14">
        <v>0.633182645</v>
      </c>
      <c r="C784" s="14">
        <v>0.35776</v>
      </c>
      <c r="D784" s="25">
        <v>783.0</v>
      </c>
      <c r="E784" s="26">
        <f t="shared" si="1"/>
        <v>0.6504571904</v>
      </c>
      <c r="F784" s="18">
        <f t="shared" si="2"/>
        <v>0.3865550787</v>
      </c>
    </row>
    <row r="785">
      <c r="A785" s="14">
        <v>1.092</v>
      </c>
      <c r="B785" s="14">
        <v>0.633375823</v>
      </c>
      <c r="C785" s="14">
        <v>0.358</v>
      </c>
      <c r="D785" s="25">
        <v>784.0</v>
      </c>
      <c r="E785" s="26">
        <f t="shared" si="1"/>
        <v>0.6512884456</v>
      </c>
      <c r="F785" s="18">
        <f t="shared" si="2"/>
        <v>0.3888013407</v>
      </c>
    </row>
    <row r="786">
      <c r="A786" s="14">
        <v>1.094</v>
      </c>
      <c r="B786" s="14">
        <v>0.63376</v>
      </c>
      <c r="C786" s="14">
        <v>0.358</v>
      </c>
      <c r="D786" s="25">
        <v>785.0</v>
      </c>
      <c r="E786" s="26">
        <f t="shared" si="1"/>
        <v>0.6521197007</v>
      </c>
      <c r="F786" s="18">
        <f t="shared" si="2"/>
        <v>0.3910495661</v>
      </c>
    </row>
    <row r="787">
      <c r="A787" s="14">
        <v>1.095</v>
      </c>
      <c r="B787" s="14">
        <v>0.635422587</v>
      </c>
      <c r="C787" s="14">
        <v>0.363</v>
      </c>
      <c r="D787" s="25">
        <v>786.0</v>
      </c>
      <c r="E787" s="26">
        <f t="shared" si="1"/>
        <v>0.6529509559</v>
      </c>
      <c r="F787" s="18">
        <f t="shared" si="2"/>
        <v>0.3932997699</v>
      </c>
    </row>
    <row r="788">
      <c r="A788" s="14">
        <v>1.09562</v>
      </c>
      <c r="B788" s="14">
        <v>0.636</v>
      </c>
      <c r="C788" s="14">
        <v>0.364717126</v>
      </c>
      <c r="D788" s="25">
        <v>787.0</v>
      </c>
      <c r="E788" s="26">
        <f t="shared" si="1"/>
        <v>0.6537822111</v>
      </c>
      <c r="F788" s="18">
        <f t="shared" si="2"/>
        <v>0.3955519668</v>
      </c>
    </row>
    <row r="789">
      <c r="A789" s="14">
        <v>1.096</v>
      </c>
      <c r="B789" s="14">
        <v>0.637</v>
      </c>
      <c r="C789" s="14">
        <v>0.36503</v>
      </c>
      <c r="D789" s="25">
        <v>788.0</v>
      </c>
      <c r="E789" s="26">
        <f t="shared" si="1"/>
        <v>0.6546134663</v>
      </c>
      <c r="F789" s="18">
        <f t="shared" si="2"/>
        <v>0.397806172</v>
      </c>
    </row>
    <row r="790">
      <c r="A790" s="14">
        <v>1.0961</v>
      </c>
      <c r="B790" s="14">
        <v>0.638</v>
      </c>
      <c r="C790" s="14">
        <v>0.367007285</v>
      </c>
      <c r="D790" s="25">
        <v>789.0</v>
      </c>
      <c r="E790" s="26">
        <f t="shared" si="1"/>
        <v>0.6554447215</v>
      </c>
      <c r="F790" s="18">
        <f t="shared" si="2"/>
        <v>0.4000624003</v>
      </c>
    </row>
    <row r="791">
      <c r="A791" s="14">
        <v>1.097</v>
      </c>
      <c r="B791" s="14">
        <v>0.639163077</v>
      </c>
      <c r="C791" s="14">
        <v>0.367084295</v>
      </c>
      <c r="D791" s="25">
        <v>790.0</v>
      </c>
      <c r="E791" s="26">
        <f t="shared" si="1"/>
        <v>0.6562759767</v>
      </c>
      <c r="F791" s="18">
        <f t="shared" si="2"/>
        <v>0.4023206671</v>
      </c>
    </row>
    <row r="792">
      <c r="A792" s="14">
        <v>1.09774</v>
      </c>
      <c r="B792" s="14">
        <v>0.63938</v>
      </c>
      <c r="C792" s="14">
        <v>0.368</v>
      </c>
      <c r="D792" s="25">
        <v>791.0</v>
      </c>
      <c r="E792" s="26">
        <f t="shared" si="1"/>
        <v>0.6571072319</v>
      </c>
      <c r="F792" s="18">
        <f t="shared" si="2"/>
        <v>0.4045809875</v>
      </c>
    </row>
    <row r="793">
      <c r="A793" s="14">
        <v>1.098</v>
      </c>
      <c r="B793" s="14">
        <v>0.6404</v>
      </c>
      <c r="C793" s="14">
        <v>0.373</v>
      </c>
      <c r="D793" s="25">
        <v>792.0</v>
      </c>
      <c r="E793" s="26">
        <f t="shared" si="1"/>
        <v>0.6579384871</v>
      </c>
      <c r="F793" s="18">
        <f t="shared" si="2"/>
        <v>0.4068433768</v>
      </c>
    </row>
    <row r="794">
      <c r="A794" s="14">
        <v>1.098470807</v>
      </c>
      <c r="B794" s="14">
        <v>0.640880644</v>
      </c>
      <c r="C794" s="14">
        <v>0.37798</v>
      </c>
      <c r="D794" s="25">
        <v>793.0</v>
      </c>
      <c r="E794" s="26">
        <f t="shared" si="1"/>
        <v>0.6587697423</v>
      </c>
      <c r="F794" s="18">
        <f t="shared" si="2"/>
        <v>0.4091078504</v>
      </c>
    </row>
    <row r="795">
      <c r="A795" s="14">
        <v>1.09879</v>
      </c>
      <c r="B795" s="14">
        <v>0.64157</v>
      </c>
      <c r="C795" s="14">
        <v>0.379</v>
      </c>
      <c r="D795" s="25">
        <v>794.0</v>
      </c>
      <c r="E795" s="26">
        <f t="shared" si="1"/>
        <v>0.6596009975</v>
      </c>
      <c r="F795" s="18">
        <f t="shared" si="2"/>
        <v>0.4113744238</v>
      </c>
    </row>
    <row r="796">
      <c r="A796" s="14">
        <v>1.101</v>
      </c>
      <c r="B796" s="14">
        <v>0.64169</v>
      </c>
      <c r="C796" s="14">
        <v>0.38</v>
      </c>
      <c r="D796" s="25">
        <v>795.0</v>
      </c>
      <c r="E796" s="26">
        <f t="shared" si="1"/>
        <v>0.6604322527</v>
      </c>
      <c r="F796" s="18">
        <f t="shared" si="2"/>
        <v>0.4136431125</v>
      </c>
    </row>
    <row r="797">
      <c r="A797" s="14">
        <v>1.102</v>
      </c>
      <c r="B797" s="14">
        <v>0.642</v>
      </c>
      <c r="C797" s="14">
        <v>0.382611543</v>
      </c>
      <c r="D797" s="25">
        <v>796.0</v>
      </c>
      <c r="E797" s="26">
        <f t="shared" si="1"/>
        <v>0.6612635079</v>
      </c>
      <c r="F797" s="18">
        <f t="shared" si="2"/>
        <v>0.4159139323</v>
      </c>
    </row>
    <row r="798">
      <c r="A798" s="14">
        <v>1.10395</v>
      </c>
      <c r="B798" s="14">
        <v>0.643</v>
      </c>
      <c r="C798" s="14">
        <v>0.382816702</v>
      </c>
      <c r="D798" s="25">
        <v>797.0</v>
      </c>
      <c r="E798" s="26">
        <f t="shared" si="1"/>
        <v>0.6620947631</v>
      </c>
      <c r="F798" s="18">
        <f t="shared" si="2"/>
        <v>0.4181868988</v>
      </c>
    </row>
    <row r="799">
      <c r="A799" s="14">
        <v>1.10441196</v>
      </c>
      <c r="B799" s="14">
        <v>0.645</v>
      </c>
      <c r="C799" s="14">
        <v>0.383</v>
      </c>
      <c r="D799" s="25">
        <v>798.0</v>
      </c>
      <c r="E799" s="26">
        <f t="shared" si="1"/>
        <v>0.6629260183</v>
      </c>
      <c r="F799" s="18">
        <f t="shared" si="2"/>
        <v>0.4204620279</v>
      </c>
    </row>
    <row r="800">
      <c r="A800" s="14">
        <v>1.10464</v>
      </c>
      <c r="B800" s="14">
        <v>0.646</v>
      </c>
      <c r="C800" s="14">
        <v>0.38331</v>
      </c>
      <c r="D800" s="25">
        <v>799.0</v>
      </c>
      <c r="E800" s="26">
        <f t="shared" si="1"/>
        <v>0.6637572735</v>
      </c>
      <c r="F800" s="18">
        <f t="shared" si="2"/>
        <v>0.4227393354</v>
      </c>
    </row>
    <row r="801">
      <c r="A801" s="14">
        <v>1.10476</v>
      </c>
      <c r="B801" s="14">
        <v>0.646822274</v>
      </c>
      <c r="C801" s="14">
        <v>0.384398729</v>
      </c>
      <c r="D801" s="25">
        <v>800.0</v>
      </c>
      <c r="E801" s="26">
        <f t="shared" si="1"/>
        <v>0.6645885287</v>
      </c>
      <c r="F801" s="18">
        <f t="shared" si="2"/>
        <v>0.4250188375</v>
      </c>
    </row>
    <row r="802">
      <c r="A802" s="14">
        <v>1.105</v>
      </c>
      <c r="B802" s="14">
        <v>0.647</v>
      </c>
      <c r="C802" s="14">
        <v>0.38583</v>
      </c>
      <c r="D802" s="25">
        <v>801.0</v>
      </c>
      <c r="E802" s="26">
        <f t="shared" si="1"/>
        <v>0.6654197839</v>
      </c>
      <c r="F802" s="18">
        <f t="shared" si="2"/>
        <v>0.4273005501</v>
      </c>
    </row>
    <row r="803">
      <c r="A803" s="14">
        <v>1.106</v>
      </c>
      <c r="B803" s="14">
        <v>0.647</v>
      </c>
      <c r="C803" s="14">
        <v>0.386</v>
      </c>
      <c r="D803" s="25">
        <v>802.0</v>
      </c>
      <c r="E803" s="26">
        <f t="shared" si="1"/>
        <v>0.6662510391</v>
      </c>
      <c r="F803" s="18">
        <f t="shared" si="2"/>
        <v>0.4295844895</v>
      </c>
    </row>
    <row r="804">
      <c r="A804" s="14">
        <v>1.10614</v>
      </c>
      <c r="B804" s="14">
        <v>0.647</v>
      </c>
      <c r="C804" s="14">
        <v>0.389</v>
      </c>
      <c r="D804" s="25">
        <v>803.0</v>
      </c>
      <c r="E804" s="26">
        <f t="shared" si="1"/>
        <v>0.6670822943</v>
      </c>
      <c r="F804" s="18">
        <f t="shared" si="2"/>
        <v>0.4318706721</v>
      </c>
    </row>
    <row r="805">
      <c r="A805" s="14">
        <v>1.107</v>
      </c>
      <c r="B805" s="14">
        <v>0.64938</v>
      </c>
      <c r="C805" s="14">
        <v>0.390843362</v>
      </c>
      <c r="D805" s="25">
        <v>804.0</v>
      </c>
      <c r="E805" s="26">
        <f t="shared" si="1"/>
        <v>0.6679135495</v>
      </c>
      <c r="F805" s="18">
        <f t="shared" si="2"/>
        <v>0.434159114</v>
      </c>
    </row>
    <row r="806">
      <c r="A806" s="14">
        <v>1.111</v>
      </c>
      <c r="B806" s="14">
        <v>0.649565637</v>
      </c>
      <c r="C806" s="14">
        <v>0.393</v>
      </c>
      <c r="D806" s="25">
        <v>805.0</v>
      </c>
      <c r="E806" s="26">
        <f t="shared" si="1"/>
        <v>0.6687448047</v>
      </c>
      <c r="F806" s="18">
        <f t="shared" si="2"/>
        <v>0.436449832</v>
      </c>
    </row>
    <row r="807">
      <c r="A807" s="14">
        <v>1.11111</v>
      </c>
      <c r="B807" s="14">
        <v>0.649828613</v>
      </c>
      <c r="C807" s="14">
        <v>0.393</v>
      </c>
      <c r="D807" s="25">
        <v>806.0</v>
      </c>
      <c r="E807" s="26">
        <f t="shared" si="1"/>
        <v>0.6695760599</v>
      </c>
      <c r="F807" s="18">
        <f t="shared" si="2"/>
        <v>0.4387428424</v>
      </c>
    </row>
    <row r="808">
      <c r="A808" s="14">
        <v>1.114</v>
      </c>
      <c r="B808" s="14">
        <v>0.65</v>
      </c>
      <c r="C808" s="14">
        <v>0.400770068</v>
      </c>
      <c r="D808" s="25">
        <v>807.0</v>
      </c>
      <c r="E808" s="26">
        <f t="shared" si="1"/>
        <v>0.670407315</v>
      </c>
      <c r="F808" s="18">
        <f t="shared" si="2"/>
        <v>0.441038162</v>
      </c>
    </row>
    <row r="809">
      <c r="A809" s="14">
        <v>1.116</v>
      </c>
      <c r="B809" s="14">
        <v>0.651</v>
      </c>
      <c r="C809" s="14">
        <v>0.408</v>
      </c>
      <c r="D809" s="25">
        <v>808.0</v>
      </c>
      <c r="E809" s="26">
        <f t="shared" si="1"/>
        <v>0.6712385702</v>
      </c>
      <c r="F809" s="18">
        <f t="shared" si="2"/>
        <v>0.4433358076</v>
      </c>
    </row>
    <row r="810">
      <c r="A810" s="14">
        <v>1.117</v>
      </c>
      <c r="B810" s="14">
        <v>0.651</v>
      </c>
      <c r="C810" s="14">
        <v>0.408</v>
      </c>
      <c r="D810" s="25">
        <v>809.0</v>
      </c>
      <c r="E810" s="26">
        <f t="shared" si="1"/>
        <v>0.6720698254</v>
      </c>
      <c r="F810" s="18">
        <f t="shared" si="2"/>
        <v>0.4456357961</v>
      </c>
    </row>
    <row r="811">
      <c r="A811" s="14">
        <v>1.11862</v>
      </c>
      <c r="B811" s="14">
        <v>0.65124</v>
      </c>
      <c r="C811" s="14">
        <v>0.40867</v>
      </c>
      <c r="D811" s="25">
        <v>810.0</v>
      </c>
      <c r="E811" s="26">
        <f t="shared" si="1"/>
        <v>0.6729010806</v>
      </c>
      <c r="F811" s="18">
        <f t="shared" si="2"/>
        <v>0.4479381443</v>
      </c>
    </row>
    <row r="812">
      <c r="A812" s="14">
        <v>1.122</v>
      </c>
      <c r="B812" s="14">
        <v>0.651352704</v>
      </c>
      <c r="C812" s="14">
        <v>0.409</v>
      </c>
      <c r="D812" s="25">
        <v>811.0</v>
      </c>
      <c r="E812" s="26">
        <f t="shared" si="1"/>
        <v>0.6737323358</v>
      </c>
      <c r="F812" s="18">
        <f t="shared" si="2"/>
        <v>0.4502428694</v>
      </c>
    </row>
    <row r="813">
      <c r="A813" s="14">
        <v>1.12241</v>
      </c>
      <c r="B813" s="14">
        <v>0.653</v>
      </c>
      <c r="C813" s="14">
        <v>0.41</v>
      </c>
      <c r="D813" s="25">
        <v>812.0</v>
      </c>
      <c r="E813" s="26">
        <f t="shared" si="1"/>
        <v>0.674563591</v>
      </c>
      <c r="F813" s="18">
        <f t="shared" si="2"/>
        <v>0.4525499886</v>
      </c>
    </row>
    <row r="814">
      <c r="A814" s="14">
        <v>1.123235941</v>
      </c>
      <c r="B814" s="14">
        <v>0.654</v>
      </c>
      <c r="C814" s="14">
        <v>0.41004</v>
      </c>
      <c r="D814" s="25">
        <v>813.0</v>
      </c>
      <c r="E814" s="26">
        <f t="shared" si="1"/>
        <v>0.6753948462</v>
      </c>
      <c r="F814" s="18">
        <f t="shared" si="2"/>
        <v>0.4548595192</v>
      </c>
    </row>
    <row r="815">
      <c r="A815" s="14">
        <v>1.12447</v>
      </c>
      <c r="B815" s="14">
        <v>0.654</v>
      </c>
      <c r="C815" s="14">
        <v>0.411</v>
      </c>
      <c r="D815" s="25">
        <v>814.0</v>
      </c>
      <c r="E815" s="26">
        <f t="shared" si="1"/>
        <v>0.6762261014</v>
      </c>
      <c r="F815" s="18">
        <f t="shared" si="2"/>
        <v>0.4571714785</v>
      </c>
    </row>
    <row r="816">
      <c r="A816" s="14">
        <v>1.125</v>
      </c>
      <c r="B816" s="14">
        <v>0.654</v>
      </c>
      <c r="C816" s="14">
        <v>0.41203</v>
      </c>
      <c r="D816" s="25">
        <v>815.0</v>
      </c>
      <c r="E816" s="26">
        <f t="shared" si="1"/>
        <v>0.6770573566</v>
      </c>
      <c r="F816" s="18">
        <f t="shared" si="2"/>
        <v>0.459485884</v>
      </c>
    </row>
    <row r="817">
      <c r="A817" s="14">
        <v>1.125</v>
      </c>
      <c r="B817" s="14">
        <v>0.655</v>
      </c>
      <c r="C817" s="14">
        <v>0.41372</v>
      </c>
      <c r="D817" s="25">
        <v>816.0</v>
      </c>
      <c r="E817" s="26">
        <f t="shared" si="1"/>
        <v>0.6778886118</v>
      </c>
      <c r="F817" s="18">
        <f t="shared" si="2"/>
        <v>0.4618027534</v>
      </c>
    </row>
    <row r="818">
      <c r="A818" s="14">
        <v>1.12575</v>
      </c>
      <c r="B818" s="14">
        <v>0.656</v>
      </c>
      <c r="C818" s="14">
        <v>0.415</v>
      </c>
      <c r="D818" s="25">
        <v>817.0</v>
      </c>
      <c r="E818" s="26">
        <f t="shared" si="1"/>
        <v>0.678719867</v>
      </c>
      <c r="F818" s="18">
        <f t="shared" si="2"/>
        <v>0.4641221044</v>
      </c>
    </row>
    <row r="819">
      <c r="A819" s="14">
        <v>1.1269</v>
      </c>
      <c r="B819" s="14">
        <v>0.656</v>
      </c>
      <c r="C819" s="14">
        <v>0.41516912</v>
      </c>
      <c r="D819" s="25">
        <v>818.0</v>
      </c>
      <c r="E819" s="26">
        <f t="shared" si="1"/>
        <v>0.6795511222</v>
      </c>
      <c r="F819" s="18">
        <f t="shared" si="2"/>
        <v>0.4664439547</v>
      </c>
    </row>
    <row r="820">
      <c r="A820" s="14">
        <v>1.127</v>
      </c>
      <c r="B820" s="14">
        <v>0.657</v>
      </c>
      <c r="C820" s="14">
        <v>0.419</v>
      </c>
      <c r="D820" s="25">
        <v>819.0</v>
      </c>
      <c r="E820" s="26">
        <f t="shared" si="1"/>
        <v>0.6803823774</v>
      </c>
      <c r="F820" s="18">
        <f t="shared" si="2"/>
        <v>0.4687683224</v>
      </c>
    </row>
    <row r="821">
      <c r="A821" s="14">
        <v>1.12945</v>
      </c>
      <c r="B821" s="14">
        <v>0.65821</v>
      </c>
      <c r="C821" s="14">
        <v>0.41904</v>
      </c>
      <c r="D821" s="25">
        <v>820.0</v>
      </c>
      <c r="E821" s="26">
        <f t="shared" si="1"/>
        <v>0.6812136326</v>
      </c>
      <c r="F821" s="18">
        <f t="shared" si="2"/>
        <v>0.4710952254</v>
      </c>
    </row>
    <row r="822">
      <c r="A822" s="14">
        <v>1.129624248</v>
      </c>
      <c r="B822" s="14">
        <v>0.658248663</v>
      </c>
      <c r="C822" s="14">
        <v>0.41978</v>
      </c>
      <c r="D822" s="25">
        <v>821.0</v>
      </c>
      <c r="E822" s="26">
        <f t="shared" si="1"/>
        <v>0.6820448878</v>
      </c>
      <c r="F822" s="18">
        <f t="shared" si="2"/>
        <v>0.473424682</v>
      </c>
    </row>
    <row r="823">
      <c r="A823" s="14">
        <v>1.129827738</v>
      </c>
      <c r="B823" s="14">
        <v>0.659</v>
      </c>
      <c r="C823" s="14">
        <v>0.42</v>
      </c>
      <c r="D823" s="25">
        <v>822.0</v>
      </c>
      <c r="E823" s="26">
        <f t="shared" si="1"/>
        <v>0.682876143</v>
      </c>
      <c r="F823" s="18">
        <f t="shared" si="2"/>
        <v>0.4757567103</v>
      </c>
    </row>
    <row r="824">
      <c r="A824" s="14">
        <v>1.13</v>
      </c>
      <c r="B824" s="14">
        <v>0.659</v>
      </c>
      <c r="C824" s="14">
        <v>0.42</v>
      </c>
      <c r="D824" s="25">
        <v>823.0</v>
      </c>
      <c r="E824" s="26">
        <f t="shared" si="1"/>
        <v>0.6837073982</v>
      </c>
      <c r="F824" s="18">
        <f t="shared" si="2"/>
        <v>0.4780913289</v>
      </c>
    </row>
    <row r="825">
      <c r="A825" s="14">
        <v>1.131363273</v>
      </c>
      <c r="B825" s="14">
        <v>0.659</v>
      </c>
      <c r="C825" s="14">
        <v>0.42922</v>
      </c>
      <c r="D825" s="25">
        <v>824.0</v>
      </c>
      <c r="E825" s="26">
        <f t="shared" si="1"/>
        <v>0.6845386534</v>
      </c>
      <c r="F825" s="18">
        <f t="shared" si="2"/>
        <v>0.4804285563</v>
      </c>
    </row>
    <row r="826">
      <c r="A826" s="14">
        <v>1.13299</v>
      </c>
      <c r="B826" s="14">
        <v>0.6598</v>
      </c>
      <c r="C826" s="14">
        <v>0.435915917</v>
      </c>
      <c r="D826" s="25">
        <v>825.0</v>
      </c>
      <c r="E826" s="26">
        <f t="shared" si="1"/>
        <v>0.6853699086</v>
      </c>
      <c r="F826" s="18">
        <f t="shared" si="2"/>
        <v>0.482768411</v>
      </c>
    </row>
    <row r="827">
      <c r="A827" s="14">
        <v>1.134</v>
      </c>
      <c r="B827" s="14">
        <v>0.66</v>
      </c>
      <c r="C827" s="14">
        <v>0.43844</v>
      </c>
      <c r="D827" s="25">
        <v>826.0</v>
      </c>
      <c r="E827" s="26">
        <f t="shared" si="1"/>
        <v>0.6862011638</v>
      </c>
      <c r="F827" s="18">
        <f t="shared" si="2"/>
        <v>0.4851109117</v>
      </c>
    </row>
    <row r="828">
      <c r="A828" s="14">
        <v>1.13464</v>
      </c>
      <c r="B828" s="14">
        <v>0.66</v>
      </c>
      <c r="C828" s="14">
        <v>0.439299256</v>
      </c>
      <c r="D828" s="25">
        <v>827.0</v>
      </c>
      <c r="E828" s="26">
        <f t="shared" si="1"/>
        <v>0.687032419</v>
      </c>
      <c r="F828" s="18">
        <f t="shared" si="2"/>
        <v>0.4874560775</v>
      </c>
    </row>
    <row r="829">
      <c r="A829" s="14">
        <v>1.137853503</v>
      </c>
      <c r="B829" s="14">
        <v>0.661</v>
      </c>
      <c r="C829" s="14">
        <v>0.442</v>
      </c>
      <c r="D829" s="25">
        <v>828.0</v>
      </c>
      <c r="E829" s="26">
        <f t="shared" si="1"/>
        <v>0.6878636741</v>
      </c>
      <c r="F829" s="18">
        <f t="shared" si="2"/>
        <v>0.4898039273</v>
      </c>
    </row>
    <row r="830">
      <c r="A830" s="14">
        <v>1.13935</v>
      </c>
      <c r="B830" s="14">
        <v>0.66246</v>
      </c>
      <c r="C830" s="14">
        <v>0.444</v>
      </c>
      <c r="D830" s="25">
        <v>829.0</v>
      </c>
      <c r="E830" s="26">
        <f t="shared" si="1"/>
        <v>0.6886949293</v>
      </c>
      <c r="F830" s="18">
        <f t="shared" si="2"/>
        <v>0.4921544802</v>
      </c>
    </row>
    <row r="831">
      <c r="A831" s="14">
        <v>1.14184</v>
      </c>
      <c r="B831" s="14">
        <v>0.663081884</v>
      </c>
      <c r="C831" s="14">
        <v>0.44453</v>
      </c>
      <c r="D831" s="25">
        <v>830.0</v>
      </c>
      <c r="E831" s="26">
        <f t="shared" si="1"/>
        <v>0.6895261845</v>
      </c>
      <c r="F831" s="18">
        <f t="shared" si="2"/>
        <v>0.4945077554</v>
      </c>
    </row>
    <row r="832">
      <c r="A832" s="14">
        <v>1.142</v>
      </c>
      <c r="B832" s="14">
        <v>0.66465199</v>
      </c>
      <c r="C832" s="14">
        <v>0.453</v>
      </c>
      <c r="D832" s="25">
        <v>831.0</v>
      </c>
      <c r="E832" s="26">
        <f t="shared" si="1"/>
        <v>0.6903574397</v>
      </c>
      <c r="F832" s="18">
        <f t="shared" si="2"/>
        <v>0.4968637723</v>
      </c>
    </row>
    <row r="833">
      <c r="A833" s="14">
        <v>1.143</v>
      </c>
      <c r="B833" s="14">
        <v>0.665</v>
      </c>
      <c r="C833" s="14">
        <v>0.454</v>
      </c>
      <c r="D833" s="25">
        <v>832.0</v>
      </c>
      <c r="E833" s="26">
        <f t="shared" si="1"/>
        <v>0.6911886949</v>
      </c>
      <c r="F833" s="18">
        <f t="shared" si="2"/>
        <v>0.4992225505</v>
      </c>
    </row>
    <row r="834">
      <c r="A834" s="14">
        <v>1.143944979</v>
      </c>
      <c r="B834" s="14">
        <v>0.665563583</v>
      </c>
      <c r="C834" s="14">
        <v>0.455220014</v>
      </c>
      <c r="D834" s="25">
        <v>833.0</v>
      </c>
      <c r="E834" s="26">
        <f t="shared" si="1"/>
        <v>0.6920199501</v>
      </c>
      <c r="F834" s="18">
        <f t="shared" si="2"/>
        <v>0.5015841096</v>
      </c>
    </row>
    <row r="835">
      <c r="A835" s="14">
        <v>1.145</v>
      </c>
      <c r="B835" s="14">
        <v>0.66557</v>
      </c>
      <c r="C835" s="14">
        <v>0.456422031</v>
      </c>
      <c r="D835" s="25">
        <v>834.0</v>
      </c>
      <c r="E835" s="26">
        <f t="shared" si="1"/>
        <v>0.6928512053</v>
      </c>
      <c r="F835" s="18">
        <f t="shared" si="2"/>
        <v>0.5039484693</v>
      </c>
    </row>
    <row r="836">
      <c r="A836" s="14">
        <v>1.14524</v>
      </c>
      <c r="B836" s="14">
        <v>0.666</v>
      </c>
      <c r="C836" s="14">
        <v>0.457</v>
      </c>
      <c r="D836" s="25">
        <v>835.0</v>
      </c>
      <c r="E836" s="26">
        <f t="shared" si="1"/>
        <v>0.6936824605</v>
      </c>
      <c r="F836" s="18">
        <f t="shared" si="2"/>
        <v>0.5063156495</v>
      </c>
    </row>
    <row r="837">
      <c r="A837" s="14">
        <v>1.146217465</v>
      </c>
      <c r="B837" s="14">
        <v>0.669</v>
      </c>
      <c r="C837" s="14">
        <v>0.459</v>
      </c>
      <c r="D837" s="25">
        <v>836.0</v>
      </c>
      <c r="E837" s="26">
        <f t="shared" si="1"/>
        <v>0.6945137157</v>
      </c>
      <c r="F837" s="18">
        <f t="shared" si="2"/>
        <v>0.5086856703</v>
      </c>
    </row>
    <row r="838">
      <c r="A838" s="14">
        <v>1.147</v>
      </c>
      <c r="B838" s="14">
        <v>0.669</v>
      </c>
      <c r="C838" s="14">
        <v>0.46</v>
      </c>
      <c r="D838" s="25">
        <v>837.0</v>
      </c>
      <c r="E838" s="26">
        <f t="shared" si="1"/>
        <v>0.6953449709</v>
      </c>
      <c r="F838" s="18">
        <f t="shared" si="2"/>
        <v>0.5110585519</v>
      </c>
    </row>
    <row r="839">
      <c r="A839" s="14">
        <v>1.149</v>
      </c>
      <c r="B839" s="14">
        <v>0.66973</v>
      </c>
      <c r="C839" s="14">
        <v>0.461</v>
      </c>
      <c r="D839" s="25">
        <v>838.0</v>
      </c>
      <c r="E839" s="26">
        <f t="shared" si="1"/>
        <v>0.6961762261</v>
      </c>
      <c r="F839" s="18">
        <f t="shared" si="2"/>
        <v>0.5134343145</v>
      </c>
    </row>
    <row r="840">
      <c r="A840" s="14">
        <v>1.15009129</v>
      </c>
      <c r="B840" s="14">
        <v>0.671237648</v>
      </c>
      <c r="C840" s="14">
        <v>0.464307785</v>
      </c>
      <c r="D840" s="25">
        <v>839.0</v>
      </c>
      <c r="E840" s="26">
        <f t="shared" si="1"/>
        <v>0.6970074813</v>
      </c>
      <c r="F840" s="18">
        <f t="shared" si="2"/>
        <v>0.5158129786</v>
      </c>
    </row>
    <row r="841">
      <c r="A841" s="14">
        <v>1.15102</v>
      </c>
      <c r="B841" s="14">
        <v>0.672</v>
      </c>
      <c r="C841" s="14">
        <v>0.46987</v>
      </c>
      <c r="D841" s="25">
        <v>840.0</v>
      </c>
      <c r="E841" s="26">
        <f t="shared" si="1"/>
        <v>0.6978387365</v>
      </c>
      <c r="F841" s="18">
        <f t="shared" si="2"/>
        <v>0.5181945647</v>
      </c>
    </row>
    <row r="842">
      <c r="A842" s="14">
        <v>1.152400255</v>
      </c>
      <c r="B842" s="14">
        <v>0.674</v>
      </c>
      <c r="C842" s="14">
        <v>0.474</v>
      </c>
      <c r="D842" s="25">
        <v>841.0</v>
      </c>
      <c r="E842" s="26">
        <f t="shared" si="1"/>
        <v>0.6986699917</v>
      </c>
      <c r="F842" s="18">
        <f t="shared" si="2"/>
        <v>0.5205790937</v>
      </c>
    </row>
    <row r="843">
      <c r="A843" s="14">
        <v>1.154</v>
      </c>
      <c r="B843" s="14">
        <v>0.676</v>
      </c>
      <c r="C843" s="14">
        <v>0.48049</v>
      </c>
      <c r="D843" s="25">
        <v>842.0</v>
      </c>
      <c r="E843" s="26">
        <f t="shared" si="1"/>
        <v>0.6995012469</v>
      </c>
      <c r="F843" s="18">
        <f t="shared" si="2"/>
        <v>0.5229665864</v>
      </c>
    </row>
    <row r="844">
      <c r="A844" s="14">
        <v>1.155620217</v>
      </c>
      <c r="B844" s="14">
        <v>0.677</v>
      </c>
      <c r="C844" s="14">
        <v>0.481</v>
      </c>
      <c r="D844" s="25">
        <v>843.0</v>
      </c>
      <c r="E844" s="26">
        <f t="shared" si="1"/>
        <v>0.7003325021</v>
      </c>
      <c r="F844" s="18">
        <f t="shared" si="2"/>
        <v>0.5253570637</v>
      </c>
    </row>
    <row r="845">
      <c r="A845" s="14">
        <v>1.156</v>
      </c>
      <c r="B845" s="14">
        <v>0.677</v>
      </c>
      <c r="C845" s="14">
        <v>0.483</v>
      </c>
      <c r="D845" s="25">
        <v>844.0</v>
      </c>
      <c r="E845" s="26">
        <f t="shared" si="1"/>
        <v>0.7011637573</v>
      </c>
      <c r="F845" s="18">
        <f t="shared" si="2"/>
        <v>0.527750547</v>
      </c>
    </row>
    <row r="846">
      <c r="A846" s="14">
        <v>1.16</v>
      </c>
      <c r="B846" s="14">
        <v>0.677</v>
      </c>
      <c r="C846" s="14">
        <v>0.48357</v>
      </c>
      <c r="D846" s="25">
        <v>845.0</v>
      </c>
      <c r="E846" s="26">
        <f t="shared" si="1"/>
        <v>0.7019950125</v>
      </c>
      <c r="F846" s="18">
        <f t="shared" si="2"/>
        <v>0.5301470574</v>
      </c>
    </row>
    <row r="847">
      <c r="A847" s="14">
        <v>1.160837412</v>
      </c>
      <c r="B847" s="14">
        <v>0.677</v>
      </c>
      <c r="C847" s="14">
        <v>0.4921</v>
      </c>
      <c r="D847" s="25">
        <v>846.0</v>
      </c>
      <c r="E847" s="26">
        <f t="shared" si="1"/>
        <v>0.7028262677</v>
      </c>
      <c r="F847" s="18">
        <f t="shared" si="2"/>
        <v>0.5325466165</v>
      </c>
    </row>
    <row r="848">
      <c r="A848" s="14">
        <v>1.161</v>
      </c>
      <c r="B848" s="14">
        <v>0.678</v>
      </c>
      <c r="C848" s="14">
        <v>0.496</v>
      </c>
      <c r="D848" s="25">
        <v>847.0</v>
      </c>
      <c r="E848" s="26">
        <f t="shared" si="1"/>
        <v>0.7036575229</v>
      </c>
      <c r="F848" s="18">
        <f t="shared" si="2"/>
        <v>0.5349492458</v>
      </c>
    </row>
    <row r="849">
      <c r="A849" s="14">
        <v>1.161</v>
      </c>
      <c r="B849" s="14">
        <v>0.679</v>
      </c>
      <c r="C849" s="14">
        <v>0.497</v>
      </c>
      <c r="D849" s="25">
        <v>848.0</v>
      </c>
      <c r="E849" s="26">
        <f t="shared" si="1"/>
        <v>0.7044887781</v>
      </c>
      <c r="F849" s="18">
        <f t="shared" si="2"/>
        <v>0.5373549672</v>
      </c>
    </row>
    <row r="850">
      <c r="A850" s="14">
        <v>1.16157</v>
      </c>
      <c r="B850" s="14">
        <v>0.68</v>
      </c>
      <c r="C850" s="14">
        <v>0.499954879</v>
      </c>
      <c r="D850" s="25">
        <v>849.0</v>
      </c>
      <c r="E850" s="26">
        <f t="shared" si="1"/>
        <v>0.7053200333</v>
      </c>
      <c r="F850" s="18">
        <f t="shared" si="2"/>
        <v>0.5397638026</v>
      </c>
    </row>
    <row r="851">
      <c r="A851" s="14">
        <v>1.163</v>
      </c>
      <c r="B851" s="14">
        <v>0.681</v>
      </c>
      <c r="C851" s="14">
        <v>0.501497388</v>
      </c>
      <c r="D851" s="25">
        <v>850.0</v>
      </c>
      <c r="E851" s="26">
        <f t="shared" si="1"/>
        <v>0.7061512884</v>
      </c>
      <c r="F851" s="18">
        <f t="shared" si="2"/>
        <v>0.542175774</v>
      </c>
    </row>
    <row r="852">
      <c r="A852" s="14">
        <v>1.16374</v>
      </c>
      <c r="B852" s="14">
        <v>0.683</v>
      </c>
      <c r="C852" s="14">
        <v>0.50521</v>
      </c>
      <c r="D852" s="25">
        <v>851.0</v>
      </c>
      <c r="E852" s="26">
        <f t="shared" si="1"/>
        <v>0.7069825436</v>
      </c>
      <c r="F852" s="18">
        <f t="shared" si="2"/>
        <v>0.5445909037</v>
      </c>
    </row>
    <row r="853">
      <c r="A853" s="14">
        <v>1.164</v>
      </c>
      <c r="B853" s="14">
        <v>0.685</v>
      </c>
      <c r="C853" s="14">
        <v>0.506</v>
      </c>
      <c r="D853" s="25">
        <v>852.0</v>
      </c>
      <c r="E853" s="26">
        <f t="shared" si="1"/>
        <v>0.7078137988</v>
      </c>
      <c r="F853" s="18">
        <f t="shared" si="2"/>
        <v>0.5470092141</v>
      </c>
    </row>
    <row r="854">
      <c r="A854" s="14">
        <v>1.165</v>
      </c>
      <c r="B854" s="14">
        <v>0.686</v>
      </c>
      <c r="C854" s="14">
        <v>0.512</v>
      </c>
      <c r="D854" s="25">
        <v>853.0</v>
      </c>
      <c r="E854" s="26">
        <f t="shared" si="1"/>
        <v>0.708645054</v>
      </c>
      <c r="F854" s="18">
        <f t="shared" si="2"/>
        <v>0.5494307278</v>
      </c>
    </row>
    <row r="855">
      <c r="A855" s="14">
        <v>1.16594</v>
      </c>
      <c r="B855" s="14">
        <v>0.686</v>
      </c>
      <c r="C855" s="14">
        <v>0.515</v>
      </c>
      <c r="D855" s="25">
        <v>854.0</v>
      </c>
      <c r="E855" s="26">
        <f t="shared" si="1"/>
        <v>0.7094763092</v>
      </c>
      <c r="F855" s="18">
        <f t="shared" si="2"/>
        <v>0.5518554675</v>
      </c>
    </row>
    <row r="856">
      <c r="A856" s="14">
        <v>1.166</v>
      </c>
      <c r="B856" s="14">
        <v>0.689</v>
      </c>
      <c r="C856" s="14">
        <v>0.522</v>
      </c>
      <c r="D856" s="25">
        <v>855.0</v>
      </c>
      <c r="E856" s="26">
        <f t="shared" si="1"/>
        <v>0.7103075644</v>
      </c>
      <c r="F856" s="18">
        <f t="shared" si="2"/>
        <v>0.5542834561</v>
      </c>
    </row>
    <row r="857">
      <c r="A857" s="14">
        <v>1.166</v>
      </c>
      <c r="B857" s="14">
        <v>0.690596163</v>
      </c>
      <c r="C857" s="14">
        <v>0.52208</v>
      </c>
      <c r="D857" s="25">
        <v>856.0</v>
      </c>
      <c r="E857" s="26">
        <f t="shared" si="1"/>
        <v>0.7111388196</v>
      </c>
      <c r="F857" s="18">
        <f t="shared" si="2"/>
        <v>0.5567147167</v>
      </c>
    </row>
    <row r="858">
      <c r="A858" s="14">
        <v>1.167</v>
      </c>
      <c r="B858" s="14">
        <v>0.693</v>
      </c>
      <c r="C858" s="14">
        <v>0.527</v>
      </c>
      <c r="D858" s="25">
        <v>857.0</v>
      </c>
      <c r="E858" s="26">
        <f t="shared" si="1"/>
        <v>0.7119700748</v>
      </c>
      <c r="F858" s="18">
        <f t="shared" si="2"/>
        <v>0.5591492725</v>
      </c>
    </row>
    <row r="859">
      <c r="A859" s="14">
        <v>1.1681</v>
      </c>
      <c r="B859" s="14">
        <v>0.693</v>
      </c>
      <c r="C859" s="14">
        <v>0.532</v>
      </c>
      <c r="D859" s="25">
        <v>858.0</v>
      </c>
      <c r="E859" s="26">
        <f t="shared" si="1"/>
        <v>0.71280133</v>
      </c>
      <c r="F859" s="18">
        <f t="shared" si="2"/>
        <v>0.5615871469</v>
      </c>
    </row>
    <row r="860">
      <c r="A860" s="14">
        <v>1.169</v>
      </c>
      <c r="B860" s="14">
        <v>0.693351328</v>
      </c>
      <c r="C860" s="14">
        <v>0.534</v>
      </c>
      <c r="D860" s="25">
        <v>859.0</v>
      </c>
      <c r="E860" s="26">
        <f t="shared" si="1"/>
        <v>0.7136325852</v>
      </c>
      <c r="F860" s="18">
        <f t="shared" si="2"/>
        <v>0.5640283636</v>
      </c>
    </row>
    <row r="861">
      <c r="A861" s="14">
        <v>1.169</v>
      </c>
      <c r="B861" s="14">
        <v>0.695</v>
      </c>
      <c r="C861" s="14">
        <v>0.549</v>
      </c>
      <c r="D861" s="25">
        <v>860.0</v>
      </c>
      <c r="E861" s="26">
        <f t="shared" si="1"/>
        <v>0.7144638404</v>
      </c>
      <c r="F861" s="18">
        <f t="shared" si="2"/>
        <v>0.5664729463</v>
      </c>
    </row>
    <row r="862">
      <c r="A862" s="14">
        <v>1.171</v>
      </c>
      <c r="B862" s="14">
        <v>0.695</v>
      </c>
      <c r="C862" s="14">
        <v>0.55191</v>
      </c>
      <c r="D862" s="25">
        <v>861.0</v>
      </c>
      <c r="E862" s="26">
        <f t="shared" si="1"/>
        <v>0.7152950956</v>
      </c>
      <c r="F862" s="18">
        <f t="shared" si="2"/>
        <v>0.5689209188</v>
      </c>
    </row>
    <row r="863">
      <c r="A863" s="14">
        <v>1.172</v>
      </c>
      <c r="B863" s="14">
        <v>0.696</v>
      </c>
      <c r="C863" s="14">
        <v>0.55253756</v>
      </c>
      <c r="D863" s="25">
        <v>862.0</v>
      </c>
      <c r="E863" s="26">
        <f t="shared" si="1"/>
        <v>0.7161263508</v>
      </c>
      <c r="F863" s="18">
        <f t="shared" si="2"/>
        <v>0.5713723055</v>
      </c>
    </row>
    <row r="864">
      <c r="A864" s="14">
        <v>1.17202</v>
      </c>
      <c r="B864" s="14">
        <v>0.696</v>
      </c>
      <c r="C864" s="14">
        <v>0.553</v>
      </c>
      <c r="D864" s="25">
        <v>863.0</v>
      </c>
      <c r="E864" s="26">
        <f t="shared" si="1"/>
        <v>0.716957606</v>
      </c>
      <c r="F864" s="18">
        <f t="shared" si="2"/>
        <v>0.5738271305</v>
      </c>
    </row>
    <row r="865">
      <c r="A865" s="14">
        <v>1.17278</v>
      </c>
      <c r="B865" s="14">
        <v>0.696</v>
      </c>
      <c r="C865" s="14">
        <v>0.553</v>
      </c>
      <c r="D865" s="25">
        <v>864.0</v>
      </c>
      <c r="E865" s="26">
        <f t="shared" si="1"/>
        <v>0.7177888612</v>
      </c>
      <c r="F865" s="18">
        <f t="shared" si="2"/>
        <v>0.5762854184</v>
      </c>
    </row>
    <row r="866">
      <c r="A866" s="14">
        <v>1.174</v>
      </c>
      <c r="B866" s="14">
        <v>0.697</v>
      </c>
      <c r="C866" s="14">
        <v>0.554</v>
      </c>
      <c r="D866" s="25">
        <v>865.0</v>
      </c>
      <c r="E866" s="26">
        <f t="shared" si="1"/>
        <v>0.7186201164</v>
      </c>
      <c r="F866" s="18">
        <f t="shared" si="2"/>
        <v>0.5787471938</v>
      </c>
    </row>
    <row r="867">
      <c r="A867" s="14">
        <v>1.174</v>
      </c>
      <c r="B867" s="14">
        <v>0.697</v>
      </c>
      <c r="C867" s="14">
        <v>0.571</v>
      </c>
      <c r="D867" s="25">
        <v>866.0</v>
      </c>
      <c r="E867" s="26">
        <f t="shared" si="1"/>
        <v>0.7194513716</v>
      </c>
      <c r="F867" s="18">
        <f t="shared" si="2"/>
        <v>0.5812124816</v>
      </c>
    </row>
    <row r="868">
      <c r="A868" s="14">
        <v>1.174</v>
      </c>
      <c r="B868" s="14">
        <v>0.701</v>
      </c>
      <c r="C868" s="14">
        <v>0.575</v>
      </c>
      <c r="D868" s="25">
        <v>867.0</v>
      </c>
      <c r="E868" s="26">
        <f t="shared" si="1"/>
        <v>0.7202826268</v>
      </c>
      <c r="F868" s="18">
        <f t="shared" si="2"/>
        <v>0.5836813069</v>
      </c>
    </row>
    <row r="869">
      <c r="A869" s="14">
        <v>1.179</v>
      </c>
      <c r="B869" s="14">
        <v>0.701</v>
      </c>
      <c r="C869" s="14">
        <v>0.576</v>
      </c>
      <c r="D869" s="25">
        <v>868.0</v>
      </c>
      <c r="E869" s="26">
        <f t="shared" si="1"/>
        <v>0.721113882</v>
      </c>
      <c r="F869" s="18">
        <f t="shared" si="2"/>
        <v>0.586153695</v>
      </c>
    </row>
    <row r="870">
      <c r="A870" s="14">
        <v>1.179283261</v>
      </c>
      <c r="B870" s="14">
        <v>0.702</v>
      </c>
      <c r="C870" s="14">
        <v>0.577</v>
      </c>
      <c r="D870" s="25">
        <v>869.0</v>
      </c>
      <c r="E870" s="26">
        <f t="shared" si="1"/>
        <v>0.7219451372</v>
      </c>
      <c r="F870" s="18">
        <f t="shared" si="2"/>
        <v>0.5886296712</v>
      </c>
    </row>
    <row r="871">
      <c r="A871" s="14">
        <v>1.179691911</v>
      </c>
      <c r="B871" s="14">
        <v>0.704829216</v>
      </c>
      <c r="C871" s="14">
        <v>0.583521128</v>
      </c>
      <c r="D871" s="25">
        <v>870.0</v>
      </c>
      <c r="E871" s="26">
        <f t="shared" si="1"/>
        <v>0.7227763924</v>
      </c>
      <c r="F871" s="18">
        <f t="shared" si="2"/>
        <v>0.5911092613</v>
      </c>
    </row>
    <row r="872">
      <c r="A872" s="14">
        <v>1.18</v>
      </c>
      <c r="B872" s="14">
        <v>0.706</v>
      </c>
      <c r="C872" s="14">
        <v>0.584</v>
      </c>
      <c r="D872" s="25">
        <v>871.0</v>
      </c>
      <c r="E872" s="26">
        <f t="shared" si="1"/>
        <v>0.7236076475</v>
      </c>
      <c r="F872" s="18">
        <f t="shared" si="2"/>
        <v>0.5935924911</v>
      </c>
    </row>
    <row r="873">
      <c r="A873" s="14">
        <v>1.181</v>
      </c>
      <c r="B873" s="14">
        <v>0.706846774</v>
      </c>
      <c r="C873" s="14">
        <v>0.587</v>
      </c>
      <c r="D873" s="25">
        <v>872.0</v>
      </c>
      <c r="E873" s="26">
        <f t="shared" si="1"/>
        <v>0.7244389027</v>
      </c>
      <c r="F873" s="18">
        <f t="shared" si="2"/>
        <v>0.5960793866</v>
      </c>
    </row>
    <row r="874">
      <c r="A874" s="14">
        <v>1.182</v>
      </c>
      <c r="B874" s="14">
        <v>0.707</v>
      </c>
      <c r="C874" s="14">
        <v>0.589</v>
      </c>
      <c r="D874" s="25">
        <v>873.0</v>
      </c>
      <c r="E874" s="26">
        <f t="shared" si="1"/>
        <v>0.7252701579</v>
      </c>
      <c r="F874" s="18">
        <f t="shared" si="2"/>
        <v>0.5985699741</v>
      </c>
    </row>
    <row r="875">
      <c r="A875" s="14">
        <v>1.182125092</v>
      </c>
      <c r="B875" s="14">
        <v>0.708</v>
      </c>
      <c r="C875" s="14">
        <v>0.59</v>
      </c>
      <c r="D875" s="25">
        <v>874.0</v>
      </c>
      <c r="E875" s="26">
        <f t="shared" si="1"/>
        <v>0.7261014131</v>
      </c>
      <c r="F875" s="18">
        <f t="shared" si="2"/>
        <v>0.6010642802</v>
      </c>
    </row>
    <row r="876">
      <c r="A876" s="14">
        <v>1.183</v>
      </c>
      <c r="B876" s="14">
        <v>0.708</v>
      </c>
      <c r="C876" s="14">
        <v>0.592076063</v>
      </c>
      <c r="D876" s="25">
        <v>875.0</v>
      </c>
      <c r="E876" s="26">
        <f t="shared" si="1"/>
        <v>0.7269326683</v>
      </c>
      <c r="F876" s="18">
        <f t="shared" si="2"/>
        <v>0.6035623314</v>
      </c>
    </row>
    <row r="877">
      <c r="A877" s="14">
        <v>1.183</v>
      </c>
      <c r="B877" s="14">
        <v>0.709</v>
      </c>
      <c r="C877" s="14">
        <v>0.594502211</v>
      </c>
      <c r="D877" s="25">
        <v>876.0</v>
      </c>
      <c r="E877" s="26">
        <f t="shared" si="1"/>
        <v>0.7277639235</v>
      </c>
      <c r="F877" s="18">
        <f t="shared" si="2"/>
        <v>0.6060641547</v>
      </c>
    </row>
    <row r="878">
      <c r="A878" s="14">
        <v>1.18326</v>
      </c>
      <c r="B878" s="14">
        <v>0.711</v>
      </c>
      <c r="C878" s="14">
        <v>0.606934547</v>
      </c>
      <c r="D878" s="25">
        <v>877.0</v>
      </c>
      <c r="E878" s="26">
        <f t="shared" si="1"/>
        <v>0.7285951787</v>
      </c>
      <c r="F878" s="18">
        <f t="shared" si="2"/>
        <v>0.6085697772</v>
      </c>
    </row>
    <row r="879">
      <c r="A879" s="14">
        <v>1.18354</v>
      </c>
      <c r="B879" s="14">
        <v>0.711457908</v>
      </c>
      <c r="C879" s="14">
        <v>0.607</v>
      </c>
      <c r="D879" s="25">
        <v>878.0</v>
      </c>
      <c r="E879" s="26">
        <f t="shared" si="1"/>
        <v>0.7294264339</v>
      </c>
      <c r="F879" s="18">
        <f t="shared" si="2"/>
        <v>0.6110792262</v>
      </c>
    </row>
    <row r="880">
      <c r="A880" s="14">
        <v>1.18468</v>
      </c>
      <c r="B880" s="14">
        <v>0.71156615</v>
      </c>
      <c r="C880" s="14">
        <v>0.612297952</v>
      </c>
      <c r="D880" s="25">
        <v>879.0</v>
      </c>
      <c r="E880" s="26">
        <f t="shared" si="1"/>
        <v>0.7302576891</v>
      </c>
      <c r="F880" s="18">
        <f t="shared" si="2"/>
        <v>0.6135925293</v>
      </c>
    </row>
    <row r="881">
      <c r="A881" s="14">
        <v>1.188</v>
      </c>
      <c r="B881" s="14">
        <v>0.712017834</v>
      </c>
      <c r="C881" s="14">
        <v>0.619799435</v>
      </c>
      <c r="D881" s="25">
        <v>880.0</v>
      </c>
      <c r="E881" s="26">
        <f t="shared" si="1"/>
        <v>0.7310889443</v>
      </c>
      <c r="F881" s="18">
        <f t="shared" si="2"/>
        <v>0.6161097143</v>
      </c>
    </row>
    <row r="882">
      <c r="A882" s="14">
        <v>1.190095186</v>
      </c>
      <c r="B882" s="14">
        <v>0.713</v>
      </c>
      <c r="C882" s="14">
        <v>0.62</v>
      </c>
      <c r="D882" s="25">
        <v>881.0</v>
      </c>
      <c r="E882" s="26">
        <f t="shared" si="1"/>
        <v>0.7319201995</v>
      </c>
      <c r="F882" s="18">
        <f t="shared" si="2"/>
        <v>0.6186308092</v>
      </c>
    </row>
    <row r="883">
      <c r="A883" s="14">
        <v>1.191</v>
      </c>
      <c r="B883" s="14">
        <v>0.714838803</v>
      </c>
      <c r="C883" s="14">
        <v>0.623073816</v>
      </c>
      <c r="D883" s="25">
        <v>882.0</v>
      </c>
      <c r="E883" s="26">
        <f t="shared" si="1"/>
        <v>0.7327514547</v>
      </c>
      <c r="F883" s="18">
        <f t="shared" si="2"/>
        <v>0.6211558421</v>
      </c>
    </row>
    <row r="884">
      <c r="A884" s="14">
        <v>1.197</v>
      </c>
      <c r="B884" s="14">
        <v>0.715</v>
      </c>
      <c r="C884" s="14">
        <v>0.625</v>
      </c>
      <c r="D884" s="25">
        <v>883.0</v>
      </c>
      <c r="E884" s="26">
        <f t="shared" si="1"/>
        <v>0.7335827099</v>
      </c>
      <c r="F884" s="18">
        <f t="shared" si="2"/>
        <v>0.6236848417</v>
      </c>
    </row>
    <row r="885">
      <c r="A885" s="14">
        <v>1.19777</v>
      </c>
      <c r="B885" s="14">
        <v>0.715</v>
      </c>
      <c r="C885" s="14">
        <v>0.627</v>
      </c>
      <c r="D885" s="25">
        <v>884.0</v>
      </c>
      <c r="E885" s="26">
        <f t="shared" si="1"/>
        <v>0.7344139651</v>
      </c>
      <c r="F885" s="18">
        <f t="shared" si="2"/>
        <v>0.6262178366</v>
      </c>
    </row>
    <row r="886">
      <c r="A886" s="14">
        <v>1.1985</v>
      </c>
      <c r="B886" s="14">
        <v>0.715315044</v>
      </c>
      <c r="C886" s="14">
        <v>0.629</v>
      </c>
      <c r="D886" s="25">
        <v>885.0</v>
      </c>
      <c r="E886" s="26">
        <f t="shared" si="1"/>
        <v>0.7352452203</v>
      </c>
      <c r="F886" s="18">
        <f t="shared" si="2"/>
        <v>0.6287548557</v>
      </c>
    </row>
    <row r="887">
      <c r="A887" s="14">
        <v>1.202</v>
      </c>
      <c r="B887" s="14">
        <v>0.716</v>
      </c>
      <c r="C887" s="14">
        <v>0.63571167</v>
      </c>
      <c r="D887" s="25">
        <v>886.0</v>
      </c>
      <c r="E887" s="26">
        <f t="shared" si="1"/>
        <v>0.7360764755</v>
      </c>
      <c r="F887" s="18">
        <f t="shared" si="2"/>
        <v>0.6312959282</v>
      </c>
    </row>
    <row r="888">
      <c r="A888" s="14">
        <v>1.20215</v>
      </c>
      <c r="B888" s="14">
        <v>0.717</v>
      </c>
      <c r="C888" s="14">
        <v>0.635994136</v>
      </c>
      <c r="D888" s="25">
        <v>887.0</v>
      </c>
      <c r="E888" s="26">
        <f t="shared" si="1"/>
        <v>0.7369077307</v>
      </c>
      <c r="F888" s="18">
        <f t="shared" si="2"/>
        <v>0.6338410836</v>
      </c>
    </row>
    <row r="889">
      <c r="A889" s="14">
        <v>1.20278</v>
      </c>
      <c r="B889" s="14">
        <v>0.718</v>
      </c>
      <c r="C889" s="14">
        <v>0.638</v>
      </c>
      <c r="D889" s="25">
        <v>888.0</v>
      </c>
      <c r="E889" s="26">
        <f t="shared" si="1"/>
        <v>0.7377389859</v>
      </c>
      <c r="F889" s="18">
        <f t="shared" si="2"/>
        <v>0.6363903515</v>
      </c>
    </row>
    <row r="890">
      <c r="A890" s="14">
        <v>1.203</v>
      </c>
      <c r="B890" s="14">
        <v>0.718</v>
      </c>
      <c r="C890" s="14">
        <v>0.638</v>
      </c>
      <c r="D890" s="25">
        <v>889.0</v>
      </c>
      <c r="E890" s="26">
        <f t="shared" si="1"/>
        <v>0.7385702411</v>
      </c>
      <c r="F890" s="18">
        <f t="shared" si="2"/>
        <v>0.638943762</v>
      </c>
    </row>
    <row r="891">
      <c r="A891" s="14">
        <v>1.203</v>
      </c>
      <c r="B891" s="14">
        <v>0.718964577</v>
      </c>
      <c r="C891" s="14">
        <v>0.64</v>
      </c>
      <c r="D891" s="25">
        <v>890.0</v>
      </c>
      <c r="E891" s="26">
        <f t="shared" si="1"/>
        <v>0.7394014963</v>
      </c>
      <c r="F891" s="18">
        <f t="shared" si="2"/>
        <v>0.6415013451</v>
      </c>
    </row>
    <row r="892">
      <c r="A892" s="14">
        <v>1.204</v>
      </c>
      <c r="B892" s="14">
        <v>0.719</v>
      </c>
      <c r="C892" s="14">
        <v>0.645124316</v>
      </c>
      <c r="D892" s="25">
        <v>891.0</v>
      </c>
      <c r="E892" s="26">
        <f t="shared" si="1"/>
        <v>0.7402327515</v>
      </c>
      <c r="F892" s="18">
        <f t="shared" si="2"/>
        <v>0.6440631313</v>
      </c>
    </row>
    <row r="893">
      <c r="A893" s="14">
        <v>1.204</v>
      </c>
      <c r="B893" s="14">
        <v>0.719</v>
      </c>
      <c r="C893" s="14">
        <v>0.646</v>
      </c>
      <c r="D893" s="25">
        <v>892.0</v>
      </c>
      <c r="E893" s="26">
        <f t="shared" si="1"/>
        <v>0.7410640067</v>
      </c>
      <c r="F893" s="18">
        <f t="shared" si="2"/>
        <v>0.6466291513</v>
      </c>
    </row>
    <row r="894">
      <c r="A894" s="14">
        <v>1.205</v>
      </c>
      <c r="B894" s="14">
        <v>0.72</v>
      </c>
      <c r="C894" s="14">
        <v>0.649</v>
      </c>
      <c r="D894" s="25">
        <v>893.0</v>
      </c>
      <c r="E894" s="26">
        <f t="shared" si="1"/>
        <v>0.7418952618</v>
      </c>
      <c r="F894" s="18">
        <f t="shared" si="2"/>
        <v>0.6491994361</v>
      </c>
    </row>
    <row r="895">
      <c r="A895" s="14">
        <v>1.206</v>
      </c>
      <c r="B895" s="14">
        <v>0.721609175</v>
      </c>
      <c r="C895" s="14">
        <v>0.653</v>
      </c>
      <c r="D895" s="25">
        <v>894.0</v>
      </c>
      <c r="E895" s="26">
        <f t="shared" si="1"/>
        <v>0.742726517</v>
      </c>
      <c r="F895" s="18">
        <f t="shared" si="2"/>
        <v>0.6517740169</v>
      </c>
    </row>
    <row r="896">
      <c r="A896" s="14">
        <v>1.20643</v>
      </c>
      <c r="B896" s="14">
        <v>0.724</v>
      </c>
      <c r="C896" s="14">
        <v>0.654558063</v>
      </c>
      <c r="D896" s="25">
        <v>895.0</v>
      </c>
      <c r="E896" s="26">
        <f t="shared" si="1"/>
        <v>0.7435577722</v>
      </c>
      <c r="F896" s="18">
        <f t="shared" si="2"/>
        <v>0.6543529253</v>
      </c>
    </row>
    <row r="897">
      <c r="A897" s="14">
        <v>1.2089</v>
      </c>
      <c r="B897" s="14">
        <v>0.724</v>
      </c>
      <c r="C897" s="14">
        <v>0.655</v>
      </c>
      <c r="D897" s="25">
        <v>896.0</v>
      </c>
      <c r="E897" s="26">
        <f t="shared" si="1"/>
        <v>0.7443890274</v>
      </c>
      <c r="F897" s="18">
        <f t="shared" si="2"/>
        <v>0.656936193</v>
      </c>
    </row>
    <row r="898">
      <c r="A898" s="14">
        <v>1.209</v>
      </c>
      <c r="B898" s="14">
        <v>0.724</v>
      </c>
      <c r="C898" s="14">
        <v>0.657</v>
      </c>
      <c r="D898" s="25">
        <v>897.0</v>
      </c>
      <c r="E898" s="26">
        <f t="shared" si="1"/>
        <v>0.7452202826</v>
      </c>
      <c r="F898" s="18">
        <f t="shared" si="2"/>
        <v>0.659523852</v>
      </c>
    </row>
    <row r="899">
      <c r="A899" s="14">
        <v>1.20956099</v>
      </c>
      <c r="B899" s="14">
        <v>0.724</v>
      </c>
      <c r="C899" s="14">
        <v>0.657</v>
      </c>
      <c r="D899" s="25">
        <v>898.0</v>
      </c>
      <c r="E899" s="26">
        <f t="shared" si="1"/>
        <v>0.7460515378</v>
      </c>
      <c r="F899" s="18">
        <f t="shared" si="2"/>
        <v>0.6621159348</v>
      </c>
    </row>
    <row r="900">
      <c r="A900" s="14">
        <v>1.21086216</v>
      </c>
      <c r="B900" s="14">
        <v>0.726</v>
      </c>
      <c r="C900" s="14">
        <v>0.658</v>
      </c>
      <c r="D900" s="25">
        <v>899.0</v>
      </c>
      <c r="E900" s="26">
        <f t="shared" si="1"/>
        <v>0.746882793</v>
      </c>
      <c r="F900" s="18">
        <f t="shared" si="2"/>
        <v>0.6647124739</v>
      </c>
    </row>
    <row r="901">
      <c r="A901" s="14">
        <v>1.211</v>
      </c>
      <c r="B901" s="14">
        <v>0.726495862</v>
      </c>
      <c r="C901" s="14">
        <v>0.658547282</v>
      </c>
      <c r="D901" s="25">
        <v>900.0</v>
      </c>
      <c r="E901" s="26">
        <f t="shared" si="1"/>
        <v>0.7477140482</v>
      </c>
      <c r="F901" s="18">
        <f t="shared" si="2"/>
        <v>0.6673135023</v>
      </c>
    </row>
    <row r="902">
      <c r="A902" s="14">
        <v>1.212</v>
      </c>
      <c r="B902" s="14">
        <v>0.727</v>
      </c>
      <c r="C902" s="14">
        <v>0.66</v>
      </c>
      <c r="D902" s="25">
        <v>901.0</v>
      </c>
      <c r="E902" s="26">
        <f t="shared" si="1"/>
        <v>0.7485453034</v>
      </c>
      <c r="F902" s="18">
        <f t="shared" si="2"/>
        <v>0.6699190531</v>
      </c>
    </row>
    <row r="903">
      <c r="A903" s="14">
        <v>1.21400857</v>
      </c>
      <c r="B903" s="14">
        <v>0.728</v>
      </c>
      <c r="C903" s="14">
        <v>0.66</v>
      </c>
      <c r="D903" s="25">
        <v>902.0</v>
      </c>
      <c r="E903" s="26">
        <f t="shared" si="1"/>
        <v>0.7493765586</v>
      </c>
      <c r="F903" s="18">
        <f t="shared" si="2"/>
        <v>0.6725291599</v>
      </c>
    </row>
    <row r="904">
      <c r="A904" s="14">
        <v>1.215</v>
      </c>
      <c r="B904" s="14">
        <v>0.73</v>
      </c>
      <c r="C904" s="14">
        <v>0.661</v>
      </c>
      <c r="D904" s="25">
        <v>903.0</v>
      </c>
      <c r="E904" s="26">
        <f t="shared" si="1"/>
        <v>0.7502078138</v>
      </c>
      <c r="F904" s="18">
        <f t="shared" si="2"/>
        <v>0.6751438565</v>
      </c>
    </row>
    <row r="905">
      <c r="A905" s="14">
        <v>1.215</v>
      </c>
      <c r="B905" s="14">
        <v>0.731</v>
      </c>
      <c r="C905" s="14">
        <v>0.661843538</v>
      </c>
      <c r="D905" s="25">
        <v>904.0</v>
      </c>
      <c r="E905" s="26">
        <f t="shared" si="1"/>
        <v>0.751039069</v>
      </c>
      <c r="F905" s="18">
        <f t="shared" si="2"/>
        <v>0.677763177</v>
      </c>
    </row>
    <row r="906">
      <c r="A906" s="14">
        <v>1.215770483</v>
      </c>
      <c r="B906" s="14">
        <v>0.731</v>
      </c>
      <c r="C906" s="14">
        <v>0.664</v>
      </c>
      <c r="D906" s="25">
        <v>905.0</v>
      </c>
      <c r="E906" s="26">
        <f t="shared" si="1"/>
        <v>0.7518703242</v>
      </c>
      <c r="F906" s="18">
        <f t="shared" si="2"/>
        <v>0.6803871558</v>
      </c>
    </row>
    <row r="907">
      <c r="A907" s="14">
        <v>1.21624</v>
      </c>
      <c r="B907" s="14">
        <v>0.731713951</v>
      </c>
      <c r="C907" s="14">
        <v>0.665944695</v>
      </c>
      <c r="D907" s="25">
        <v>906.0</v>
      </c>
      <c r="E907" s="26">
        <f t="shared" si="1"/>
        <v>0.7527015794</v>
      </c>
      <c r="F907" s="18">
        <f t="shared" si="2"/>
        <v>0.6830158276</v>
      </c>
    </row>
    <row r="908">
      <c r="A908" s="14">
        <v>1.218770385</v>
      </c>
      <c r="B908" s="14">
        <v>0.734833717</v>
      </c>
      <c r="C908" s="14">
        <v>0.665950119</v>
      </c>
      <c r="D908" s="25">
        <v>907.0</v>
      </c>
      <c r="E908" s="26">
        <f t="shared" si="1"/>
        <v>0.7535328346</v>
      </c>
      <c r="F908" s="18">
        <f t="shared" si="2"/>
        <v>0.6856492275</v>
      </c>
    </row>
    <row r="909">
      <c r="A909" s="14">
        <v>1.219</v>
      </c>
      <c r="B909" s="14">
        <v>0.735</v>
      </c>
      <c r="C909" s="14">
        <v>0.667</v>
      </c>
      <c r="D909" s="25">
        <v>908.0</v>
      </c>
      <c r="E909" s="26">
        <f t="shared" si="1"/>
        <v>0.7543640898</v>
      </c>
      <c r="F909" s="18">
        <f t="shared" si="2"/>
        <v>0.6882873908</v>
      </c>
    </row>
    <row r="910">
      <c r="A910" s="14">
        <v>1.219</v>
      </c>
      <c r="B910" s="14">
        <v>0.735</v>
      </c>
      <c r="C910" s="14">
        <v>0.668</v>
      </c>
      <c r="D910" s="25">
        <v>909.0</v>
      </c>
      <c r="E910" s="26">
        <f t="shared" si="1"/>
        <v>0.755195345</v>
      </c>
      <c r="F910" s="18">
        <f t="shared" si="2"/>
        <v>0.6909303533</v>
      </c>
    </row>
    <row r="911">
      <c r="A911" s="14">
        <v>1.21963</v>
      </c>
      <c r="B911" s="14">
        <v>0.735182583</v>
      </c>
      <c r="C911" s="14">
        <v>0.668779135</v>
      </c>
      <c r="D911" s="25">
        <v>910.0</v>
      </c>
      <c r="E911" s="26">
        <f t="shared" si="1"/>
        <v>0.7560266002</v>
      </c>
      <c r="F911" s="18">
        <f t="shared" si="2"/>
        <v>0.6935781509</v>
      </c>
    </row>
    <row r="912">
      <c r="A912" s="14">
        <v>1.22</v>
      </c>
      <c r="B912" s="14">
        <v>0.735268712</v>
      </c>
      <c r="C912" s="14">
        <v>0.673</v>
      </c>
      <c r="D912" s="25">
        <v>911.0</v>
      </c>
      <c r="E912" s="26">
        <f t="shared" si="1"/>
        <v>0.7568578554</v>
      </c>
      <c r="F912" s="18">
        <f t="shared" si="2"/>
        <v>0.6962308201</v>
      </c>
    </row>
    <row r="913">
      <c r="A913" s="14">
        <v>1.221</v>
      </c>
      <c r="B913" s="14">
        <v>0.736</v>
      </c>
      <c r="C913" s="14">
        <v>0.681</v>
      </c>
      <c r="D913" s="25">
        <v>912.0</v>
      </c>
      <c r="E913" s="26">
        <f t="shared" si="1"/>
        <v>0.7576891106</v>
      </c>
      <c r="F913" s="18">
        <f t="shared" si="2"/>
        <v>0.6988883974</v>
      </c>
    </row>
    <row r="914">
      <c r="A914" s="14">
        <v>1.221</v>
      </c>
      <c r="B914" s="14">
        <v>0.737</v>
      </c>
      <c r="C914" s="14">
        <v>0.682</v>
      </c>
      <c r="D914" s="25">
        <v>913.0</v>
      </c>
      <c r="E914" s="26">
        <f t="shared" si="1"/>
        <v>0.7585203658</v>
      </c>
      <c r="F914" s="18">
        <f t="shared" si="2"/>
        <v>0.70155092</v>
      </c>
    </row>
    <row r="915">
      <c r="A915" s="14">
        <v>1.221554995</v>
      </c>
      <c r="B915" s="14">
        <v>0.738125861</v>
      </c>
      <c r="C915" s="14">
        <v>0.682619512</v>
      </c>
      <c r="D915" s="25">
        <v>914.0</v>
      </c>
      <c r="E915" s="26">
        <f t="shared" si="1"/>
        <v>0.7593516209</v>
      </c>
      <c r="F915" s="18">
        <f t="shared" si="2"/>
        <v>0.7042184253</v>
      </c>
    </row>
    <row r="916">
      <c r="A916" s="14">
        <v>1.223</v>
      </c>
      <c r="B916" s="14">
        <v>0.74</v>
      </c>
      <c r="C916" s="14">
        <v>0.683019102</v>
      </c>
      <c r="D916" s="25">
        <v>915.0</v>
      </c>
      <c r="E916" s="26">
        <f t="shared" si="1"/>
        <v>0.7601828761</v>
      </c>
      <c r="F916" s="18">
        <f t="shared" si="2"/>
        <v>0.7068909509</v>
      </c>
    </row>
    <row r="917">
      <c r="A917" s="14">
        <v>1.223</v>
      </c>
      <c r="B917" s="14">
        <v>0.740795195</v>
      </c>
      <c r="C917" s="14">
        <v>0.684</v>
      </c>
      <c r="D917" s="25">
        <v>916.0</v>
      </c>
      <c r="E917" s="26">
        <f t="shared" si="1"/>
        <v>0.7610141313</v>
      </c>
      <c r="F917" s="18">
        <f t="shared" si="2"/>
        <v>0.7095685349</v>
      </c>
    </row>
    <row r="918">
      <c r="A918" s="14">
        <v>1.22393</v>
      </c>
      <c r="B918" s="14">
        <v>0.742</v>
      </c>
      <c r="C918" s="14">
        <v>0.684</v>
      </c>
      <c r="D918" s="25">
        <v>917.0</v>
      </c>
      <c r="E918" s="26">
        <f t="shared" si="1"/>
        <v>0.7618453865</v>
      </c>
      <c r="F918" s="18">
        <f t="shared" si="2"/>
        <v>0.7122512159</v>
      </c>
    </row>
    <row r="919">
      <c r="A919" s="14">
        <v>1.224</v>
      </c>
      <c r="B919" s="14">
        <v>0.742</v>
      </c>
      <c r="C919" s="14">
        <v>0.684767246</v>
      </c>
      <c r="D919" s="25">
        <v>918.0</v>
      </c>
      <c r="E919" s="26">
        <f t="shared" si="1"/>
        <v>0.7626766417</v>
      </c>
      <c r="F919" s="18">
        <f t="shared" si="2"/>
        <v>0.7149390326</v>
      </c>
    </row>
    <row r="920">
      <c r="A920" s="14">
        <v>1.225</v>
      </c>
      <c r="B920" s="14">
        <v>0.743</v>
      </c>
      <c r="C920" s="14">
        <v>0.686927021</v>
      </c>
      <c r="D920" s="25">
        <v>919.0</v>
      </c>
      <c r="E920" s="26">
        <f t="shared" si="1"/>
        <v>0.7635078969</v>
      </c>
      <c r="F920" s="18">
        <f t="shared" si="2"/>
        <v>0.7176320243</v>
      </c>
    </row>
    <row r="921">
      <c r="A921" s="14">
        <v>1.226</v>
      </c>
      <c r="B921" s="14">
        <v>0.744896293</v>
      </c>
      <c r="C921" s="14">
        <v>0.687</v>
      </c>
      <c r="D921" s="25">
        <v>920.0</v>
      </c>
      <c r="E921" s="26">
        <f t="shared" si="1"/>
        <v>0.7643391521</v>
      </c>
      <c r="F921" s="18">
        <f t="shared" si="2"/>
        <v>0.7203302304</v>
      </c>
    </row>
    <row r="922">
      <c r="A922" s="14">
        <v>1.226</v>
      </c>
      <c r="B922" s="14">
        <v>0.745178163</v>
      </c>
      <c r="C922" s="14">
        <v>0.688</v>
      </c>
      <c r="D922" s="25">
        <v>921.0</v>
      </c>
      <c r="E922" s="26">
        <f t="shared" si="1"/>
        <v>0.7651704073</v>
      </c>
      <c r="F922" s="18">
        <f t="shared" si="2"/>
        <v>0.7230336911</v>
      </c>
    </row>
    <row r="923">
      <c r="A923" s="14">
        <v>1.22668</v>
      </c>
      <c r="B923" s="14">
        <v>0.746</v>
      </c>
      <c r="C923" s="14">
        <v>0.689</v>
      </c>
      <c r="D923" s="25">
        <v>922.0</v>
      </c>
      <c r="E923" s="26">
        <f t="shared" si="1"/>
        <v>0.7660016625</v>
      </c>
      <c r="F923" s="18">
        <f t="shared" si="2"/>
        <v>0.7257424465</v>
      </c>
    </row>
    <row r="924">
      <c r="A924" s="14">
        <v>1.227619052</v>
      </c>
      <c r="B924" s="14">
        <v>0.747381449</v>
      </c>
      <c r="C924" s="14">
        <v>0.691</v>
      </c>
      <c r="D924" s="25">
        <v>923.0</v>
      </c>
      <c r="E924" s="26">
        <f t="shared" si="1"/>
        <v>0.7668329177</v>
      </c>
      <c r="F924" s="18">
        <f t="shared" si="2"/>
        <v>0.7284565374</v>
      </c>
    </row>
    <row r="925">
      <c r="A925" s="14">
        <v>1.22791</v>
      </c>
      <c r="B925" s="14">
        <v>0.747580588</v>
      </c>
      <c r="C925" s="14">
        <v>0.693</v>
      </c>
      <c r="D925" s="25">
        <v>924.0</v>
      </c>
      <c r="E925" s="26">
        <f t="shared" si="1"/>
        <v>0.7676641729</v>
      </c>
      <c r="F925" s="18">
        <f t="shared" si="2"/>
        <v>0.731176005</v>
      </c>
    </row>
    <row r="926">
      <c r="A926" s="14">
        <v>1.228</v>
      </c>
      <c r="B926" s="14">
        <v>0.748</v>
      </c>
      <c r="C926" s="14">
        <v>0.698</v>
      </c>
      <c r="D926" s="25">
        <v>925.0</v>
      </c>
      <c r="E926" s="26">
        <f t="shared" si="1"/>
        <v>0.7684954281</v>
      </c>
      <c r="F926" s="18">
        <f t="shared" si="2"/>
        <v>0.7339008908</v>
      </c>
    </row>
    <row r="927">
      <c r="A927" s="14">
        <v>1.23</v>
      </c>
      <c r="B927" s="14">
        <v>0.749</v>
      </c>
      <c r="C927" s="14">
        <v>0.698</v>
      </c>
      <c r="D927" s="25">
        <v>926.0</v>
      </c>
      <c r="E927" s="26">
        <f t="shared" si="1"/>
        <v>0.7693266833</v>
      </c>
      <c r="F927" s="18">
        <f t="shared" si="2"/>
        <v>0.7366312368</v>
      </c>
    </row>
    <row r="928">
      <c r="A928" s="14">
        <v>1.231</v>
      </c>
      <c r="B928" s="14">
        <v>0.749952674</v>
      </c>
      <c r="C928" s="14">
        <v>0.699715316</v>
      </c>
      <c r="D928" s="25">
        <v>927.0</v>
      </c>
      <c r="E928" s="26">
        <f t="shared" si="1"/>
        <v>0.7701579385</v>
      </c>
      <c r="F928" s="18">
        <f t="shared" si="2"/>
        <v>0.7393670852</v>
      </c>
    </row>
    <row r="929">
      <c r="A929" s="14">
        <v>1.232</v>
      </c>
      <c r="B929" s="14">
        <v>0.75</v>
      </c>
      <c r="C929" s="14">
        <v>0.700344324</v>
      </c>
      <c r="D929" s="25">
        <v>928.0</v>
      </c>
      <c r="E929" s="26">
        <f t="shared" si="1"/>
        <v>0.7709891937</v>
      </c>
      <c r="F929" s="18">
        <f t="shared" si="2"/>
        <v>0.742108479</v>
      </c>
    </row>
    <row r="930">
      <c r="A930" s="14">
        <v>1.232</v>
      </c>
      <c r="B930" s="14">
        <v>0.751</v>
      </c>
      <c r="C930" s="14">
        <v>0.705</v>
      </c>
      <c r="D930" s="25">
        <v>929.0</v>
      </c>
      <c r="E930" s="26">
        <f t="shared" si="1"/>
        <v>0.7718204489</v>
      </c>
      <c r="F930" s="18">
        <f t="shared" si="2"/>
        <v>0.7448554612</v>
      </c>
    </row>
    <row r="931">
      <c r="A931" s="14">
        <v>1.232</v>
      </c>
      <c r="B931" s="14">
        <v>0.75104779</v>
      </c>
      <c r="C931" s="14">
        <v>0.705</v>
      </c>
      <c r="D931" s="25">
        <v>930.0</v>
      </c>
      <c r="E931" s="26">
        <f t="shared" si="1"/>
        <v>0.7726517041</v>
      </c>
      <c r="F931" s="18">
        <f t="shared" si="2"/>
        <v>0.7476080756</v>
      </c>
    </row>
    <row r="932">
      <c r="A932" s="14">
        <v>1.232</v>
      </c>
      <c r="B932" s="14">
        <v>0.751989543</v>
      </c>
      <c r="C932" s="14">
        <v>0.708</v>
      </c>
      <c r="D932" s="25">
        <v>931.0</v>
      </c>
      <c r="E932" s="26">
        <f t="shared" si="1"/>
        <v>0.7734829593</v>
      </c>
      <c r="F932" s="18">
        <f t="shared" si="2"/>
        <v>0.7503663663</v>
      </c>
    </row>
    <row r="933">
      <c r="A933" s="14">
        <v>1.23287</v>
      </c>
      <c r="B933" s="14">
        <v>0.752</v>
      </c>
      <c r="C933" s="14">
        <v>0.708</v>
      </c>
      <c r="D933" s="25">
        <v>932.0</v>
      </c>
      <c r="E933" s="26">
        <f t="shared" si="1"/>
        <v>0.7743142145</v>
      </c>
      <c r="F933" s="18">
        <f t="shared" si="2"/>
        <v>0.7531303777</v>
      </c>
    </row>
    <row r="934">
      <c r="A934" s="14">
        <v>1.23289</v>
      </c>
      <c r="B934" s="14">
        <v>0.753</v>
      </c>
      <c r="C934" s="14">
        <v>0.708263338</v>
      </c>
      <c r="D934" s="25">
        <v>933.0</v>
      </c>
      <c r="E934" s="26">
        <f t="shared" si="1"/>
        <v>0.7751454697</v>
      </c>
      <c r="F934" s="18">
        <f t="shared" si="2"/>
        <v>0.7559001549</v>
      </c>
    </row>
    <row r="935">
      <c r="A935" s="14">
        <v>1.233</v>
      </c>
      <c r="B935" s="14">
        <v>0.754</v>
      </c>
      <c r="C935" s="14">
        <v>0.711</v>
      </c>
      <c r="D935" s="25">
        <v>934.0</v>
      </c>
      <c r="E935" s="26">
        <f t="shared" si="1"/>
        <v>0.7759767249</v>
      </c>
      <c r="F935" s="18">
        <f t="shared" si="2"/>
        <v>0.7586757432</v>
      </c>
    </row>
    <row r="936">
      <c r="A936" s="14">
        <v>1.233</v>
      </c>
      <c r="B936" s="14">
        <v>0.755</v>
      </c>
      <c r="C936" s="14">
        <v>0.711709738</v>
      </c>
      <c r="D936" s="25">
        <v>935.0</v>
      </c>
      <c r="E936" s="26">
        <f t="shared" si="1"/>
        <v>0.77680798</v>
      </c>
      <c r="F936" s="18">
        <f t="shared" si="2"/>
        <v>0.7614571887</v>
      </c>
    </row>
    <row r="937">
      <c r="A937" s="14">
        <v>1.235</v>
      </c>
      <c r="B937" s="14">
        <v>0.755</v>
      </c>
      <c r="C937" s="14">
        <v>0.714</v>
      </c>
      <c r="D937" s="25">
        <v>936.0</v>
      </c>
      <c r="E937" s="26">
        <f t="shared" si="1"/>
        <v>0.7776392352</v>
      </c>
      <c r="F937" s="18">
        <f t="shared" si="2"/>
        <v>0.7642445376</v>
      </c>
    </row>
    <row r="938">
      <c r="A938" s="14">
        <v>1.236</v>
      </c>
      <c r="B938" s="14">
        <v>0.757</v>
      </c>
      <c r="C938" s="14">
        <v>0.717</v>
      </c>
      <c r="D938" s="25">
        <v>937.0</v>
      </c>
      <c r="E938" s="26">
        <f t="shared" si="1"/>
        <v>0.7784704904</v>
      </c>
      <c r="F938" s="18">
        <f t="shared" si="2"/>
        <v>0.7670378369</v>
      </c>
    </row>
    <row r="939">
      <c r="A939" s="14">
        <v>1.23788</v>
      </c>
      <c r="B939" s="14">
        <v>0.757</v>
      </c>
      <c r="C939" s="14">
        <v>0.721</v>
      </c>
      <c r="D939" s="25">
        <v>938.0</v>
      </c>
      <c r="E939" s="26">
        <f t="shared" si="1"/>
        <v>0.7793017456</v>
      </c>
      <c r="F939" s="18">
        <f t="shared" si="2"/>
        <v>0.7698371339</v>
      </c>
    </row>
    <row r="940">
      <c r="A940" s="14">
        <v>1.238376498</v>
      </c>
      <c r="B940" s="14">
        <v>0.758</v>
      </c>
      <c r="C940" s="14">
        <v>0.721</v>
      </c>
      <c r="D940" s="25">
        <v>939.0</v>
      </c>
      <c r="E940" s="26">
        <f t="shared" si="1"/>
        <v>0.7801330008</v>
      </c>
      <c r="F940" s="18">
        <f t="shared" si="2"/>
        <v>0.7726424764</v>
      </c>
    </row>
    <row r="941">
      <c r="A941" s="14">
        <v>1.239</v>
      </c>
      <c r="B941" s="14">
        <v>0.759330094</v>
      </c>
      <c r="C941" s="14">
        <v>0.721</v>
      </c>
      <c r="D941" s="25">
        <v>940.0</v>
      </c>
      <c r="E941" s="26">
        <f t="shared" si="1"/>
        <v>0.780964256</v>
      </c>
      <c r="F941" s="18">
        <f t="shared" si="2"/>
        <v>0.7754539128</v>
      </c>
    </row>
    <row r="942">
      <c r="A942" s="14">
        <v>1.239088893</v>
      </c>
      <c r="B942" s="14">
        <v>0.759578407</v>
      </c>
      <c r="C942" s="14">
        <v>0.722</v>
      </c>
      <c r="D942" s="25">
        <v>941.0</v>
      </c>
      <c r="E942" s="26">
        <f t="shared" si="1"/>
        <v>0.7817955112</v>
      </c>
      <c r="F942" s="18">
        <f t="shared" si="2"/>
        <v>0.778271492</v>
      </c>
    </row>
    <row r="943">
      <c r="A943" s="14">
        <v>1.239414573</v>
      </c>
      <c r="B943" s="14">
        <v>0.759772122</v>
      </c>
      <c r="C943" s="14">
        <v>0.722530186</v>
      </c>
      <c r="D943" s="25">
        <v>942.0</v>
      </c>
      <c r="E943" s="26">
        <f t="shared" si="1"/>
        <v>0.7826267664</v>
      </c>
      <c r="F943" s="18">
        <f t="shared" si="2"/>
        <v>0.7810952632</v>
      </c>
    </row>
    <row r="944">
      <c r="A944" s="14">
        <v>1.24</v>
      </c>
      <c r="B944" s="14">
        <v>0.761</v>
      </c>
      <c r="C944" s="14">
        <v>0.727</v>
      </c>
      <c r="D944" s="25">
        <v>943.0</v>
      </c>
      <c r="E944" s="26">
        <f t="shared" si="1"/>
        <v>0.7834580216</v>
      </c>
      <c r="F944" s="18">
        <f t="shared" si="2"/>
        <v>0.7839252764</v>
      </c>
    </row>
    <row r="945">
      <c r="A945" s="14">
        <v>1.24018</v>
      </c>
      <c r="B945" s="14">
        <v>0.763</v>
      </c>
      <c r="C945" s="14">
        <v>0.727</v>
      </c>
      <c r="D945" s="25">
        <v>944.0</v>
      </c>
      <c r="E945" s="26">
        <f t="shared" si="1"/>
        <v>0.7842892768</v>
      </c>
      <c r="F945" s="18">
        <f t="shared" si="2"/>
        <v>0.7867615821</v>
      </c>
    </row>
    <row r="946">
      <c r="A946" s="14">
        <v>1.242</v>
      </c>
      <c r="B946" s="14">
        <v>0.763051808</v>
      </c>
      <c r="C946" s="14">
        <v>0.727</v>
      </c>
      <c r="D946" s="25">
        <v>945.0</v>
      </c>
      <c r="E946" s="26">
        <f t="shared" si="1"/>
        <v>0.785120532</v>
      </c>
      <c r="F946" s="18">
        <f t="shared" si="2"/>
        <v>0.7896042311</v>
      </c>
    </row>
    <row r="947">
      <c r="A947" s="14">
        <v>1.243</v>
      </c>
      <c r="B947" s="14">
        <v>0.765</v>
      </c>
      <c r="C947" s="14">
        <v>0.729</v>
      </c>
      <c r="D947" s="25">
        <v>946.0</v>
      </c>
      <c r="E947" s="26">
        <f t="shared" si="1"/>
        <v>0.7859517872</v>
      </c>
      <c r="F947" s="18">
        <f t="shared" si="2"/>
        <v>0.792453275</v>
      </c>
    </row>
    <row r="948">
      <c r="A948" s="14">
        <v>1.245</v>
      </c>
      <c r="B948" s="14">
        <v>0.766</v>
      </c>
      <c r="C948" s="14">
        <v>0.729</v>
      </c>
      <c r="D948" s="25">
        <v>947.0</v>
      </c>
      <c r="E948" s="26">
        <f t="shared" si="1"/>
        <v>0.7867830424</v>
      </c>
      <c r="F948" s="18">
        <f t="shared" si="2"/>
        <v>0.7953087658</v>
      </c>
    </row>
    <row r="949">
      <c r="A949" s="14">
        <v>1.24711</v>
      </c>
      <c r="B949" s="14">
        <v>0.766</v>
      </c>
      <c r="C949" s="14">
        <v>0.731</v>
      </c>
      <c r="D949" s="25">
        <v>948.0</v>
      </c>
      <c r="E949" s="26">
        <f t="shared" si="1"/>
        <v>0.7876142976</v>
      </c>
      <c r="F949" s="18">
        <f t="shared" si="2"/>
        <v>0.7981707563</v>
      </c>
    </row>
    <row r="950">
      <c r="A950" s="14">
        <v>1.24823</v>
      </c>
      <c r="B950" s="14">
        <v>0.767520964</v>
      </c>
      <c r="C950" s="14">
        <v>0.731700778</v>
      </c>
      <c r="D950" s="25">
        <v>949.0</v>
      </c>
      <c r="E950" s="26">
        <f t="shared" si="1"/>
        <v>0.7884455528</v>
      </c>
      <c r="F950" s="18">
        <f t="shared" si="2"/>
        <v>0.8010392995</v>
      </c>
    </row>
    <row r="951">
      <c r="A951" s="14">
        <v>1.249</v>
      </c>
      <c r="B951" s="14">
        <v>0.769</v>
      </c>
      <c r="C951" s="14">
        <v>0.73188293</v>
      </c>
      <c r="D951" s="25">
        <v>950.0</v>
      </c>
      <c r="E951" s="26">
        <f t="shared" si="1"/>
        <v>0.789276808</v>
      </c>
      <c r="F951" s="18">
        <f t="shared" si="2"/>
        <v>0.8039144493</v>
      </c>
    </row>
    <row r="952">
      <c r="A952" s="14">
        <v>1.249</v>
      </c>
      <c r="B952" s="14">
        <v>0.77</v>
      </c>
      <c r="C952" s="14">
        <v>0.732</v>
      </c>
      <c r="D952" s="25">
        <v>951.0</v>
      </c>
      <c r="E952" s="26">
        <f t="shared" si="1"/>
        <v>0.7901080632</v>
      </c>
      <c r="F952" s="18">
        <f t="shared" si="2"/>
        <v>0.8067962601</v>
      </c>
    </row>
    <row r="953">
      <c r="A953" s="14">
        <v>1.251825571</v>
      </c>
      <c r="B953" s="14">
        <v>0.771</v>
      </c>
      <c r="C953" s="14">
        <v>0.733</v>
      </c>
      <c r="D953" s="25">
        <v>952.0</v>
      </c>
      <c r="E953" s="26">
        <f t="shared" si="1"/>
        <v>0.7909393184</v>
      </c>
      <c r="F953" s="18">
        <f t="shared" si="2"/>
        <v>0.8096847868</v>
      </c>
    </row>
    <row r="954">
      <c r="A954" s="14">
        <v>1.252</v>
      </c>
      <c r="B954" s="14">
        <v>0.77153033</v>
      </c>
      <c r="C954" s="14">
        <v>0.733634114</v>
      </c>
      <c r="D954" s="25">
        <v>953.0</v>
      </c>
      <c r="E954" s="26">
        <f t="shared" si="1"/>
        <v>0.7917705736</v>
      </c>
      <c r="F954" s="18">
        <f t="shared" si="2"/>
        <v>0.8125800851</v>
      </c>
    </row>
    <row r="955">
      <c r="A955" s="14">
        <v>1.253917575</v>
      </c>
      <c r="B955" s="14">
        <v>0.772</v>
      </c>
      <c r="C955" s="14">
        <v>0.734</v>
      </c>
      <c r="D955" s="25">
        <v>954.0</v>
      </c>
      <c r="E955" s="26">
        <f t="shared" si="1"/>
        <v>0.7926018288</v>
      </c>
      <c r="F955" s="18">
        <f t="shared" si="2"/>
        <v>0.8154822111</v>
      </c>
    </row>
    <row r="956">
      <c r="A956" s="14">
        <v>1.255585194</v>
      </c>
      <c r="B956" s="14">
        <v>0.772072434</v>
      </c>
      <c r="C956" s="14">
        <v>0.735</v>
      </c>
      <c r="D956" s="25">
        <v>955.0</v>
      </c>
      <c r="E956" s="26">
        <f t="shared" si="1"/>
        <v>0.793433084</v>
      </c>
      <c r="F956" s="18">
        <f t="shared" si="2"/>
        <v>0.8183912217</v>
      </c>
    </row>
    <row r="957">
      <c r="A957" s="14">
        <v>1.25712</v>
      </c>
      <c r="B957" s="14">
        <v>0.773</v>
      </c>
      <c r="C957" s="14">
        <v>0.735485137</v>
      </c>
      <c r="D957" s="25">
        <v>956.0</v>
      </c>
      <c r="E957" s="26">
        <f t="shared" si="1"/>
        <v>0.7942643392</v>
      </c>
      <c r="F957" s="18">
        <f t="shared" si="2"/>
        <v>0.8213071743</v>
      </c>
    </row>
    <row r="958">
      <c r="A958" s="14">
        <v>1.25745</v>
      </c>
      <c r="B958" s="14">
        <v>0.773157001</v>
      </c>
      <c r="C958" s="14">
        <v>0.736</v>
      </c>
      <c r="D958" s="25">
        <v>957.0</v>
      </c>
      <c r="E958" s="26">
        <f t="shared" si="1"/>
        <v>0.7950955943</v>
      </c>
      <c r="F958" s="18">
        <f t="shared" si="2"/>
        <v>0.8242301271</v>
      </c>
    </row>
    <row r="959">
      <c r="A959" s="14">
        <v>1.258</v>
      </c>
      <c r="B959" s="14">
        <v>0.774</v>
      </c>
      <c r="C959" s="14">
        <v>0.736</v>
      </c>
      <c r="D959" s="25">
        <v>958.0</v>
      </c>
      <c r="E959" s="26">
        <f t="shared" si="1"/>
        <v>0.7959268495</v>
      </c>
      <c r="F959" s="18">
        <f t="shared" si="2"/>
        <v>0.8271601389</v>
      </c>
    </row>
    <row r="960">
      <c r="A960" s="14">
        <v>1.258</v>
      </c>
      <c r="B960" s="14">
        <v>0.777</v>
      </c>
      <c r="C960" s="14">
        <v>0.737</v>
      </c>
      <c r="D960" s="25">
        <v>959.0</v>
      </c>
      <c r="E960" s="26">
        <f t="shared" si="1"/>
        <v>0.7967581047</v>
      </c>
      <c r="F960" s="18">
        <f t="shared" si="2"/>
        <v>0.8300972691</v>
      </c>
    </row>
    <row r="961">
      <c r="A961" s="14">
        <v>1.258189797</v>
      </c>
      <c r="B961" s="14">
        <v>0.778</v>
      </c>
      <c r="C961" s="14">
        <v>0.738</v>
      </c>
      <c r="D961" s="25">
        <v>960.0</v>
      </c>
      <c r="E961" s="26">
        <f t="shared" si="1"/>
        <v>0.7975893599</v>
      </c>
      <c r="F961" s="18">
        <f t="shared" si="2"/>
        <v>0.8330415778</v>
      </c>
    </row>
    <row r="962">
      <c r="A962" s="14">
        <v>1.259698749</v>
      </c>
      <c r="B962" s="14">
        <v>0.779</v>
      </c>
      <c r="C962" s="14">
        <v>0.738099158</v>
      </c>
      <c r="D962" s="25">
        <v>961.0</v>
      </c>
      <c r="E962" s="26">
        <f t="shared" si="1"/>
        <v>0.7984206151</v>
      </c>
      <c r="F962" s="18">
        <f t="shared" si="2"/>
        <v>0.8359931259</v>
      </c>
    </row>
    <row r="963">
      <c r="A963" s="14">
        <v>1.259976387</v>
      </c>
      <c r="B963" s="14">
        <v>0.779858291</v>
      </c>
      <c r="C963" s="14">
        <v>0.7393471</v>
      </c>
      <c r="D963" s="25">
        <v>962.0</v>
      </c>
      <c r="E963" s="26">
        <f t="shared" si="1"/>
        <v>0.7992518703</v>
      </c>
      <c r="F963" s="18">
        <f t="shared" si="2"/>
        <v>0.8389519749</v>
      </c>
    </row>
    <row r="964">
      <c r="A964" s="14">
        <v>1.26038</v>
      </c>
      <c r="B964" s="14">
        <v>0.78</v>
      </c>
      <c r="C964" s="14">
        <v>0.739795029</v>
      </c>
      <c r="D964" s="25">
        <v>963.0</v>
      </c>
      <c r="E964" s="26">
        <f t="shared" si="1"/>
        <v>0.8000831255</v>
      </c>
      <c r="F964" s="18">
        <f t="shared" si="2"/>
        <v>0.8419181871</v>
      </c>
    </row>
    <row r="965">
      <c r="A965" s="14">
        <v>1.265</v>
      </c>
      <c r="B965" s="14">
        <v>0.781994224</v>
      </c>
      <c r="C965" s="14">
        <v>0.74</v>
      </c>
      <c r="D965" s="25">
        <v>964.0</v>
      </c>
      <c r="E965" s="26">
        <f t="shared" si="1"/>
        <v>0.8009143807</v>
      </c>
      <c r="F965" s="18">
        <f t="shared" si="2"/>
        <v>0.8448918253</v>
      </c>
    </row>
    <row r="966">
      <c r="A966" s="14">
        <v>1.265</v>
      </c>
      <c r="B966" s="14">
        <v>0.782</v>
      </c>
      <c r="C966" s="14">
        <v>0.740532577</v>
      </c>
      <c r="D966" s="25">
        <v>965.0</v>
      </c>
      <c r="E966" s="26">
        <f t="shared" si="1"/>
        <v>0.8017456359</v>
      </c>
      <c r="F966" s="18">
        <f t="shared" si="2"/>
        <v>0.8478729534</v>
      </c>
    </row>
    <row r="967">
      <c r="A967" s="14">
        <v>1.26504</v>
      </c>
      <c r="B967" s="14">
        <v>0.782</v>
      </c>
      <c r="C967" s="14">
        <v>0.742</v>
      </c>
      <c r="D967" s="25">
        <v>966.0</v>
      </c>
      <c r="E967" s="26">
        <f t="shared" si="1"/>
        <v>0.8025768911</v>
      </c>
      <c r="F967" s="18">
        <f t="shared" si="2"/>
        <v>0.8508616358</v>
      </c>
    </row>
    <row r="968">
      <c r="A968" s="14">
        <v>1.266</v>
      </c>
      <c r="B968" s="14">
        <v>0.782</v>
      </c>
      <c r="C968" s="14">
        <v>0.742</v>
      </c>
      <c r="D968" s="25">
        <v>967.0</v>
      </c>
      <c r="E968" s="26">
        <f t="shared" si="1"/>
        <v>0.8034081463</v>
      </c>
      <c r="F968" s="18">
        <f t="shared" si="2"/>
        <v>0.8538579376</v>
      </c>
    </row>
    <row r="969">
      <c r="A969" s="14">
        <v>1.266410232</v>
      </c>
      <c r="B969" s="14">
        <v>0.783</v>
      </c>
      <c r="C969" s="14">
        <v>0.745</v>
      </c>
      <c r="D969" s="25">
        <v>968.0</v>
      </c>
      <c r="E969" s="26">
        <f t="shared" si="1"/>
        <v>0.8042394015</v>
      </c>
      <c r="F969" s="18">
        <f t="shared" si="2"/>
        <v>0.8568619249</v>
      </c>
    </row>
    <row r="970">
      <c r="A970" s="14">
        <v>1.268</v>
      </c>
      <c r="B970" s="14">
        <v>0.783</v>
      </c>
      <c r="C970" s="14">
        <v>0.745705426</v>
      </c>
      <c r="D970" s="25">
        <v>969.0</v>
      </c>
      <c r="E970" s="26">
        <f t="shared" si="1"/>
        <v>0.8050706567</v>
      </c>
      <c r="F970" s="18">
        <f t="shared" si="2"/>
        <v>0.8598736645</v>
      </c>
    </row>
    <row r="971">
      <c r="A971" s="14">
        <v>1.269</v>
      </c>
      <c r="B971" s="14">
        <v>0.784</v>
      </c>
      <c r="C971" s="14">
        <v>0.746223509</v>
      </c>
      <c r="D971" s="25">
        <v>970.0</v>
      </c>
      <c r="E971" s="26">
        <f t="shared" si="1"/>
        <v>0.8059019119</v>
      </c>
      <c r="F971" s="18">
        <f t="shared" si="2"/>
        <v>0.8628932239</v>
      </c>
    </row>
    <row r="972">
      <c r="A972" s="14">
        <v>1.26999</v>
      </c>
      <c r="B972" s="14">
        <v>0.785</v>
      </c>
      <c r="C972" s="14">
        <v>0.748</v>
      </c>
      <c r="D972" s="25">
        <v>971.0</v>
      </c>
      <c r="E972" s="26">
        <f t="shared" si="1"/>
        <v>0.8067331671</v>
      </c>
      <c r="F972" s="18">
        <f t="shared" si="2"/>
        <v>0.8659206715</v>
      </c>
    </row>
    <row r="973">
      <c r="A973" s="14">
        <v>1.271463275</v>
      </c>
      <c r="B973" s="14">
        <v>0.786</v>
      </c>
      <c r="C973" s="14">
        <v>0.748197377</v>
      </c>
      <c r="D973" s="25">
        <v>972.0</v>
      </c>
      <c r="E973" s="26">
        <f t="shared" si="1"/>
        <v>0.8075644223</v>
      </c>
      <c r="F973" s="18">
        <f t="shared" si="2"/>
        <v>0.8689560765</v>
      </c>
    </row>
    <row r="974">
      <c r="A974" s="14">
        <v>1.27203083</v>
      </c>
      <c r="B974" s="14">
        <v>0.786824107</v>
      </c>
      <c r="C974" s="14">
        <v>0.749</v>
      </c>
      <c r="D974" s="25">
        <v>973.0</v>
      </c>
      <c r="E974" s="26">
        <f t="shared" si="1"/>
        <v>0.8083956775</v>
      </c>
      <c r="F974" s="18">
        <f t="shared" si="2"/>
        <v>0.871999509</v>
      </c>
    </row>
    <row r="975">
      <c r="A975" s="14">
        <v>1.27385</v>
      </c>
      <c r="B975" s="14">
        <v>0.787</v>
      </c>
      <c r="C975" s="14">
        <v>0.752</v>
      </c>
      <c r="D975" s="25">
        <v>974.0</v>
      </c>
      <c r="E975" s="26">
        <f t="shared" si="1"/>
        <v>0.8092269327</v>
      </c>
      <c r="F975" s="18">
        <f t="shared" si="2"/>
        <v>0.8750510399</v>
      </c>
    </row>
    <row r="976">
      <c r="A976" s="14">
        <v>1.274</v>
      </c>
      <c r="B976" s="14">
        <v>0.787</v>
      </c>
      <c r="C976" s="14">
        <v>0.753</v>
      </c>
      <c r="D976" s="25">
        <v>975.0</v>
      </c>
      <c r="E976" s="26">
        <f t="shared" si="1"/>
        <v>0.8100581879</v>
      </c>
      <c r="F976" s="18">
        <f t="shared" si="2"/>
        <v>0.878110741</v>
      </c>
    </row>
    <row r="977">
      <c r="A977" s="14">
        <v>1.27429688</v>
      </c>
      <c r="B977" s="14">
        <v>0.788</v>
      </c>
      <c r="C977" s="14">
        <v>0.753690004</v>
      </c>
      <c r="D977" s="25">
        <v>976.0</v>
      </c>
      <c r="E977" s="26">
        <f t="shared" si="1"/>
        <v>0.8108894431</v>
      </c>
      <c r="F977" s="18">
        <f t="shared" si="2"/>
        <v>0.8811786849</v>
      </c>
    </row>
    <row r="978">
      <c r="A978" s="14">
        <v>1.274444699</v>
      </c>
      <c r="B978" s="14">
        <v>0.788</v>
      </c>
      <c r="C978" s="14">
        <v>0.7539711</v>
      </c>
      <c r="D978" s="25">
        <v>977.0</v>
      </c>
      <c r="E978" s="26">
        <f t="shared" si="1"/>
        <v>0.8117206983</v>
      </c>
      <c r="F978" s="18">
        <f t="shared" si="2"/>
        <v>0.8842549453</v>
      </c>
    </row>
    <row r="979">
      <c r="A979" s="14">
        <v>1.277491331</v>
      </c>
      <c r="B979" s="14">
        <v>0.791</v>
      </c>
      <c r="C979" s="14">
        <v>0.754319906</v>
      </c>
      <c r="D979" s="25">
        <v>978.0</v>
      </c>
      <c r="E979" s="26">
        <f t="shared" si="1"/>
        <v>0.8125519534</v>
      </c>
      <c r="F979" s="18">
        <f t="shared" si="2"/>
        <v>0.8873395965</v>
      </c>
    </row>
    <row r="980">
      <c r="A980" s="14">
        <v>1.279</v>
      </c>
      <c r="B980" s="14">
        <v>0.792</v>
      </c>
      <c r="C980" s="14">
        <v>0.755</v>
      </c>
      <c r="D980" s="25">
        <v>979.0</v>
      </c>
      <c r="E980" s="26">
        <f t="shared" si="1"/>
        <v>0.8133832086</v>
      </c>
      <c r="F980" s="18">
        <f t="shared" si="2"/>
        <v>0.890432714</v>
      </c>
    </row>
    <row r="981">
      <c r="A981" s="14">
        <v>1.27948</v>
      </c>
      <c r="B981" s="14">
        <v>0.794</v>
      </c>
      <c r="C981" s="14">
        <v>0.755999923</v>
      </c>
      <c r="D981" s="25">
        <v>980.0</v>
      </c>
      <c r="E981" s="26">
        <f t="shared" si="1"/>
        <v>0.8142144638</v>
      </c>
      <c r="F981" s="18">
        <f t="shared" si="2"/>
        <v>0.8935343742</v>
      </c>
    </row>
    <row r="982">
      <c r="A982" s="14">
        <v>1.28017</v>
      </c>
      <c r="B982" s="14">
        <v>0.794</v>
      </c>
      <c r="C982" s="14">
        <v>0.756</v>
      </c>
      <c r="D982" s="25">
        <v>981.0</v>
      </c>
      <c r="E982" s="26">
        <f t="shared" si="1"/>
        <v>0.815045719</v>
      </c>
      <c r="F982" s="18">
        <f t="shared" si="2"/>
        <v>0.8966446543</v>
      </c>
    </row>
    <row r="983">
      <c r="A983" s="14">
        <v>1.281</v>
      </c>
      <c r="B983" s="14">
        <v>0.794796526</v>
      </c>
      <c r="C983" s="14">
        <v>0.757733464</v>
      </c>
      <c r="D983" s="25">
        <v>982.0</v>
      </c>
      <c r="E983" s="26">
        <f t="shared" si="1"/>
        <v>0.8158769742</v>
      </c>
      <c r="F983" s="18">
        <f t="shared" si="2"/>
        <v>0.8997636328</v>
      </c>
    </row>
    <row r="984">
      <c r="A984" s="14">
        <v>1.281473398</v>
      </c>
      <c r="B984" s="14">
        <v>0.795</v>
      </c>
      <c r="C984" s="14">
        <v>0.758</v>
      </c>
      <c r="D984" s="25">
        <v>983.0</v>
      </c>
      <c r="E984" s="26">
        <f t="shared" si="1"/>
        <v>0.8167082294</v>
      </c>
      <c r="F984" s="18">
        <f t="shared" si="2"/>
        <v>0.9028913888</v>
      </c>
    </row>
    <row r="985">
      <c r="A985" s="14">
        <v>1.284024954</v>
      </c>
      <c r="B985" s="14">
        <v>0.796</v>
      </c>
      <c r="C985" s="14">
        <v>0.759</v>
      </c>
      <c r="D985" s="25">
        <v>984.0</v>
      </c>
      <c r="E985" s="26">
        <f t="shared" si="1"/>
        <v>0.8175394846</v>
      </c>
      <c r="F985" s="18">
        <f t="shared" si="2"/>
        <v>0.9060280028</v>
      </c>
    </row>
    <row r="986">
      <c r="A986" s="14">
        <v>1.284646034</v>
      </c>
      <c r="B986" s="14">
        <v>0.796</v>
      </c>
      <c r="C986" s="14">
        <v>0.760849059</v>
      </c>
      <c r="D986" s="25">
        <v>985.0</v>
      </c>
      <c r="E986" s="26">
        <f t="shared" si="1"/>
        <v>0.8183707398</v>
      </c>
      <c r="F986" s="18">
        <f t="shared" si="2"/>
        <v>0.909173556</v>
      </c>
    </row>
    <row r="987">
      <c r="A987" s="14">
        <v>1.28548</v>
      </c>
      <c r="B987" s="14">
        <v>0.797565043</v>
      </c>
      <c r="C987" s="14">
        <v>0.761</v>
      </c>
      <c r="D987" s="25">
        <v>986.0</v>
      </c>
      <c r="E987" s="26">
        <f t="shared" si="1"/>
        <v>0.819201995</v>
      </c>
      <c r="F987" s="18">
        <f t="shared" si="2"/>
        <v>0.9123281308</v>
      </c>
    </row>
    <row r="988">
      <c r="A988" s="14">
        <v>1.28566</v>
      </c>
      <c r="B988" s="14">
        <v>0.799</v>
      </c>
      <c r="C988" s="14">
        <v>0.761794448</v>
      </c>
      <c r="D988" s="25">
        <v>987.0</v>
      </c>
      <c r="E988" s="26">
        <f t="shared" si="1"/>
        <v>0.8200332502</v>
      </c>
      <c r="F988" s="18">
        <f t="shared" si="2"/>
        <v>0.9154918108</v>
      </c>
    </row>
    <row r="989">
      <c r="A989" s="14">
        <v>1.286168814</v>
      </c>
      <c r="B989" s="14">
        <v>0.799804807</v>
      </c>
      <c r="C989" s="14">
        <v>0.763417304</v>
      </c>
      <c r="D989" s="25">
        <v>988.0</v>
      </c>
      <c r="E989" s="26">
        <f t="shared" si="1"/>
        <v>0.8208645054</v>
      </c>
      <c r="F989" s="18">
        <f t="shared" si="2"/>
        <v>0.9186646804</v>
      </c>
    </row>
    <row r="990">
      <c r="A990" s="14">
        <v>1.286677599</v>
      </c>
      <c r="B990" s="14">
        <v>0.8</v>
      </c>
      <c r="C990" s="14">
        <v>0.764490843</v>
      </c>
      <c r="D990" s="25">
        <v>989.0</v>
      </c>
      <c r="E990" s="26">
        <f t="shared" si="1"/>
        <v>0.8216957606</v>
      </c>
      <c r="F990" s="18">
        <f t="shared" si="2"/>
        <v>0.9218468254</v>
      </c>
    </row>
    <row r="991">
      <c r="A991" s="14">
        <v>1.28721571</v>
      </c>
      <c r="B991" s="14">
        <v>0.8</v>
      </c>
      <c r="C991" s="14">
        <v>0.765859902</v>
      </c>
      <c r="D991" s="25">
        <v>990.0</v>
      </c>
      <c r="E991" s="26">
        <f t="shared" si="1"/>
        <v>0.8225270158</v>
      </c>
      <c r="F991" s="18">
        <f t="shared" si="2"/>
        <v>0.9250383326</v>
      </c>
    </row>
    <row r="992">
      <c r="A992" s="14">
        <v>1.28907</v>
      </c>
      <c r="B992" s="14">
        <v>0.801</v>
      </c>
      <c r="C992" s="14">
        <v>0.766</v>
      </c>
      <c r="D992" s="25">
        <v>991.0</v>
      </c>
      <c r="E992" s="26">
        <f t="shared" si="1"/>
        <v>0.823358271</v>
      </c>
      <c r="F992" s="18">
        <f t="shared" si="2"/>
        <v>0.9282392899</v>
      </c>
    </row>
    <row r="993">
      <c r="A993" s="14">
        <v>1.293</v>
      </c>
      <c r="B993" s="14">
        <v>0.801</v>
      </c>
      <c r="C993" s="14">
        <v>0.766</v>
      </c>
      <c r="D993" s="25">
        <v>992.0</v>
      </c>
      <c r="E993" s="26">
        <f t="shared" si="1"/>
        <v>0.8241895262</v>
      </c>
      <c r="F993" s="18">
        <f t="shared" si="2"/>
        <v>0.9314497864</v>
      </c>
    </row>
    <row r="994">
      <c r="A994" s="14">
        <v>1.294</v>
      </c>
      <c r="B994" s="14">
        <v>0.801641524</v>
      </c>
      <c r="C994" s="14">
        <v>0.768</v>
      </c>
      <c r="D994" s="25">
        <v>993.0</v>
      </c>
      <c r="E994" s="26">
        <f t="shared" si="1"/>
        <v>0.8250207814</v>
      </c>
      <c r="F994" s="18">
        <f t="shared" si="2"/>
        <v>0.9346699124</v>
      </c>
    </row>
    <row r="995">
      <c r="A995" s="14">
        <v>1.29704</v>
      </c>
      <c r="B995" s="14">
        <v>0.802</v>
      </c>
      <c r="C995" s="14">
        <v>0.768</v>
      </c>
      <c r="D995" s="25">
        <v>994.0</v>
      </c>
      <c r="E995" s="26">
        <f t="shared" si="1"/>
        <v>0.8258520366</v>
      </c>
      <c r="F995" s="18">
        <f t="shared" si="2"/>
        <v>0.9378997596</v>
      </c>
    </row>
    <row r="996">
      <c r="A996" s="14">
        <v>1.29937</v>
      </c>
      <c r="B996" s="14">
        <v>0.803223193</v>
      </c>
      <c r="C996" s="14">
        <v>0.770601273</v>
      </c>
      <c r="D996" s="25">
        <v>995.0</v>
      </c>
      <c r="E996" s="26">
        <f t="shared" si="1"/>
        <v>0.8266832918</v>
      </c>
      <c r="F996" s="18">
        <f t="shared" si="2"/>
        <v>0.9411394205</v>
      </c>
    </row>
    <row r="997">
      <c r="A997" s="14">
        <v>1.3006</v>
      </c>
      <c r="B997" s="14">
        <v>0.804</v>
      </c>
      <c r="C997" s="14">
        <v>0.771</v>
      </c>
      <c r="D997" s="25">
        <v>996.0</v>
      </c>
      <c r="E997" s="26">
        <f t="shared" si="1"/>
        <v>0.827514547</v>
      </c>
      <c r="F997" s="18">
        <f t="shared" si="2"/>
        <v>0.9443889894</v>
      </c>
    </row>
    <row r="998">
      <c r="A998" s="14">
        <v>1.301</v>
      </c>
      <c r="B998" s="14">
        <v>0.804</v>
      </c>
      <c r="C998" s="14">
        <v>0.771</v>
      </c>
      <c r="D998" s="25">
        <v>997.0</v>
      </c>
      <c r="E998" s="26">
        <f t="shared" si="1"/>
        <v>0.8283458022</v>
      </c>
      <c r="F998" s="18">
        <f t="shared" si="2"/>
        <v>0.9476485615</v>
      </c>
    </row>
    <row r="999">
      <c r="A999" s="14">
        <v>1.301</v>
      </c>
      <c r="B999" s="14">
        <v>0.804</v>
      </c>
      <c r="C999" s="14">
        <v>0.772</v>
      </c>
      <c r="D999" s="25">
        <v>998.0</v>
      </c>
      <c r="E999" s="26">
        <f t="shared" si="1"/>
        <v>0.8291770574</v>
      </c>
      <c r="F999" s="18">
        <f t="shared" si="2"/>
        <v>0.9509182334</v>
      </c>
    </row>
    <row r="1000">
      <c r="A1000" s="14">
        <v>1.30203</v>
      </c>
      <c r="B1000" s="14">
        <v>0.805</v>
      </c>
      <c r="C1000" s="14">
        <v>0.772042692</v>
      </c>
      <c r="D1000" s="25">
        <v>999.0</v>
      </c>
      <c r="E1000" s="26">
        <f t="shared" si="1"/>
        <v>0.8300083126</v>
      </c>
      <c r="F1000" s="18">
        <f t="shared" si="2"/>
        <v>0.954198103</v>
      </c>
    </row>
    <row r="1001">
      <c r="A1001" s="14">
        <v>1.303</v>
      </c>
      <c r="B1001" s="14">
        <v>0.806</v>
      </c>
      <c r="C1001" s="14">
        <v>0.773544788</v>
      </c>
      <c r="D1001" s="25">
        <v>1000.0</v>
      </c>
      <c r="E1001" s="26">
        <f t="shared" si="1"/>
        <v>0.8308395677</v>
      </c>
      <c r="F1001" s="18">
        <f t="shared" si="2"/>
        <v>0.9574882698</v>
      </c>
    </row>
    <row r="1002">
      <c r="A1002" s="14">
        <v>1.303</v>
      </c>
      <c r="B1002" s="14">
        <v>0.806500256</v>
      </c>
      <c r="C1002" s="14">
        <v>0.774</v>
      </c>
      <c r="D1002" s="25">
        <v>1001.0</v>
      </c>
      <c r="E1002" s="26">
        <f t="shared" si="1"/>
        <v>0.8316708229</v>
      </c>
      <c r="F1002" s="18">
        <f t="shared" si="2"/>
        <v>0.9607888343</v>
      </c>
    </row>
    <row r="1003">
      <c r="A1003" s="14">
        <v>1.30477</v>
      </c>
      <c r="B1003" s="14">
        <v>0.807</v>
      </c>
      <c r="C1003" s="14">
        <v>0.774</v>
      </c>
      <c r="D1003" s="25">
        <v>1002.0</v>
      </c>
      <c r="E1003" s="26">
        <f t="shared" si="1"/>
        <v>0.8325020781</v>
      </c>
      <c r="F1003" s="18">
        <f t="shared" si="2"/>
        <v>0.9640998988</v>
      </c>
    </row>
    <row r="1004">
      <c r="A1004" s="14">
        <v>1.30923</v>
      </c>
      <c r="B1004" s="14">
        <v>0.808</v>
      </c>
      <c r="C1004" s="14">
        <v>0.775</v>
      </c>
      <c r="D1004" s="25">
        <v>1003.0</v>
      </c>
      <c r="E1004" s="26">
        <f t="shared" si="1"/>
        <v>0.8333333333</v>
      </c>
      <c r="F1004" s="18">
        <f t="shared" si="2"/>
        <v>0.9674215667</v>
      </c>
    </row>
    <row r="1005">
      <c r="A1005" s="14">
        <v>1.31</v>
      </c>
      <c r="B1005" s="14">
        <v>0.809</v>
      </c>
      <c r="C1005" s="14">
        <v>0.775</v>
      </c>
      <c r="D1005" s="25">
        <v>1004.0</v>
      </c>
      <c r="E1005" s="26">
        <f t="shared" si="1"/>
        <v>0.8341645885</v>
      </c>
      <c r="F1005" s="18">
        <f t="shared" si="2"/>
        <v>0.970753943</v>
      </c>
    </row>
    <row r="1006">
      <c r="A1006" s="14">
        <v>1.312</v>
      </c>
      <c r="B1006" s="14">
        <v>0.809961379</v>
      </c>
      <c r="C1006" s="14">
        <v>0.776</v>
      </c>
      <c r="D1006" s="25">
        <v>1005.0</v>
      </c>
      <c r="E1006" s="26">
        <f t="shared" si="1"/>
        <v>0.8349958437</v>
      </c>
      <c r="F1006" s="18">
        <f t="shared" si="2"/>
        <v>0.9740971344</v>
      </c>
    </row>
    <row r="1007">
      <c r="A1007" s="14">
        <v>1.312</v>
      </c>
      <c r="B1007" s="14">
        <v>0.811601937</v>
      </c>
      <c r="C1007" s="14">
        <v>0.777930915</v>
      </c>
      <c r="D1007" s="25">
        <v>1006.0</v>
      </c>
      <c r="E1007" s="26">
        <f t="shared" si="1"/>
        <v>0.8358270989</v>
      </c>
      <c r="F1007" s="18">
        <f t="shared" si="2"/>
        <v>0.9774512488</v>
      </c>
    </row>
    <row r="1008">
      <c r="A1008" s="14">
        <v>1.313</v>
      </c>
      <c r="B1008" s="14">
        <v>0.813</v>
      </c>
      <c r="C1008" s="14">
        <v>0.780622602</v>
      </c>
      <c r="D1008" s="25">
        <v>1007.0</v>
      </c>
      <c r="E1008" s="26">
        <f t="shared" si="1"/>
        <v>0.8366583541</v>
      </c>
      <c r="F1008" s="18">
        <f t="shared" si="2"/>
        <v>0.9808163958</v>
      </c>
    </row>
    <row r="1009">
      <c r="A1009" s="14">
        <v>1.313</v>
      </c>
      <c r="B1009" s="14">
        <v>0.813582063</v>
      </c>
      <c r="C1009" s="14">
        <v>0.78085506</v>
      </c>
      <c r="D1009" s="25">
        <v>1008.0</v>
      </c>
      <c r="E1009" s="26">
        <f t="shared" si="1"/>
        <v>0.8374896093</v>
      </c>
      <c r="F1009" s="18">
        <f t="shared" si="2"/>
        <v>0.9841926866</v>
      </c>
    </row>
    <row r="1010">
      <c r="A1010" s="14">
        <v>1.31379</v>
      </c>
      <c r="B1010" s="14">
        <v>0.814</v>
      </c>
      <c r="C1010" s="14">
        <v>0.781</v>
      </c>
      <c r="D1010" s="25">
        <v>1009.0</v>
      </c>
      <c r="E1010" s="26">
        <f t="shared" si="1"/>
        <v>0.8383208645</v>
      </c>
      <c r="F1010" s="18">
        <f t="shared" si="2"/>
        <v>0.987580234</v>
      </c>
    </row>
    <row r="1011">
      <c r="A1011" s="14">
        <v>1.314</v>
      </c>
      <c r="B1011" s="14">
        <v>0.818</v>
      </c>
      <c r="C1011" s="14">
        <v>0.783</v>
      </c>
      <c r="D1011" s="25">
        <v>1010.0</v>
      </c>
      <c r="E1011" s="26">
        <f t="shared" si="1"/>
        <v>0.8391521197</v>
      </c>
      <c r="F1011" s="18">
        <f t="shared" si="2"/>
        <v>0.9909791524</v>
      </c>
    </row>
    <row r="1012">
      <c r="A1012" s="14">
        <v>1.31826</v>
      </c>
      <c r="B1012" s="14">
        <v>0.818537354</v>
      </c>
      <c r="C1012" s="14">
        <v>0.783121586</v>
      </c>
      <c r="D1012" s="25">
        <v>1011.0</v>
      </c>
      <c r="E1012" s="26">
        <f t="shared" si="1"/>
        <v>0.8399833749</v>
      </c>
      <c r="F1012" s="18">
        <f t="shared" si="2"/>
        <v>0.994389558</v>
      </c>
    </row>
    <row r="1013">
      <c r="A1013" s="14">
        <v>1.319</v>
      </c>
      <c r="B1013" s="14">
        <v>0.819</v>
      </c>
      <c r="C1013" s="14">
        <v>0.783237457</v>
      </c>
      <c r="D1013" s="25">
        <v>1012.0</v>
      </c>
      <c r="E1013" s="26">
        <f t="shared" si="1"/>
        <v>0.8408146301</v>
      </c>
      <c r="F1013" s="18">
        <f t="shared" si="2"/>
        <v>0.9978115686</v>
      </c>
    </row>
    <row r="1014">
      <c r="A1014" s="14">
        <v>1.319</v>
      </c>
      <c r="B1014" s="14">
        <v>0.821328104</v>
      </c>
      <c r="C1014" s="14">
        <v>0.786</v>
      </c>
      <c r="D1014" s="25">
        <v>1013.0</v>
      </c>
      <c r="E1014" s="26">
        <f t="shared" si="1"/>
        <v>0.8416458853</v>
      </c>
      <c r="F1014" s="18">
        <f t="shared" si="2"/>
        <v>1.001245304</v>
      </c>
    </row>
    <row r="1015">
      <c r="A1015" s="14">
        <v>1.31967</v>
      </c>
      <c r="B1015" s="14">
        <v>0.82153976</v>
      </c>
      <c r="C1015" s="14">
        <v>0.786332428</v>
      </c>
      <c r="D1015" s="25">
        <v>1014.0</v>
      </c>
      <c r="E1015" s="26">
        <f t="shared" si="1"/>
        <v>0.8424771405</v>
      </c>
      <c r="F1015" s="18">
        <f t="shared" si="2"/>
        <v>1.004690885</v>
      </c>
    </row>
    <row r="1016">
      <c r="A1016" s="14">
        <v>1.32</v>
      </c>
      <c r="B1016" s="14">
        <v>0.822</v>
      </c>
      <c r="C1016" s="14">
        <v>0.787</v>
      </c>
      <c r="D1016" s="25">
        <v>1015.0</v>
      </c>
      <c r="E1016" s="26">
        <f t="shared" si="1"/>
        <v>0.8433083957</v>
      </c>
      <c r="F1016" s="18">
        <f t="shared" si="2"/>
        <v>1.008148435</v>
      </c>
    </row>
    <row r="1017">
      <c r="A1017" s="14">
        <v>1.321</v>
      </c>
      <c r="B1017" s="14">
        <v>0.822</v>
      </c>
      <c r="C1017" s="14">
        <v>0.787</v>
      </c>
      <c r="D1017" s="25">
        <v>1016.0</v>
      </c>
      <c r="E1017" s="26">
        <f t="shared" si="1"/>
        <v>0.8441396509</v>
      </c>
      <c r="F1017" s="18">
        <f t="shared" si="2"/>
        <v>1.01161808</v>
      </c>
    </row>
    <row r="1018">
      <c r="A1018" s="14">
        <v>1.32261</v>
      </c>
      <c r="B1018" s="14">
        <v>0.822</v>
      </c>
      <c r="C1018" s="14">
        <v>0.787</v>
      </c>
      <c r="D1018" s="25">
        <v>1017.0</v>
      </c>
      <c r="E1018" s="26">
        <f t="shared" si="1"/>
        <v>0.8449709061</v>
      </c>
      <c r="F1018" s="18">
        <f t="shared" si="2"/>
        <v>1.015099946</v>
      </c>
    </row>
    <row r="1019">
      <c r="A1019" s="14">
        <v>1.323</v>
      </c>
      <c r="B1019" s="14">
        <v>0.822</v>
      </c>
      <c r="C1019" s="14">
        <v>0.789</v>
      </c>
      <c r="D1019" s="25">
        <v>1018.0</v>
      </c>
      <c r="E1019" s="26">
        <f t="shared" si="1"/>
        <v>0.8458021613</v>
      </c>
      <c r="F1019" s="18">
        <f t="shared" si="2"/>
        <v>1.018594162</v>
      </c>
    </row>
    <row r="1020">
      <c r="A1020" s="14">
        <v>1.323110461</v>
      </c>
      <c r="B1020" s="14">
        <v>0.823</v>
      </c>
      <c r="C1020" s="14">
        <v>0.789</v>
      </c>
      <c r="D1020" s="25">
        <v>1019.0</v>
      </c>
      <c r="E1020" s="26">
        <f t="shared" si="1"/>
        <v>0.8466334165</v>
      </c>
      <c r="F1020" s="18">
        <f t="shared" si="2"/>
        <v>1.022100859</v>
      </c>
    </row>
    <row r="1021">
      <c r="A1021" s="14">
        <v>1.325</v>
      </c>
      <c r="B1021" s="14">
        <v>0.824</v>
      </c>
      <c r="C1021" s="14">
        <v>0.793</v>
      </c>
      <c r="D1021" s="25">
        <v>1020.0</v>
      </c>
      <c r="E1021" s="26">
        <f t="shared" si="1"/>
        <v>0.8474646717</v>
      </c>
      <c r="F1021" s="18">
        <f t="shared" si="2"/>
        <v>1.02562017</v>
      </c>
    </row>
    <row r="1022">
      <c r="A1022" s="14">
        <v>1.328</v>
      </c>
      <c r="B1022" s="14">
        <v>0.824766099</v>
      </c>
      <c r="C1022" s="14">
        <v>0.795580089</v>
      </c>
      <c r="D1022" s="25">
        <v>1021.0</v>
      </c>
      <c r="E1022" s="26">
        <f t="shared" si="1"/>
        <v>0.8482959268</v>
      </c>
      <c r="F1022" s="18">
        <f t="shared" si="2"/>
        <v>1.02915223</v>
      </c>
    </row>
    <row r="1023">
      <c r="A1023" s="14">
        <v>1.33</v>
      </c>
      <c r="B1023" s="14">
        <v>0.825</v>
      </c>
      <c r="C1023" s="14">
        <v>0.796</v>
      </c>
      <c r="D1023" s="25">
        <v>1022.0</v>
      </c>
      <c r="E1023" s="26">
        <f t="shared" si="1"/>
        <v>0.849127182</v>
      </c>
      <c r="F1023" s="18">
        <f t="shared" si="2"/>
        <v>1.032697176</v>
      </c>
    </row>
    <row r="1024">
      <c r="A1024" s="14">
        <v>1.33095</v>
      </c>
      <c r="B1024" s="14">
        <v>0.825</v>
      </c>
      <c r="C1024" s="14">
        <v>0.79642123</v>
      </c>
      <c r="D1024" s="25">
        <v>1023.0</v>
      </c>
      <c r="E1024" s="26">
        <f t="shared" si="1"/>
        <v>0.8499584372</v>
      </c>
      <c r="F1024" s="18">
        <f t="shared" si="2"/>
        <v>1.036255148</v>
      </c>
    </row>
    <row r="1025">
      <c r="A1025" s="14">
        <v>1.331</v>
      </c>
      <c r="B1025" s="14">
        <v>0.825467646</v>
      </c>
      <c r="C1025" s="14">
        <v>0.799</v>
      </c>
      <c r="D1025" s="25">
        <v>1024.0</v>
      </c>
      <c r="E1025" s="26">
        <f t="shared" si="1"/>
        <v>0.8507896924</v>
      </c>
      <c r="F1025" s="18">
        <f t="shared" si="2"/>
        <v>1.039826286</v>
      </c>
    </row>
    <row r="1026">
      <c r="A1026" s="14">
        <v>1.331</v>
      </c>
      <c r="B1026" s="14">
        <v>0.826457024</v>
      </c>
      <c r="C1026" s="14">
        <v>0.8</v>
      </c>
      <c r="D1026" s="25">
        <v>1025.0</v>
      </c>
      <c r="E1026" s="26">
        <f t="shared" si="1"/>
        <v>0.8516209476</v>
      </c>
      <c r="F1026" s="18">
        <f t="shared" si="2"/>
        <v>1.043410734</v>
      </c>
    </row>
    <row r="1027">
      <c r="A1027" s="14">
        <v>1.335</v>
      </c>
      <c r="B1027" s="14">
        <v>0.828</v>
      </c>
      <c r="C1027" s="14">
        <v>0.801</v>
      </c>
      <c r="D1027" s="25">
        <v>1026.0</v>
      </c>
      <c r="E1027" s="26">
        <f t="shared" si="1"/>
        <v>0.8524522028</v>
      </c>
      <c r="F1027" s="18">
        <f t="shared" si="2"/>
        <v>1.047008639</v>
      </c>
    </row>
    <row r="1028">
      <c r="A1028" s="14">
        <v>1.337753177</v>
      </c>
      <c r="B1028" s="14">
        <v>0.829747558</v>
      </c>
      <c r="C1028" s="14">
        <v>0.801</v>
      </c>
      <c r="D1028" s="25">
        <v>1027.0</v>
      </c>
      <c r="E1028" s="26">
        <f t="shared" si="1"/>
        <v>0.853283458</v>
      </c>
      <c r="F1028" s="18">
        <f t="shared" si="2"/>
        <v>1.050620149</v>
      </c>
    </row>
    <row r="1029">
      <c r="A1029" s="14">
        <v>1.340126514</v>
      </c>
      <c r="B1029" s="14">
        <v>0.831132412</v>
      </c>
      <c r="C1029" s="14">
        <v>0.801</v>
      </c>
      <c r="D1029" s="25">
        <v>1028.0</v>
      </c>
      <c r="E1029" s="26">
        <f t="shared" si="1"/>
        <v>0.8541147132</v>
      </c>
      <c r="F1029" s="18">
        <f t="shared" si="2"/>
        <v>1.054245414</v>
      </c>
    </row>
    <row r="1030">
      <c r="A1030" s="14">
        <v>1.34043</v>
      </c>
      <c r="B1030" s="14">
        <v>0.831383407</v>
      </c>
      <c r="C1030" s="14">
        <v>0.801131904</v>
      </c>
      <c r="D1030" s="25">
        <v>1029.0</v>
      </c>
      <c r="E1030" s="26">
        <f t="shared" si="1"/>
        <v>0.8549459684</v>
      </c>
      <c r="F1030" s="18">
        <f t="shared" si="2"/>
        <v>1.057884587</v>
      </c>
    </row>
    <row r="1031">
      <c r="A1031" s="14">
        <v>1.343133092</v>
      </c>
      <c r="B1031" s="14">
        <v>0.832</v>
      </c>
      <c r="C1031" s="14">
        <v>0.801215112</v>
      </c>
      <c r="D1031" s="25">
        <v>1030.0</v>
      </c>
      <c r="E1031" s="26">
        <f t="shared" si="1"/>
        <v>0.8557772236</v>
      </c>
      <c r="F1031" s="18">
        <f t="shared" si="2"/>
        <v>1.061537826</v>
      </c>
    </row>
    <row r="1032">
      <c r="A1032" s="14">
        <v>1.346</v>
      </c>
      <c r="B1032" s="14">
        <v>0.832</v>
      </c>
      <c r="C1032" s="14">
        <v>0.801289678</v>
      </c>
      <c r="D1032" s="25">
        <v>1031.0</v>
      </c>
      <c r="E1032" s="26">
        <f t="shared" si="1"/>
        <v>0.8566084788</v>
      </c>
      <c r="F1032" s="18">
        <f t="shared" si="2"/>
        <v>1.065205286</v>
      </c>
    </row>
    <row r="1033">
      <c r="A1033" s="14">
        <v>1.34951</v>
      </c>
      <c r="B1033" s="14">
        <v>0.833</v>
      </c>
      <c r="C1033" s="14">
        <v>0.802760839</v>
      </c>
      <c r="D1033" s="25">
        <v>1032.0</v>
      </c>
      <c r="E1033" s="26">
        <f t="shared" si="1"/>
        <v>0.857439734</v>
      </c>
      <c r="F1033" s="18">
        <f t="shared" si="2"/>
        <v>1.068887131</v>
      </c>
    </row>
    <row r="1034">
      <c r="A1034" s="14">
        <v>1.35</v>
      </c>
      <c r="B1034" s="14">
        <v>0.833805263</v>
      </c>
      <c r="C1034" s="14">
        <v>0.803</v>
      </c>
      <c r="D1034" s="25">
        <v>1033.0</v>
      </c>
      <c r="E1034" s="26">
        <f t="shared" si="1"/>
        <v>0.8582709892</v>
      </c>
      <c r="F1034" s="18">
        <f t="shared" si="2"/>
        <v>1.072583522</v>
      </c>
    </row>
    <row r="1035">
      <c r="A1035" s="14">
        <v>1.351</v>
      </c>
      <c r="B1035" s="14">
        <v>0.834743679</v>
      </c>
      <c r="C1035" s="14">
        <v>0.805</v>
      </c>
      <c r="D1035" s="25">
        <v>1034.0</v>
      </c>
      <c r="E1035" s="26">
        <f t="shared" si="1"/>
        <v>0.8591022444</v>
      </c>
      <c r="F1035" s="18">
        <f t="shared" si="2"/>
        <v>1.076294627</v>
      </c>
    </row>
    <row r="1036">
      <c r="A1036" s="14">
        <v>1.353814363</v>
      </c>
      <c r="B1036" s="14">
        <v>0.836</v>
      </c>
      <c r="C1036" s="14">
        <v>0.805343091</v>
      </c>
      <c r="D1036" s="25">
        <v>1035.0</v>
      </c>
      <c r="E1036" s="26">
        <f t="shared" si="1"/>
        <v>0.8599334996</v>
      </c>
      <c r="F1036" s="18">
        <f t="shared" si="2"/>
        <v>1.080020615</v>
      </c>
    </row>
    <row r="1037">
      <c r="A1037" s="14">
        <v>1.357</v>
      </c>
      <c r="B1037" s="14">
        <v>0.836179912</v>
      </c>
      <c r="C1037" s="14">
        <v>0.806</v>
      </c>
      <c r="D1037" s="25">
        <v>1036.0</v>
      </c>
      <c r="E1037" s="26">
        <f t="shared" si="1"/>
        <v>0.8607647548</v>
      </c>
      <c r="F1037" s="18">
        <f t="shared" si="2"/>
        <v>1.083761657</v>
      </c>
    </row>
    <row r="1038">
      <c r="A1038" s="14">
        <v>1.35756433</v>
      </c>
      <c r="B1038" s="14">
        <v>0.837</v>
      </c>
      <c r="C1038" s="14">
        <v>0.806821585</v>
      </c>
      <c r="D1038" s="25">
        <v>1037.0</v>
      </c>
      <c r="E1038" s="26">
        <f t="shared" si="1"/>
        <v>0.86159601</v>
      </c>
      <c r="F1038" s="18">
        <f t="shared" si="2"/>
        <v>1.087517928</v>
      </c>
    </row>
    <row r="1039">
      <c r="A1039" s="14">
        <v>1.36</v>
      </c>
      <c r="B1039" s="14">
        <v>0.837</v>
      </c>
      <c r="C1039" s="14">
        <v>0.807</v>
      </c>
      <c r="D1039" s="25">
        <v>1038.0</v>
      </c>
      <c r="E1039" s="26">
        <f t="shared" si="1"/>
        <v>0.8624272652</v>
      </c>
      <c r="F1039" s="18">
        <f t="shared" si="2"/>
        <v>1.091289607</v>
      </c>
    </row>
    <row r="1040">
      <c r="A1040" s="14">
        <v>1.36058</v>
      </c>
      <c r="B1040" s="14">
        <v>0.837633669</v>
      </c>
      <c r="C1040" s="14">
        <v>0.807</v>
      </c>
      <c r="D1040" s="25">
        <v>1039.0</v>
      </c>
      <c r="E1040" s="26">
        <f t="shared" si="1"/>
        <v>0.8632585204</v>
      </c>
      <c r="F1040" s="18">
        <f t="shared" si="2"/>
        <v>1.095076875</v>
      </c>
    </row>
    <row r="1041">
      <c r="A1041" s="14">
        <v>1.361</v>
      </c>
      <c r="B1041" s="14">
        <v>0.838</v>
      </c>
      <c r="C1041" s="14">
        <v>0.808</v>
      </c>
      <c r="D1041" s="25">
        <v>1040.0</v>
      </c>
      <c r="E1041" s="26">
        <f t="shared" si="1"/>
        <v>0.8640897756</v>
      </c>
      <c r="F1041" s="18">
        <f t="shared" si="2"/>
        <v>1.098879915</v>
      </c>
    </row>
    <row r="1042">
      <c r="A1042" s="14">
        <v>1.365</v>
      </c>
      <c r="B1042" s="14">
        <v>0.84</v>
      </c>
      <c r="C1042" s="14">
        <v>0.808785141</v>
      </c>
      <c r="D1042" s="25">
        <v>1041.0</v>
      </c>
      <c r="E1042" s="26">
        <f t="shared" si="1"/>
        <v>0.8649210308</v>
      </c>
      <c r="F1042" s="18">
        <f t="shared" si="2"/>
        <v>1.102698915</v>
      </c>
    </row>
    <row r="1043">
      <c r="A1043" s="14">
        <v>1.366</v>
      </c>
      <c r="B1043" s="14">
        <v>0.841</v>
      </c>
      <c r="C1043" s="14">
        <v>0.809</v>
      </c>
      <c r="D1043" s="25">
        <v>1042.0</v>
      </c>
      <c r="E1043" s="26">
        <f t="shared" si="1"/>
        <v>0.865752286</v>
      </c>
      <c r="F1043" s="18">
        <f t="shared" si="2"/>
        <v>1.106534066</v>
      </c>
    </row>
    <row r="1044">
      <c r="A1044" s="14">
        <v>1.367043018</v>
      </c>
      <c r="B1044" s="14">
        <v>0.841</v>
      </c>
      <c r="C1044" s="14">
        <v>0.809</v>
      </c>
      <c r="D1044" s="25">
        <v>1043.0</v>
      </c>
      <c r="E1044" s="26">
        <f t="shared" si="1"/>
        <v>0.8665835411</v>
      </c>
      <c r="F1044" s="18">
        <f t="shared" si="2"/>
        <v>1.110385561</v>
      </c>
    </row>
    <row r="1045">
      <c r="A1045" s="14">
        <v>1.368</v>
      </c>
      <c r="B1045" s="14">
        <v>0.842</v>
      </c>
      <c r="C1045" s="14">
        <v>0.809583843</v>
      </c>
      <c r="D1045" s="25">
        <v>1044.0</v>
      </c>
      <c r="E1045" s="26">
        <f t="shared" si="1"/>
        <v>0.8674147963</v>
      </c>
      <c r="F1045" s="18">
        <f t="shared" si="2"/>
        <v>1.114253599</v>
      </c>
    </row>
    <row r="1046">
      <c r="A1046" s="14">
        <v>1.368218064</v>
      </c>
      <c r="B1046" s="14">
        <v>0.842619538</v>
      </c>
      <c r="C1046" s="14">
        <v>0.81023699</v>
      </c>
      <c r="D1046" s="25">
        <v>1045.0</v>
      </c>
      <c r="E1046" s="26">
        <f t="shared" si="1"/>
        <v>0.8682460515</v>
      </c>
      <c r="F1046" s="18">
        <f t="shared" si="2"/>
        <v>1.11813838</v>
      </c>
    </row>
    <row r="1047">
      <c r="A1047" s="14">
        <v>1.369</v>
      </c>
      <c r="B1047" s="14">
        <v>0.842823207</v>
      </c>
      <c r="C1047" s="14">
        <v>0.811</v>
      </c>
      <c r="D1047" s="25">
        <v>1046.0</v>
      </c>
      <c r="E1047" s="26">
        <f t="shared" si="1"/>
        <v>0.8690773067</v>
      </c>
      <c r="F1047" s="18">
        <f t="shared" si="2"/>
        <v>1.12204011</v>
      </c>
    </row>
    <row r="1048">
      <c r="A1048" s="14">
        <v>1.369</v>
      </c>
      <c r="B1048" s="14">
        <v>0.843</v>
      </c>
      <c r="C1048" s="14">
        <v>0.812</v>
      </c>
      <c r="D1048" s="25">
        <v>1047.0</v>
      </c>
      <c r="E1048" s="26">
        <f t="shared" si="1"/>
        <v>0.8699085619</v>
      </c>
      <c r="F1048" s="18">
        <f t="shared" si="2"/>
        <v>1.125958996</v>
      </c>
    </row>
    <row r="1049">
      <c r="A1049" s="14">
        <v>1.36948</v>
      </c>
      <c r="B1049" s="14">
        <v>0.845</v>
      </c>
      <c r="C1049" s="14">
        <v>0.814</v>
      </c>
      <c r="D1049" s="25">
        <v>1048.0</v>
      </c>
      <c r="E1049" s="26">
        <f t="shared" si="1"/>
        <v>0.8707398171</v>
      </c>
      <c r="F1049" s="18">
        <f t="shared" si="2"/>
        <v>1.12989525</v>
      </c>
    </row>
    <row r="1050">
      <c r="A1050" s="14">
        <v>1.373192549</v>
      </c>
      <c r="B1050" s="14">
        <v>0.845</v>
      </c>
      <c r="C1050" s="14">
        <v>0.815724611</v>
      </c>
      <c r="D1050" s="25">
        <v>1049.0</v>
      </c>
      <c r="E1050" s="26">
        <f t="shared" si="1"/>
        <v>0.8715710723</v>
      </c>
      <c r="F1050" s="18">
        <f t="shared" si="2"/>
        <v>1.13384909</v>
      </c>
    </row>
    <row r="1051">
      <c r="A1051" s="14">
        <v>1.376289964</v>
      </c>
      <c r="B1051" s="14">
        <v>0.845</v>
      </c>
      <c r="C1051" s="14">
        <v>0.816</v>
      </c>
      <c r="D1051" s="25">
        <v>1050.0</v>
      </c>
      <c r="E1051" s="26">
        <f t="shared" si="1"/>
        <v>0.8724023275</v>
      </c>
      <c r="F1051" s="18">
        <f t="shared" si="2"/>
        <v>1.137820735</v>
      </c>
    </row>
    <row r="1052">
      <c r="A1052" s="14">
        <v>1.38</v>
      </c>
      <c r="B1052" s="14">
        <v>0.846</v>
      </c>
      <c r="C1052" s="14">
        <v>0.817071021</v>
      </c>
      <c r="D1052" s="25">
        <v>1051.0</v>
      </c>
      <c r="E1052" s="26">
        <f t="shared" si="1"/>
        <v>0.8732335827</v>
      </c>
      <c r="F1052" s="18">
        <f t="shared" si="2"/>
        <v>1.14181041</v>
      </c>
    </row>
    <row r="1053">
      <c r="A1053" s="14">
        <v>1.380228519</v>
      </c>
      <c r="B1053" s="14">
        <v>0.85</v>
      </c>
      <c r="C1053" s="14">
        <v>0.817485631</v>
      </c>
      <c r="D1053" s="25">
        <v>1052.0</v>
      </c>
      <c r="E1053" s="26">
        <f t="shared" si="1"/>
        <v>0.8740648379</v>
      </c>
      <c r="F1053" s="18">
        <f t="shared" si="2"/>
        <v>1.145818342</v>
      </c>
    </row>
    <row r="1054">
      <c r="A1054" s="14">
        <v>1.383</v>
      </c>
      <c r="B1054" s="14">
        <v>0.85</v>
      </c>
      <c r="C1054" s="14">
        <v>0.818</v>
      </c>
      <c r="D1054" s="25">
        <v>1053.0</v>
      </c>
      <c r="E1054" s="26">
        <f t="shared" si="1"/>
        <v>0.8748960931</v>
      </c>
      <c r="F1054" s="18">
        <f t="shared" si="2"/>
        <v>1.149844766</v>
      </c>
    </row>
    <row r="1055">
      <c r="A1055" s="14">
        <v>1.384369016</v>
      </c>
      <c r="B1055" s="14">
        <v>0.851</v>
      </c>
      <c r="C1055" s="14">
        <v>0.821</v>
      </c>
      <c r="D1055" s="25">
        <v>1054.0</v>
      </c>
      <c r="E1055" s="26">
        <f t="shared" si="1"/>
        <v>0.8757273483</v>
      </c>
      <c r="F1055" s="18">
        <f t="shared" si="2"/>
        <v>1.153889917</v>
      </c>
    </row>
    <row r="1056">
      <c r="A1056" s="14">
        <v>1.384565353</v>
      </c>
      <c r="B1056" s="14">
        <v>0.852</v>
      </c>
      <c r="C1056" s="14">
        <v>0.82226181</v>
      </c>
      <c r="D1056" s="25">
        <v>1055.0</v>
      </c>
      <c r="E1056" s="26">
        <f t="shared" si="1"/>
        <v>0.8765586035</v>
      </c>
      <c r="F1056" s="18">
        <f t="shared" si="2"/>
        <v>1.157954039</v>
      </c>
    </row>
    <row r="1057">
      <c r="A1057" s="14">
        <v>1.384788632</v>
      </c>
      <c r="B1057" s="14">
        <v>0.853</v>
      </c>
      <c r="C1057" s="14">
        <v>0.822606206</v>
      </c>
      <c r="D1057" s="25">
        <v>1056.0</v>
      </c>
      <c r="E1057" s="26">
        <f t="shared" si="1"/>
        <v>0.8773898587</v>
      </c>
      <c r="F1057" s="18">
        <f t="shared" si="2"/>
        <v>1.162037377</v>
      </c>
    </row>
    <row r="1058">
      <c r="A1058" s="14">
        <v>1.387</v>
      </c>
      <c r="B1058" s="14">
        <v>0.853</v>
      </c>
      <c r="C1058" s="14">
        <v>0.822769046</v>
      </c>
      <c r="D1058" s="25">
        <v>1057.0</v>
      </c>
      <c r="E1058" s="26">
        <f t="shared" si="1"/>
        <v>0.8782211139</v>
      </c>
      <c r="F1058" s="18">
        <f t="shared" si="2"/>
        <v>1.166140183</v>
      </c>
    </row>
    <row r="1059">
      <c r="A1059" s="14">
        <v>1.387776852</v>
      </c>
      <c r="B1059" s="14">
        <v>0.853962779</v>
      </c>
      <c r="C1059" s="14">
        <v>0.823</v>
      </c>
      <c r="D1059" s="25">
        <v>1058.0</v>
      </c>
      <c r="E1059" s="26">
        <f t="shared" si="1"/>
        <v>0.8790523691</v>
      </c>
      <c r="F1059" s="18">
        <f t="shared" si="2"/>
        <v>1.170262714</v>
      </c>
    </row>
    <row r="1060">
      <c r="A1060" s="14">
        <v>1.39</v>
      </c>
      <c r="B1060" s="14">
        <v>0.854</v>
      </c>
      <c r="C1060" s="14">
        <v>0.823</v>
      </c>
      <c r="D1060" s="25">
        <v>1059.0</v>
      </c>
      <c r="E1060" s="26">
        <f t="shared" si="1"/>
        <v>0.8798836243</v>
      </c>
      <c r="F1060" s="18">
        <f t="shared" si="2"/>
        <v>1.17440523</v>
      </c>
    </row>
    <row r="1061">
      <c r="A1061" s="14">
        <v>1.394537568</v>
      </c>
      <c r="B1061" s="14">
        <v>0.854191244</v>
      </c>
      <c r="C1061" s="14">
        <v>0.823</v>
      </c>
      <c r="D1061" s="25">
        <v>1060.0</v>
      </c>
      <c r="E1061" s="26">
        <f t="shared" si="1"/>
        <v>0.8807148795</v>
      </c>
      <c r="F1061" s="18">
        <f t="shared" si="2"/>
        <v>1.178567997</v>
      </c>
    </row>
    <row r="1062">
      <c r="A1062" s="14">
        <v>1.401</v>
      </c>
      <c r="B1062" s="14">
        <v>0.855</v>
      </c>
      <c r="C1062" s="14">
        <v>0.824211061</v>
      </c>
      <c r="D1062" s="25">
        <v>1061.0</v>
      </c>
      <c r="E1062" s="26">
        <f t="shared" si="1"/>
        <v>0.8815461347</v>
      </c>
      <c r="F1062" s="18">
        <f t="shared" si="2"/>
        <v>1.182751289</v>
      </c>
    </row>
    <row r="1063">
      <c r="A1063" s="14">
        <v>1.401</v>
      </c>
      <c r="B1063" s="14">
        <v>0.855</v>
      </c>
      <c r="C1063" s="14">
        <v>0.825</v>
      </c>
      <c r="D1063" s="25">
        <v>1062.0</v>
      </c>
      <c r="E1063" s="26">
        <f t="shared" si="1"/>
        <v>0.8823773899</v>
      </c>
      <c r="F1063" s="18">
        <f t="shared" si="2"/>
        <v>1.186955382</v>
      </c>
    </row>
    <row r="1064">
      <c r="A1064" s="14">
        <v>1.402</v>
      </c>
      <c r="B1064" s="14">
        <v>0.856</v>
      </c>
      <c r="C1064" s="14">
        <v>0.825</v>
      </c>
      <c r="D1064" s="25">
        <v>1063.0</v>
      </c>
      <c r="E1064" s="26">
        <f t="shared" si="1"/>
        <v>0.8832086451</v>
      </c>
      <c r="F1064" s="18">
        <f t="shared" si="2"/>
        <v>1.191180558</v>
      </c>
    </row>
    <row r="1065">
      <c r="A1065" s="14">
        <v>1.402182937</v>
      </c>
      <c r="B1065" s="14">
        <v>0.856</v>
      </c>
      <c r="C1065" s="14">
        <v>0.826</v>
      </c>
      <c r="D1065" s="25">
        <v>1064.0</v>
      </c>
      <c r="E1065" s="26">
        <f t="shared" si="1"/>
        <v>0.8840399002</v>
      </c>
      <c r="F1065" s="18">
        <f t="shared" si="2"/>
        <v>1.195427108</v>
      </c>
    </row>
    <row r="1066">
      <c r="A1066" s="14">
        <v>1.40223</v>
      </c>
      <c r="B1066" s="14">
        <v>0.856</v>
      </c>
      <c r="C1066" s="14">
        <v>0.827</v>
      </c>
      <c r="D1066" s="25">
        <v>1065.0</v>
      </c>
      <c r="E1066" s="26">
        <f t="shared" si="1"/>
        <v>0.8848711554</v>
      </c>
      <c r="F1066" s="18">
        <f t="shared" si="2"/>
        <v>1.199695325</v>
      </c>
    </row>
    <row r="1067">
      <c r="A1067" s="14">
        <v>1.402416706</v>
      </c>
      <c r="B1067" s="14">
        <v>0.857</v>
      </c>
      <c r="C1067" s="14">
        <v>0.83</v>
      </c>
      <c r="D1067" s="25">
        <v>1066.0</v>
      </c>
      <c r="E1067" s="26">
        <f t="shared" si="1"/>
        <v>0.8857024106</v>
      </c>
      <c r="F1067" s="18">
        <f t="shared" si="2"/>
        <v>1.20398551</v>
      </c>
    </row>
    <row r="1068">
      <c r="A1068" s="14">
        <v>1.404714942</v>
      </c>
      <c r="B1068" s="14">
        <v>0.857907116</v>
      </c>
      <c r="C1068" s="14">
        <v>0.83</v>
      </c>
      <c r="D1068" s="25">
        <v>1067.0</v>
      </c>
      <c r="E1068" s="26">
        <f t="shared" si="1"/>
        <v>0.8865336658</v>
      </c>
      <c r="F1068" s="18">
        <f t="shared" si="2"/>
        <v>1.208297971</v>
      </c>
    </row>
    <row r="1069">
      <c r="A1069" s="14">
        <v>1.409</v>
      </c>
      <c r="B1069" s="14">
        <v>0.858</v>
      </c>
      <c r="C1069" s="14">
        <v>0.83</v>
      </c>
      <c r="D1069" s="25">
        <v>1068.0</v>
      </c>
      <c r="E1069" s="26">
        <f t="shared" si="1"/>
        <v>0.887364921</v>
      </c>
      <c r="F1069" s="18">
        <f t="shared" si="2"/>
        <v>1.212633021</v>
      </c>
    </row>
    <row r="1070">
      <c r="A1070" s="14">
        <v>1.41</v>
      </c>
      <c r="B1070" s="14">
        <v>0.858068526</v>
      </c>
      <c r="C1070" s="14">
        <v>0.83</v>
      </c>
      <c r="D1070" s="25">
        <v>1069.0</v>
      </c>
      <c r="E1070" s="26">
        <f t="shared" si="1"/>
        <v>0.8881961762</v>
      </c>
      <c r="F1070" s="18">
        <f t="shared" si="2"/>
        <v>1.21699098</v>
      </c>
    </row>
    <row r="1071">
      <c r="A1071" s="14">
        <v>1.41</v>
      </c>
      <c r="B1071" s="14">
        <v>0.858709276</v>
      </c>
      <c r="C1071" s="14">
        <v>0.83</v>
      </c>
      <c r="D1071" s="25">
        <v>1070.0</v>
      </c>
      <c r="E1071" s="26">
        <f t="shared" si="1"/>
        <v>0.8890274314</v>
      </c>
      <c r="F1071" s="18">
        <f t="shared" si="2"/>
        <v>1.221372175</v>
      </c>
    </row>
    <row r="1072">
      <c r="A1072" s="14">
        <v>1.41</v>
      </c>
      <c r="B1072" s="14">
        <v>0.859</v>
      </c>
      <c r="C1072" s="14">
        <v>0.831499159</v>
      </c>
      <c r="D1072" s="25">
        <v>1071.0</v>
      </c>
      <c r="E1072" s="26">
        <f t="shared" si="1"/>
        <v>0.8898586866</v>
      </c>
      <c r="F1072" s="18">
        <f t="shared" si="2"/>
        <v>1.22577694</v>
      </c>
    </row>
    <row r="1073">
      <c r="A1073" s="14">
        <v>1.412227869</v>
      </c>
      <c r="B1073" s="14">
        <v>0.859828949</v>
      </c>
      <c r="C1073" s="14">
        <v>0.833</v>
      </c>
      <c r="D1073" s="25">
        <v>1072.0</v>
      </c>
      <c r="E1073" s="26">
        <f t="shared" si="1"/>
        <v>0.8906899418</v>
      </c>
      <c r="F1073" s="18">
        <f t="shared" si="2"/>
        <v>1.230205618</v>
      </c>
    </row>
    <row r="1074">
      <c r="A1074" s="14">
        <v>1.413</v>
      </c>
      <c r="B1074" s="14">
        <v>0.86</v>
      </c>
      <c r="C1074" s="14">
        <v>0.834</v>
      </c>
      <c r="D1074" s="25">
        <v>1073.0</v>
      </c>
      <c r="E1074" s="26">
        <f t="shared" si="1"/>
        <v>0.891521197</v>
      </c>
      <c r="F1074" s="18">
        <f t="shared" si="2"/>
        <v>1.234658555</v>
      </c>
    </row>
    <row r="1075">
      <c r="A1075" s="14">
        <v>1.416403651</v>
      </c>
      <c r="B1075" s="14">
        <v>0.861</v>
      </c>
      <c r="C1075" s="14">
        <v>0.834</v>
      </c>
      <c r="D1075" s="25">
        <v>1074.0</v>
      </c>
      <c r="E1075" s="26">
        <f t="shared" si="1"/>
        <v>0.8923524522</v>
      </c>
      <c r="F1075" s="18">
        <f t="shared" si="2"/>
        <v>1.23913611</v>
      </c>
    </row>
    <row r="1076">
      <c r="A1076" s="14">
        <v>1.417</v>
      </c>
      <c r="B1076" s="14">
        <v>0.861535907</v>
      </c>
      <c r="C1076" s="14">
        <v>0.834788501</v>
      </c>
      <c r="D1076" s="25">
        <v>1075.0</v>
      </c>
      <c r="E1076" s="26">
        <f t="shared" si="1"/>
        <v>0.8931837074</v>
      </c>
      <c r="F1076" s="18">
        <f t="shared" si="2"/>
        <v>1.243638647</v>
      </c>
    </row>
    <row r="1077">
      <c r="A1077" s="14">
        <v>1.419</v>
      </c>
      <c r="B1077" s="14">
        <v>0.862</v>
      </c>
      <c r="C1077" s="14">
        <v>0.835</v>
      </c>
      <c r="D1077" s="25">
        <v>1076.0</v>
      </c>
      <c r="E1077" s="26">
        <f t="shared" si="1"/>
        <v>0.8940149626</v>
      </c>
      <c r="F1077" s="18">
        <f t="shared" si="2"/>
        <v>1.248166538</v>
      </c>
    </row>
    <row r="1078">
      <c r="A1078" s="14">
        <v>1.419920564</v>
      </c>
      <c r="B1078" s="14">
        <v>0.862055779</v>
      </c>
      <c r="C1078" s="14">
        <v>0.836737812</v>
      </c>
      <c r="D1078" s="25">
        <v>1077.0</v>
      </c>
      <c r="E1078" s="26">
        <f t="shared" si="1"/>
        <v>0.8948462178</v>
      </c>
      <c r="F1078" s="18">
        <f t="shared" si="2"/>
        <v>1.252720164</v>
      </c>
    </row>
    <row r="1079">
      <c r="A1079" s="14">
        <v>1.425792456</v>
      </c>
      <c r="B1079" s="14">
        <v>0.863902867</v>
      </c>
      <c r="C1079" s="14">
        <v>0.837</v>
      </c>
      <c r="D1079" s="25">
        <v>1078.0</v>
      </c>
      <c r="E1079" s="26">
        <f t="shared" si="1"/>
        <v>0.895677473</v>
      </c>
      <c r="F1079" s="18">
        <f t="shared" si="2"/>
        <v>1.257299916</v>
      </c>
    </row>
    <row r="1080">
      <c r="A1080" s="14">
        <v>1.428939223</v>
      </c>
      <c r="B1080" s="14">
        <v>0.864451885</v>
      </c>
      <c r="C1080" s="14">
        <v>0.838239431</v>
      </c>
      <c r="D1080" s="25">
        <v>1079.0</v>
      </c>
      <c r="E1080" s="26">
        <f t="shared" si="1"/>
        <v>0.8965087282</v>
      </c>
      <c r="F1080" s="18">
        <f t="shared" si="2"/>
        <v>1.261906191</v>
      </c>
    </row>
    <row r="1081">
      <c r="A1081" s="14">
        <v>1.429</v>
      </c>
      <c r="B1081" s="14">
        <v>0.866202772</v>
      </c>
      <c r="C1081" s="14">
        <v>0.839</v>
      </c>
      <c r="D1081" s="25">
        <v>1080.0</v>
      </c>
      <c r="E1081" s="26">
        <f t="shared" si="1"/>
        <v>0.8973399834</v>
      </c>
      <c r="F1081" s="18">
        <f t="shared" si="2"/>
        <v>1.266539397</v>
      </c>
    </row>
    <row r="1082">
      <c r="A1082" s="14">
        <v>1.431</v>
      </c>
      <c r="B1082" s="14">
        <v>0.867</v>
      </c>
      <c r="C1082" s="14">
        <v>0.839</v>
      </c>
      <c r="D1082" s="25">
        <v>1081.0</v>
      </c>
      <c r="E1082" s="26">
        <f t="shared" si="1"/>
        <v>0.8981712386</v>
      </c>
      <c r="F1082" s="18">
        <f t="shared" si="2"/>
        <v>1.271199953</v>
      </c>
    </row>
    <row r="1083">
      <c r="A1083" s="14">
        <v>1.431306005</v>
      </c>
      <c r="B1083" s="14">
        <v>0.867</v>
      </c>
      <c r="C1083" s="14">
        <v>0.839</v>
      </c>
      <c r="D1083" s="25">
        <v>1082.0</v>
      </c>
      <c r="E1083" s="26">
        <f t="shared" si="1"/>
        <v>0.8990024938</v>
      </c>
      <c r="F1083" s="18">
        <f t="shared" si="2"/>
        <v>1.275888285</v>
      </c>
    </row>
    <row r="1084">
      <c r="A1084" s="14">
        <v>1.432</v>
      </c>
      <c r="B1084" s="14">
        <v>0.867371082</v>
      </c>
      <c r="C1084" s="14">
        <v>0.839302301</v>
      </c>
      <c r="D1084" s="25">
        <v>1083.0</v>
      </c>
      <c r="E1084" s="26">
        <f t="shared" si="1"/>
        <v>0.899833749</v>
      </c>
      <c r="F1084" s="18">
        <f t="shared" si="2"/>
        <v>1.28060483</v>
      </c>
    </row>
    <row r="1085">
      <c r="A1085" s="14">
        <v>1.433</v>
      </c>
      <c r="B1085" s="14">
        <v>0.868</v>
      </c>
      <c r="C1085" s="14">
        <v>0.839328408</v>
      </c>
      <c r="D1085" s="25">
        <v>1084.0</v>
      </c>
      <c r="E1085" s="26">
        <f t="shared" si="1"/>
        <v>0.9006650042</v>
      </c>
      <c r="F1085" s="18">
        <f t="shared" si="2"/>
        <v>1.285350037</v>
      </c>
    </row>
    <row r="1086">
      <c r="A1086" s="14">
        <v>1.433885217</v>
      </c>
      <c r="B1086" s="14">
        <v>0.869</v>
      </c>
      <c r="C1086" s="14">
        <v>0.84</v>
      </c>
      <c r="D1086" s="25">
        <v>1085.0</v>
      </c>
      <c r="E1086" s="26">
        <f t="shared" si="1"/>
        <v>0.9014962594</v>
      </c>
      <c r="F1086" s="18">
        <f t="shared" si="2"/>
        <v>1.290124364</v>
      </c>
    </row>
    <row r="1087">
      <c r="A1087" s="14">
        <v>1.434379458</v>
      </c>
      <c r="B1087" s="14">
        <v>0.870603263</v>
      </c>
      <c r="C1087" s="14">
        <v>0.841</v>
      </c>
      <c r="D1087" s="25">
        <v>1086.0</v>
      </c>
      <c r="E1087" s="26">
        <f t="shared" si="1"/>
        <v>0.9023275145</v>
      </c>
      <c r="F1087" s="18">
        <f t="shared" si="2"/>
        <v>1.294928281</v>
      </c>
    </row>
    <row r="1088">
      <c r="A1088" s="14">
        <v>1.436337829</v>
      </c>
      <c r="B1088" s="14">
        <v>0.870614409</v>
      </c>
      <c r="C1088" s="14">
        <v>0.842</v>
      </c>
      <c r="D1088" s="25">
        <v>1087.0</v>
      </c>
      <c r="E1088" s="26">
        <f t="shared" si="1"/>
        <v>0.9031587697</v>
      </c>
      <c r="F1088" s="18">
        <f t="shared" si="2"/>
        <v>1.299762269</v>
      </c>
    </row>
    <row r="1089">
      <c r="A1089" s="14">
        <v>1.438</v>
      </c>
      <c r="B1089" s="14">
        <v>0.872</v>
      </c>
      <c r="C1089" s="14">
        <v>0.842009842</v>
      </c>
      <c r="D1089" s="25">
        <v>1088.0</v>
      </c>
      <c r="E1089" s="26">
        <f t="shared" si="1"/>
        <v>0.9039900249</v>
      </c>
      <c r="F1089" s="18">
        <f t="shared" si="2"/>
        <v>1.304626822</v>
      </c>
    </row>
    <row r="1090">
      <c r="A1090" s="14">
        <v>1.438</v>
      </c>
      <c r="B1090" s="14">
        <v>0.872366488</v>
      </c>
      <c r="C1090" s="14">
        <v>0.843</v>
      </c>
      <c r="D1090" s="25">
        <v>1089.0</v>
      </c>
      <c r="E1090" s="26">
        <f t="shared" si="1"/>
        <v>0.9048212801</v>
      </c>
      <c r="F1090" s="18">
        <f t="shared" si="2"/>
        <v>1.309522444</v>
      </c>
    </row>
    <row r="1091">
      <c r="A1091" s="14">
        <v>1.439</v>
      </c>
      <c r="B1091" s="14">
        <v>0.873</v>
      </c>
      <c r="C1091" s="14">
        <v>0.843</v>
      </c>
      <c r="D1091" s="25">
        <v>1090.0</v>
      </c>
      <c r="E1091" s="26">
        <f t="shared" si="1"/>
        <v>0.9056525353</v>
      </c>
      <c r="F1091" s="18">
        <f t="shared" si="2"/>
        <v>1.314449655</v>
      </c>
    </row>
    <row r="1092">
      <c r="A1092" s="14">
        <v>1.439</v>
      </c>
      <c r="B1092" s="14">
        <v>0.874</v>
      </c>
      <c r="C1092" s="14">
        <v>0.843</v>
      </c>
      <c r="D1092" s="25">
        <v>1091.0</v>
      </c>
      <c r="E1092" s="26">
        <f t="shared" si="1"/>
        <v>0.9064837905</v>
      </c>
      <c r="F1092" s="18">
        <f t="shared" si="2"/>
        <v>1.319408986</v>
      </c>
    </row>
    <row r="1093">
      <c r="A1093" s="14">
        <v>1.440451145</v>
      </c>
      <c r="B1093" s="14">
        <v>0.874</v>
      </c>
      <c r="C1093" s="14">
        <v>0.843</v>
      </c>
      <c r="D1093" s="25">
        <v>1092.0</v>
      </c>
      <c r="E1093" s="26">
        <f t="shared" si="1"/>
        <v>0.9073150457</v>
      </c>
      <c r="F1093" s="18">
        <f t="shared" si="2"/>
        <v>1.324400981</v>
      </c>
    </row>
    <row r="1094">
      <c r="A1094" s="14">
        <v>1.441</v>
      </c>
      <c r="B1094" s="14">
        <v>0.875</v>
      </c>
      <c r="C1094" s="14">
        <v>0.843423843</v>
      </c>
      <c r="D1094" s="25">
        <v>1093.0</v>
      </c>
      <c r="E1094" s="26">
        <f t="shared" si="1"/>
        <v>0.9081463009</v>
      </c>
      <c r="F1094" s="18">
        <f t="shared" si="2"/>
        <v>1.329426201</v>
      </c>
    </row>
    <row r="1095">
      <c r="A1095" s="14">
        <v>1.441</v>
      </c>
      <c r="B1095" s="14">
        <v>0.875</v>
      </c>
      <c r="C1095" s="14">
        <v>0.843509018</v>
      </c>
      <c r="D1095" s="25">
        <v>1094.0</v>
      </c>
      <c r="E1095" s="26">
        <f t="shared" si="1"/>
        <v>0.9089775561</v>
      </c>
      <c r="F1095" s="18">
        <f t="shared" si="2"/>
        <v>1.334485218</v>
      </c>
    </row>
    <row r="1096">
      <c r="A1096" s="14">
        <v>1.442</v>
      </c>
      <c r="B1096" s="14">
        <v>0.875873327</v>
      </c>
      <c r="C1096" s="14">
        <v>0.844</v>
      </c>
      <c r="D1096" s="25">
        <v>1095.0</v>
      </c>
      <c r="E1096" s="26">
        <f t="shared" si="1"/>
        <v>0.9098088113</v>
      </c>
      <c r="F1096" s="18">
        <f t="shared" si="2"/>
        <v>1.339578623</v>
      </c>
    </row>
    <row r="1097">
      <c r="A1097" s="14">
        <v>1.444923282</v>
      </c>
      <c r="B1097" s="14">
        <v>0.876</v>
      </c>
      <c r="C1097" s="14">
        <v>0.844</v>
      </c>
      <c r="D1097" s="25">
        <v>1096.0</v>
      </c>
      <c r="E1097" s="26">
        <f t="shared" si="1"/>
        <v>0.9106400665</v>
      </c>
      <c r="F1097" s="18">
        <f t="shared" si="2"/>
        <v>1.344707019</v>
      </c>
    </row>
    <row r="1098">
      <c r="A1098" s="14">
        <v>1.444945216</v>
      </c>
      <c r="B1098" s="14">
        <v>0.876</v>
      </c>
      <c r="C1098" s="14">
        <v>0.846</v>
      </c>
      <c r="D1098" s="25">
        <v>1097.0</v>
      </c>
      <c r="E1098" s="26">
        <f t="shared" si="1"/>
        <v>0.9114713217</v>
      </c>
      <c r="F1098" s="18">
        <f t="shared" si="2"/>
        <v>1.349871027</v>
      </c>
    </row>
    <row r="1099">
      <c r="A1099" s="14">
        <v>1.44571197</v>
      </c>
      <c r="B1099" s="14">
        <v>0.877</v>
      </c>
      <c r="C1099" s="14">
        <v>0.846</v>
      </c>
      <c r="D1099" s="25">
        <v>1098.0</v>
      </c>
      <c r="E1099" s="26">
        <f t="shared" si="1"/>
        <v>0.9123025769</v>
      </c>
      <c r="F1099" s="18">
        <f t="shared" si="2"/>
        <v>1.355071285</v>
      </c>
    </row>
    <row r="1100">
      <c r="A1100" s="14">
        <v>1.448</v>
      </c>
      <c r="B1100" s="14">
        <v>0.877</v>
      </c>
      <c r="C1100" s="14">
        <v>0.846</v>
      </c>
      <c r="D1100" s="25">
        <v>1099.0</v>
      </c>
      <c r="E1100" s="26">
        <f t="shared" si="1"/>
        <v>0.9131338321</v>
      </c>
      <c r="F1100" s="18">
        <f t="shared" si="2"/>
        <v>1.360308449</v>
      </c>
    </row>
    <row r="1101">
      <c r="A1101" s="14">
        <v>1.451</v>
      </c>
      <c r="B1101" s="14">
        <v>0.877</v>
      </c>
      <c r="C1101" s="14">
        <v>0.846</v>
      </c>
      <c r="D1101" s="25">
        <v>1100.0</v>
      </c>
      <c r="E1101" s="26">
        <f t="shared" si="1"/>
        <v>0.9139650873</v>
      </c>
      <c r="F1101" s="18">
        <f t="shared" si="2"/>
        <v>1.365583191</v>
      </c>
    </row>
    <row r="1102">
      <c r="A1102" s="14">
        <v>1.452518821</v>
      </c>
      <c r="B1102" s="14">
        <v>0.877</v>
      </c>
      <c r="C1102" s="14">
        <v>0.847</v>
      </c>
      <c r="D1102" s="25">
        <v>1101.0</v>
      </c>
      <c r="E1102" s="26">
        <f t="shared" si="1"/>
        <v>0.9147963425</v>
      </c>
      <c r="F1102" s="18">
        <f t="shared" si="2"/>
        <v>1.370896203</v>
      </c>
    </row>
    <row r="1103">
      <c r="A1103" s="14">
        <v>1.454</v>
      </c>
      <c r="B1103" s="14">
        <v>0.877</v>
      </c>
      <c r="C1103" s="14">
        <v>0.847</v>
      </c>
      <c r="D1103" s="25">
        <v>1102.0</v>
      </c>
      <c r="E1103" s="26">
        <f t="shared" si="1"/>
        <v>0.9156275977</v>
      </c>
      <c r="F1103" s="18">
        <f t="shared" si="2"/>
        <v>1.376248198</v>
      </c>
    </row>
    <row r="1104">
      <c r="A1104" s="14">
        <v>1.454</v>
      </c>
      <c r="B1104" s="14">
        <v>0.87770915</v>
      </c>
      <c r="C1104" s="14">
        <v>0.847964764</v>
      </c>
      <c r="D1104" s="25">
        <v>1103.0</v>
      </c>
      <c r="E1104" s="26">
        <f t="shared" si="1"/>
        <v>0.9164588529</v>
      </c>
      <c r="F1104" s="18">
        <f t="shared" si="2"/>
        <v>1.381639907</v>
      </c>
    </row>
    <row r="1105">
      <c r="A1105" s="14">
        <v>1.455</v>
      </c>
      <c r="B1105" s="14">
        <v>0.878</v>
      </c>
      <c r="C1105" s="14">
        <v>0.848</v>
      </c>
      <c r="D1105" s="25">
        <v>1104.0</v>
      </c>
      <c r="E1105" s="26">
        <f t="shared" si="1"/>
        <v>0.9172901081</v>
      </c>
      <c r="F1105" s="18">
        <f t="shared" si="2"/>
        <v>1.387072083</v>
      </c>
    </row>
    <row r="1106">
      <c r="A1106" s="14">
        <v>1.457</v>
      </c>
      <c r="B1106" s="14">
        <v>0.879</v>
      </c>
      <c r="C1106" s="14">
        <v>0.848</v>
      </c>
      <c r="D1106" s="25">
        <v>1105.0</v>
      </c>
      <c r="E1106" s="26">
        <f t="shared" si="1"/>
        <v>0.9181213633</v>
      </c>
      <c r="F1106" s="18">
        <f t="shared" si="2"/>
        <v>1.392545501</v>
      </c>
    </row>
    <row r="1107">
      <c r="A1107" s="14">
        <v>1.457583666</v>
      </c>
      <c r="B1107" s="14">
        <v>0.88</v>
      </c>
      <c r="C1107" s="14">
        <v>0.849</v>
      </c>
      <c r="D1107" s="25">
        <v>1106.0</v>
      </c>
      <c r="E1107" s="26">
        <f t="shared" si="1"/>
        <v>0.9189526185</v>
      </c>
      <c r="F1107" s="18">
        <f t="shared" si="2"/>
        <v>1.398060957</v>
      </c>
    </row>
    <row r="1108">
      <c r="A1108" s="14">
        <v>1.459</v>
      </c>
      <c r="B1108" s="14">
        <v>0.880366504</v>
      </c>
      <c r="C1108" s="14">
        <v>0.849150956</v>
      </c>
      <c r="D1108" s="25">
        <v>1107.0</v>
      </c>
      <c r="E1108" s="26">
        <f t="shared" si="1"/>
        <v>0.9197838736</v>
      </c>
      <c r="F1108" s="18">
        <f t="shared" si="2"/>
        <v>1.403619274</v>
      </c>
    </row>
    <row r="1109">
      <c r="A1109" s="14">
        <v>1.459</v>
      </c>
      <c r="B1109" s="14">
        <v>0.881444871</v>
      </c>
      <c r="C1109" s="14">
        <v>0.85</v>
      </c>
      <c r="D1109" s="25">
        <v>1108.0</v>
      </c>
      <c r="E1109" s="26">
        <f t="shared" si="1"/>
        <v>0.9206151288</v>
      </c>
      <c r="F1109" s="18">
        <f t="shared" si="2"/>
        <v>1.409221298</v>
      </c>
    </row>
    <row r="1110">
      <c r="A1110" s="14">
        <v>1.459944963</v>
      </c>
      <c r="B1110" s="14">
        <v>0.882</v>
      </c>
      <c r="C1110" s="14">
        <v>0.851336598</v>
      </c>
      <c r="D1110" s="25">
        <v>1109.0</v>
      </c>
      <c r="E1110" s="26">
        <f t="shared" si="1"/>
        <v>0.921446384</v>
      </c>
      <c r="F1110" s="18">
        <f t="shared" si="2"/>
        <v>1.414867899</v>
      </c>
    </row>
    <row r="1111">
      <c r="A1111" s="14">
        <v>1.462</v>
      </c>
      <c r="B1111" s="14">
        <v>0.882</v>
      </c>
      <c r="C1111" s="14">
        <v>0.851449788</v>
      </c>
      <c r="D1111" s="25">
        <v>1110.0</v>
      </c>
      <c r="E1111" s="26">
        <f t="shared" si="1"/>
        <v>0.9222776392</v>
      </c>
      <c r="F1111" s="18">
        <f t="shared" si="2"/>
        <v>1.420559975</v>
      </c>
    </row>
    <row r="1112">
      <c r="A1112" s="14">
        <v>1.462312698</v>
      </c>
      <c r="B1112" s="14">
        <v>0.884</v>
      </c>
      <c r="C1112" s="14">
        <v>0.851588905</v>
      </c>
      <c r="D1112" s="25">
        <v>1111.0</v>
      </c>
      <c r="E1112" s="26">
        <f t="shared" si="1"/>
        <v>0.9231088944</v>
      </c>
      <c r="F1112" s="18">
        <f t="shared" si="2"/>
        <v>1.426298454</v>
      </c>
    </row>
    <row r="1113">
      <c r="A1113" s="14">
        <v>1.463</v>
      </c>
      <c r="B1113" s="14">
        <v>0.885923445</v>
      </c>
      <c r="C1113" s="14">
        <v>0.852</v>
      </c>
      <c r="D1113" s="25">
        <v>1112.0</v>
      </c>
      <c r="E1113" s="26">
        <f t="shared" si="1"/>
        <v>0.9239401496</v>
      </c>
      <c r="F1113" s="18">
        <f t="shared" si="2"/>
        <v>1.432084288</v>
      </c>
    </row>
    <row r="1114">
      <c r="A1114" s="14">
        <v>1.465</v>
      </c>
      <c r="B1114" s="14">
        <v>0.886</v>
      </c>
      <c r="C1114" s="14">
        <v>0.855</v>
      </c>
      <c r="D1114" s="25">
        <v>1113.0</v>
      </c>
      <c r="E1114" s="26">
        <f t="shared" si="1"/>
        <v>0.9247714048</v>
      </c>
      <c r="F1114" s="18">
        <f t="shared" si="2"/>
        <v>1.437918465</v>
      </c>
    </row>
    <row r="1115">
      <c r="A1115" s="14">
        <v>1.465</v>
      </c>
      <c r="B1115" s="14">
        <v>0.886982977</v>
      </c>
      <c r="C1115" s="14">
        <v>0.856</v>
      </c>
      <c r="D1115" s="25">
        <v>1114.0</v>
      </c>
      <c r="E1115" s="26">
        <f t="shared" si="1"/>
        <v>0.92560266</v>
      </c>
      <c r="F1115" s="18">
        <f t="shared" si="2"/>
        <v>1.443801999</v>
      </c>
    </row>
    <row r="1116">
      <c r="A1116" s="14">
        <v>1.465</v>
      </c>
      <c r="B1116" s="14">
        <v>0.887</v>
      </c>
      <c r="C1116" s="14">
        <v>0.856</v>
      </c>
      <c r="D1116" s="25">
        <v>1115.0</v>
      </c>
      <c r="E1116" s="26">
        <f t="shared" si="1"/>
        <v>0.9264339152</v>
      </c>
      <c r="F1116" s="18">
        <f t="shared" si="2"/>
        <v>1.449735941</v>
      </c>
    </row>
    <row r="1117">
      <c r="A1117" s="14">
        <v>1.466</v>
      </c>
      <c r="B1117" s="14">
        <v>0.887</v>
      </c>
      <c r="C1117" s="14">
        <v>0.856271744</v>
      </c>
      <c r="D1117" s="25">
        <v>1116.0</v>
      </c>
      <c r="E1117" s="26">
        <f t="shared" si="1"/>
        <v>0.9272651704</v>
      </c>
      <c r="F1117" s="18">
        <f t="shared" si="2"/>
        <v>1.455721374</v>
      </c>
    </row>
    <row r="1118">
      <c r="A1118" s="14">
        <v>1.468</v>
      </c>
      <c r="B1118" s="14">
        <v>0.888</v>
      </c>
      <c r="C1118" s="14">
        <v>0.856375933</v>
      </c>
      <c r="D1118" s="25">
        <v>1117.0</v>
      </c>
      <c r="E1118" s="26">
        <f t="shared" si="1"/>
        <v>0.9280964256</v>
      </c>
      <c r="F1118" s="18">
        <f t="shared" si="2"/>
        <v>1.461759418</v>
      </c>
    </row>
    <row r="1119">
      <c r="A1119" s="14">
        <v>1.471</v>
      </c>
      <c r="B1119" s="14">
        <v>0.888747811</v>
      </c>
      <c r="C1119" s="14">
        <v>0.857</v>
      </c>
      <c r="D1119" s="25">
        <v>1118.0</v>
      </c>
      <c r="E1119" s="26">
        <f t="shared" si="1"/>
        <v>0.9289276808</v>
      </c>
      <c r="F1119" s="18">
        <f t="shared" si="2"/>
        <v>1.467851231</v>
      </c>
    </row>
    <row r="1120">
      <c r="A1120" s="14">
        <v>1.472</v>
      </c>
      <c r="B1120" s="14">
        <v>0.889534533</v>
      </c>
      <c r="C1120" s="14">
        <v>0.857</v>
      </c>
      <c r="D1120" s="25">
        <v>1119.0</v>
      </c>
      <c r="E1120" s="26">
        <f t="shared" si="1"/>
        <v>0.929758936</v>
      </c>
      <c r="F1120" s="18">
        <f t="shared" si="2"/>
        <v>1.473998008</v>
      </c>
    </row>
    <row r="1121">
      <c r="A1121" s="14">
        <v>1.472520351</v>
      </c>
      <c r="B1121" s="14">
        <v>0.89</v>
      </c>
      <c r="C1121" s="14">
        <v>0.857392073</v>
      </c>
      <c r="D1121" s="25">
        <v>1120.0</v>
      </c>
      <c r="E1121" s="26">
        <f t="shared" si="1"/>
        <v>0.9305901912</v>
      </c>
      <c r="F1121" s="18">
        <f t="shared" si="2"/>
        <v>1.480200987</v>
      </c>
    </row>
    <row r="1122">
      <c r="A1122" s="14">
        <v>1.473516107</v>
      </c>
      <c r="B1122" s="14">
        <v>0.89</v>
      </c>
      <c r="C1122" s="14">
        <v>0.858</v>
      </c>
      <c r="D1122" s="25">
        <v>1121.0</v>
      </c>
      <c r="E1122" s="26">
        <f t="shared" si="1"/>
        <v>0.9314214464</v>
      </c>
      <c r="F1122" s="18">
        <f t="shared" si="2"/>
        <v>1.486461448</v>
      </c>
    </row>
    <row r="1123">
      <c r="A1123" s="14">
        <v>1.474</v>
      </c>
      <c r="B1123" s="14">
        <v>0.891</v>
      </c>
      <c r="C1123" s="14">
        <v>0.85844624</v>
      </c>
      <c r="D1123" s="25">
        <v>1122.0</v>
      </c>
      <c r="E1123" s="26">
        <f t="shared" si="1"/>
        <v>0.9322527016</v>
      </c>
      <c r="F1123" s="18">
        <f t="shared" si="2"/>
        <v>1.492780717</v>
      </c>
    </row>
    <row r="1124">
      <c r="A1124" s="14">
        <v>1.474</v>
      </c>
      <c r="B1124" s="14">
        <v>0.891</v>
      </c>
      <c r="C1124" s="14">
        <v>0.859001756</v>
      </c>
      <c r="D1124" s="25">
        <v>1123.0</v>
      </c>
      <c r="E1124" s="26">
        <f t="shared" si="1"/>
        <v>0.9330839568</v>
      </c>
      <c r="F1124" s="18">
        <f t="shared" si="2"/>
        <v>1.499160166</v>
      </c>
    </row>
    <row r="1125">
      <c r="A1125" s="14">
        <v>1.475</v>
      </c>
      <c r="B1125" s="14">
        <v>0.892</v>
      </c>
      <c r="C1125" s="14">
        <v>0.859931409</v>
      </c>
      <c r="D1125" s="25">
        <v>1124.0</v>
      </c>
      <c r="E1125" s="26">
        <f t="shared" si="1"/>
        <v>0.933915212</v>
      </c>
      <c r="F1125" s="18">
        <f t="shared" si="2"/>
        <v>1.505601218</v>
      </c>
    </row>
    <row r="1126">
      <c r="A1126" s="14">
        <v>1.475</v>
      </c>
      <c r="B1126" s="14">
        <v>0.892395437</v>
      </c>
      <c r="C1126" s="14">
        <v>0.86</v>
      </c>
      <c r="D1126" s="25">
        <v>1125.0</v>
      </c>
      <c r="E1126" s="26">
        <f t="shared" si="1"/>
        <v>0.9347464672</v>
      </c>
      <c r="F1126" s="18">
        <f t="shared" si="2"/>
        <v>1.512105345</v>
      </c>
    </row>
    <row r="1127">
      <c r="A1127" s="14">
        <v>1.4766711</v>
      </c>
      <c r="B1127" s="14">
        <v>0.893</v>
      </c>
      <c r="C1127" s="14">
        <v>0.86</v>
      </c>
      <c r="D1127" s="25">
        <v>1126.0</v>
      </c>
      <c r="E1127" s="26">
        <f t="shared" si="1"/>
        <v>0.9355777224</v>
      </c>
      <c r="F1127" s="18">
        <f t="shared" si="2"/>
        <v>1.518674076</v>
      </c>
    </row>
    <row r="1128">
      <c r="A1128" s="14">
        <v>1.478</v>
      </c>
      <c r="B1128" s="14">
        <v>0.894</v>
      </c>
      <c r="C1128" s="14">
        <v>0.861330688</v>
      </c>
      <c r="D1128" s="25">
        <v>1127.0</v>
      </c>
      <c r="E1128" s="26">
        <f t="shared" si="1"/>
        <v>0.9364089776</v>
      </c>
      <c r="F1128" s="18">
        <f t="shared" si="2"/>
        <v>1.525308997</v>
      </c>
    </row>
    <row r="1129">
      <c r="A1129" s="14">
        <v>1.478162169</v>
      </c>
      <c r="B1129" s="14">
        <v>0.894626856</v>
      </c>
      <c r="C1129" s="14">
        <v>0.861874342</v>
      </c>
      <c r="D1129" s="25">
        <v>1128.0</v>
      </c>
      <c r="E1129" s="26">
        <f t="shared" si="1"/>
        <v>0.9372402328</v>
      </c>
      <c r="F1129" s="18">
        <f t="shared" si="2"/>
        <v>1.532011754</v>
      </c>
    </row>
    <row r="1130">
      <c r="A1130" s="14">
        <v>1.479</v>
      </c>
      <c r="B1130" s="14">
        <v>0.895</v>
      </c>
      <c r="C1130" s="14">
        <v>0.863</v>
      </c>
      <c r="D1130" s="25">
        <v>1129.0</v>
      </c>
      <c r="E1130" s="26">
        <f t="shared" si="1"/>
        <v>0.9380714879</v>
      </c>
      <c r="F1130" s="18">
        <f t="shared" si="2"/>
        <v>1.538784054</v>
      </c>
    </row>
    <row r="1131">
      <c r="A1131" s="14">
        <v>1.481348991</v>
      </c>
      <c r="B1131" s="14">
        <v>0.895</v>
      </c>
      <c r="C1131" s="14">
        <v>0.863511205</v>
      </c>
      <c r="D1131" s="25">
        <v>1130.0</v>
      </c>
      <c r="E1131" s="26">
        <f t="shared" si="1"/>
        <v>0.9389027431</v>
      </c>
      <c r="F1131" s="18">
        <f t="shared" si="2"/>
        <v>1.545627674</v>
      </c>
    </row>
    <row r="1132">
      <c r="A1132" s="14">
        <v>1.483</v>
      </c>
      <c r="B1132" s="14">
        <v>0.895</v>
      </c>
      <c r="C1132" s="14">
        <v>0.86457181</v>
      </c>
      <c r="D1132" s="25">
        <v>1131.0</v>
      </c>
      <c r="E1132" s="26">
        <f t="shared" si="1"/>
        <v>0.9397339983</v>
      </c>
      <c r="F1132" s="18">
        <f t="shared" si="2"/>
        <v>1.552544459</v>
      </c>
    </row>
    <row r="1133">
      <c r="A1133" s="14">
        <v>1.484</v>
      </c>
      <c r="B1133" s="14">
        <v>0.895075202</v>
      </c>
      <c r="C1133" s="14">
        <v>0.866</v>
      </c>
      <c r="D1133" s="25">
        <v>1132.0</v>
      </c>
      <c r="E1133" s="26">
        <f t="shared" si="1"/>
        <v>0.9405652535</v>
      </c>
      <c r="F1133" s="18">
        <f t="shared" si="2"/>
        <v>1.559536329</v>
      </c>
    </row>
    <row r="1134">
      <c r="A1134" s="14">
        <v>1.487</v>
      </c>
      <c r="B1134" s="14">
        <v>0.896</v>
      </c>
      <c r="C1134" s="14">
        <v>0.866</v>
      </c>
      <c r="D1134" s="25">
        <v>1133.0</v>
      </c>
      <c r="E1134" s="26">
        <f t="shared" si="1"/>
        <v>0.9413965087</v>
      </c>
      <c r="F1134" s="18">
        <f t="shared" si="2"/>
        <v>1.566605281</v>
      </c>
    </row>
    <row r="1135">
      <c r="A1135" s="14">
        <v>1.487</v>
      </c>
      <c r="B1135" s="14">
        <v>0.897</v>
      </c>
      <c r="C1135" s="14">
        <v>0.866</v>
      </c>
      <c r="D1135" s="25">
        <v>1134.0</v>
      </c>
      <c r="E1135" s="26">
        <f t="shared" si="1"/>
        <v>0.9422277639</v>
      </c>
      <c r="F1135" s="18">
        <f t="shared" si="2"/>
        <v>1.573753395</v>
      </c>
    </row>
    <row r="1136">
      <c r="A1136" s="14">
        <v>1.488</v>
      </c>
      <c r="B1136" s="14">
        <v>0.897</v>
      </c>
      <c r="C1136" s="14">
        <v>0.867</v>
      </c>
      <c r="D1136" s="25">
        <v>1135.0</v>
      </c>
      <c r="E1136" s="26">
        <f t="shared" si="1"/>
        <v>0.9430590191</v>
      </c>
      <c r="F1136" s="18">
        <f t="shared" si="2"/>
        <v>1.580982837</v>
      </c>
    </row>
    <row r="1137">
      <c r="A1137" s="14">
        <v>1.488</v>
      </c>
      <c r="B1137" s="14">
        <v>0.898517907</v>
      </c>
      <c r="C1137" s="14">
        <v>0.867590249</v>
      </c>
      <c r="D1137" s="25">
        <v>1136.0</v>
      </c>
      <c r="E1137" s="26">
        <f t="shared" si="1"/>
        <v>0.9438902743</v>
      </c>
      <c r="F1137" s="18">
        <f t="shared" si="2"/>
        <v>1.588295867</v>
      </c>
    </row>
    <row r="1138">
      <c r="A1138" s="14">
        <v>1.488411665</v>
      </c>
      <c r="B1138" s="14">
        <v>0.899989486</v>
      </c>
      <c r="C1138" s="14">
        <v>0.868</v>
      </c>
      <c r="D1138" s="25">
        <v>1137.0</v>
      </c>
      <c r="E1138" s="26">
        <f t="shared" si="1"/>
        <v>0.9447215295</v>
      </c>
      <c r="F1138" s="18">
        <f t="shared" si="2"/>
        <v>1.59569484</v>
      </c>
    </row>
    <row r="1139">
      <c r="A1139" s="14">
        <v>1.489</v>
      </c>
      <c r="B1139" s="14">
        <v>0.900589406</v>
      </c>
      <c r="C1139" s="14">
        <v>0.87</v>
      </c>
      <c r="D1139" s="25">
        <v>1138.0</v>
      </c>
      <c r="E1139" s="26">
        <f t="shared" si="1"/>
        <v>0.9455527847</v>
      </c>
      <c r="F1139" s="18">
        <f t="shared" si="2"/>
        <v>1.603182215</v>
      </c>
    </row>
    <row r="1140">
      <c r="A1140" s="14">
        <v>1.493</v>
      </c>
      <c r="B1140" s="14">
        <v>0.90062499</v>
      </c>
      <c r="C1140" s="14">
        <v>0.873404682</v>
      </c>
      <c r="D1140" s="25">
        <v>1139.0</v>
      </c>
      <c r="E1140" s="26">
        <f t="shared" si="1"/>
        <v>0.9463840399</v>
      </c>
      <c r="F1140" s="18">
        <f t="shared" si="2"/>
        <v>1.610760559</v>
      </c>
    </row>
    <row r="1141">
      <c r="A1141" s="14">
        <v>1.493011236</v>
      </c>
      <c r="B1141" s="14">
        <v>0.902</v>
      </c>
      <c r="C1141" s="14">
        <v>0.875</v>
      </c>
      <c r="D1141" s="25">
        <v>1140.0</v>
      </c>
      <c r="E1141" s="26">
        <f t="shared" si="1"/>
        <v>0.9472152951</v>
      </c>
      <c r="F1141" s="18">
        <f t="shared" si="2"/>
        <v>1.618432558</v>
      </c>
    </row>
    <row r="1142">
      <c r="A1142" s="14">
        <v>1.493149161</v>
      </c>
      <c r="B1142" s="14">
        <v>0.904</v>
      </c>
      <c r="C1142" s="14">
        <v>0.875</v>
      </c>
      <c r="D1142" s="25">
        <v>1141.0</v>
      </c>
      <c r="E1142" s="26">
        <f t="shared" si="1"/>
        <v>0.9480465503</v>
      </c>
      <c r="F1142" s="18">
        <f t="shared" si="2"/>
        <v>1.626201018</v>
      </c>
    </row>
    <row r="1143">
      <c r="A1143" s="14">
        <v>1.49646008</v>
      </c>
      <c r="B1143" s="14">
        <v>0.905063033</v>
      </c>
      <c r="C1143" s="14">
        <v>0.876</v>
      </c>
      <c r="D1143" s="25">
        <v>1142.0</v>
      </c>
      <c r="E1143" s="26">
        <f t="shared" si="1"/>
        <v>0.9488778055</v>
      </c>
      <c r="F1143" s="18">
        <f t="shared" si="2"/>
        <v>1.634068875</v>
      </c>
    </row>
    <row r="1144">
      <c r="A1144" s="14">
        <v>1.498</v>
      </c>
      <c r="B1144" s="14">
        <v>0.90563643</v>
      </c>
      <c r="C1144" s="14">
        <v>0.876</v>
      </c>
      <c r="D1144" s="25">
        <v>1143.0</v>
      </c>
      <c r="E1144" s="26">
        <f t="shared" si="1"/>
        <v>0.9497090607</v>
      </c>
      <c r="F1144" s="18">
        <f t="shared" si="2"/>
        <v>1.642039207</v>
      </c>
    </row>
    <row r="1145">
      <c r="A1145" s="14">
        <v>1.501</v>
      </c>
      <c r="B1145" s="14">
        <v>0.905855775</v>
      </c>
      <c r="C1145" s="14">
        <v>0.876</v>
      </c>
      <c r="D1145" s="25">
        <v>1144.0</v>
      </c>
      <c r="E1145" s="26">
        <f t="shared" si="1"/>
        <v>0.9505403159</v>
      </c>
      <c r="F1145" s="18">
        <f t="shared" si="2"/>
        <v>1.650115238</v>
      </c>
    </row>
    <row r="1146">
      <c r="A1146" s="14">
        <v>1.501</v>
      </c>
      <c r="B1146" s="14">
        <v>0.906</v>
      </c>
      <c r="C1146" s="14">
        <v>0.876296401</v>
      </c>
      <c r="D1146" s="25">
        <v>1145.0</v>
      </c>
      <c r="E1146" s="26">
        <f t="shared" si="1"/>
        <v>0.9513715711</v>
      </c>
      <c r="F1146" s="18">
        <f t="shared" si="2"/>
        <v>1.658300351</v>
      </c>
    </row>
    <row r="1147">
      <c r="A1147" s="14">
        <v>1.504</v>
      </c>
      <c r="B1147" s="14">
        <v>0.907</v>
      </c>
      <c r="C1147" s="14">
        <v>0.878</v>
      </c>
      <c r="D1147" s="25">
        <v>1146.0</v>
      </c>
      <c r="E1147" s="26">
        <f t="shared" si="1"/>
        <v>0.9522028263</v>
      </c>
      <c r="F1147" s="18">
        <f t="shared" si="2"/>
        <v>1.666598096</v>
      </c>
    </row>
    <row r="1148">
      <c r="A1148" s="14">
        <v>1.504</v>
      </c>
      <c r="B1148" s="14">
        <v>0.908</v>
      </c>
      <c r="C1148" s="14">
        <v>0.878</v>
      </c>
      <c r="D1148" s="25">
        <v>1147.0</v>
      </c>
      <c r="E1148" s="26">
        <f t="shared" si="1"/>
        <v>0.9530340815</v>
      </c>
      <c r="F1148" s="18">
        <f t="shared" si="2"/>
        <v>1.675012203</v>
      </c>
    </row>
    <row r="1149">
      <c r="A1149" s="14">
        <v>1.504</v>
      </c>
      <c r="B1149" s="14">
        <v>0.908147573</v>
      </c>
      <c r="C1149" s="14">
        <v>0.878</v>
      </c>
      <c r="D1149" s="25">
        <v>1148.0</v>
      </c>
      <c r="E1149" s="26">
        <f t="shared" si="1"/>
        <v>0.9538653367</v>
      </c>
      <c r="F1149" s="18">
        <f t="shared" si="2"/>
        <v>1.683546597</v>
      </c>
    </row>
    <row r="1150">
      <c r="A1150" s="14">
        <v>1.505</v>
      </c>
      <c r="B1150" s="14">
        <v>0.908547819</v>
      </c>
      <c r="C1150" s="14">
        <v>0.878</v>
      </c>
      <c r="D1150" s="25">
        <v>1149.0</v>
      </c>
      <c r="E1150" s="26">
        <f t="shared" si="1"/>
        <v>0.9546965919</v>
      </c>
      <c r="F1150" s="18">
        <f t="shared" si="2"/>
        <v>1.692205405</v>
      </c>
    </row>
    <row r="1151">
      <c r="A1151" s="14">
        <v>1.505059242</v>
      </c>
      <c r="B1151" s="14">
        <v>0.909</v>
      </c>
      <c r="C1151" s="14">
        <v>0.881</v>
      </c>
      <c r="D1151" s="25">
        <v>1150.0</v>
      </c>
      <c r="E1151" s="26">
        <f t="shared" si="1"/>
        <v>0.955527847</v>
      </c>
      <c r="F1151" s="18">
        <f t="shared" si="2"/>
        <v>1.700992977</v>
      </c>
    </row>
    <row r="1152">
      <c r="A1152" s="14">
        <v>1.506</v>
      </c>
      <c r="B1152" s="14">
        <v>0.913</v>
      </c>
      <c r="C1152" s="14">
        <v>0.882</v>
      </c>
      <c r="D1152" s="25">
        <v>1151.0</v>
      </c>
      <c r="E1152" s="26">
        <f t="shared" si="1"/>
        <v>0.9563591022</v>
      </c>
      <c r="F1152" s="18">
        <f t="shared" si="2"/>
        <v>1.709913901</v>
      </c>
    </row>
    <row r="1153">
      <c r="A1153" s="14">
        <v>1.50728488</v>
      </c>
      <c r="B1153" s="14">
        <v>0.913</v>
      </c>
      <c r="C1153" s="14">
        <v>0.883691847</v>
      </c>
      <c r="D1153" s="25">
        <v>1152.0</v>
      </c>
      <c r="E1153" s="26">
        <f t="shared" si="1"/>
        <v>0.9571903574</v>
      </c>
      <c r="F1153" s="18">
        <f t="shared" si="2"/>
        <v>1.718973018</v>
      </c>
    </row>
    <row r="1154">
      <c r="A1154" s="14">
        <v>1.508</v>
      </c>
      <c r="B1154" s="14">
        <v>0.914</v>
      </c>
      <c r="C1154" s="14">
        <v>0.884</v>
      </c>
      <c r="D1154" s="25">
        <v>1153.0</v>
      </c>
      <c r="E1154" s="26">
        <f t="shared" si="1"/>
        <v>0.9580216126</v>
      </c>
      <c r="F1154" s="18">
        <f t="shared" si="2"/>
        <v>1.728175445</v>
      </c>
    </row>
    <row r="1155">
      <c r="A1155" s="14">
        <v>1.510041952</v>
      </c>
      <c r="B1155" s="14">
        <v>0.915</v>
      </c>
      <c r="C1155" s="14">
        <v>0.886272311</v>
      </c>
      <c r="D1155" s="25">
        <v>1154.0</v>
      </c>
      <c r="E1155" s="26">
        <f t="shared" si="1"/>
        <v>0.9588528678</v>
      </c>
      <c r="F1155" s="18">
        <f t="shared" si="2"/>
        <v>1.737526594</v>
      </c>
    </row>
    <row r="1156">
      <c r="A1156" s="14">
        <v>1.513</v>
      </c>
      <c r="B1156" s="14">
        <v>0.915</v>
      </c>
      <c r="C1156" s="14">
        <v>0.887</v>
      </c>
      <c r="D1156" s="25">
        <v>1155.0</v>
      </c>
      <c r="E1156" s="26">
        <f t="shared" si="1"/>
        <v>0.959684123</v>
      </c>
      <c r="F1156" s="18">
        <f t="shared" si="2"/>
        <v>1.747032195</v>
      </c>
    </row>
    <row r="1157">
      <c r="A1157" s="14">
        <v>1.515</v>
      </c>
      <c r="B1157" s="14">
        <v>0.915431738</v>
      </c>
      <c r="C1157" s="14">
        <v>0.888</v>
      </c>
      <c r="D1157" s="25">
        <v>1156.0</v>
      </c>
      <c r="E1157" s="26">
        <f t="shared" si="1"/>
        <v>0.9605153782</v>
      </c>
      <c r="F1157" s="18">
        <f t="shared" si="2"/>
        <v>1.756698325</v>
      </c>
    </row>
    <row r="1158">
      <c r="A1158" s="14">
        <v>1.515</v>
      </c>
      <c r="B1158" s="14">
        <v>0.915463448</v>
      </c>
      <c r="C1158" s="14">
        <v>0.888890028</v>
      </c>
      <c r="D1158" s="25">
        <v>1157.0</v>
      </c>
      <c r="E1158" s="26">
        <f t="shared" si="1"/>
        <v>0.9613466334</v>
      </c>
      <c r="F1158" s="18">
        <f t="shared" si="2"/>
        <v>1.766531433</v>
      </c>
    </row>
    <row r="1159">
      <c r="A1159" s="14">
        <v>1.516</v>
      </c>
      <c r="B1159" s="14">
        <v>0.917</v>
      </c>
      <c r="C1159" s="14">
        <v>0.891</v>
      </c>
      <c r="D1159" s="25">
        <v>1158.0</v>
      </c>
      <c r="E1159" s="26">
        <f t="shared" si="1"/>
        <v>0.9621778886</v>
      </c>
      <c r="F1159" s="18">
        <f t="shared" si="2"/>
        <v>1.776538376</v>
      </c>
    </row>
    <row r="1160">
      <c r="A1160" s="14">
        <v>1.516911745</v>
      </c>
      <c r="B1160" s="14">
        <v>0.918</v>
      </c>
      <c r="C1160" s="14">
        <v>0.891</v>
      </c>
      <c r="D1160" s="25">
        <v>1159.0</v>
      </c>
      <c r="E1160" s="26">
        <f t="shared" si="1"/>
        <v>0.9630091438</v>
      </c>
      <c r="F1160" s="18">
        <f t="shared" si="2"/>
        <v>1.786726449</v>
      </c>
    </row>
    <row r="1161">
      <c r="A1161" s="14">
        <v>1.517</v>
      </c>
      <c r="B1161" s="14">
        <v>0.919</v>
      </c>
      <c r="C1161" s="14">
        <v>0.891806662</v>
      </c>
      <c r="D1161" s="25">
        <v>1160.0</v>
      </c>
      <c r="E1161" s="26">
        <f t="shared" si="1"/>
        <v>0.963840399</v>
      </c>
      <c r="F1161" s="18">
        <f t="shared" si="2"/>
        <v>1.797103427</v>
      </c>
    </row>
    <row r="1162">
      <c r="A1162" s="14">
        <v>1.52</v>
      </c>
      <c r="B1162" s="14">
        <v>0.919</v>
      </c>
      <c r="C1162" s="14">
        <v>0.892</v>
      </c>
      <c r="D1162" s="25">
        <v>1161.0</v>
      </c>
      <c r="E1162" s="26">
        <f t="shared" si="1"/>
        <v>0.9646716542</v>
      </c>
      <c r="F1162" s="18">
        <f t="shared" si="2"/>
        <v>1.807677609</v>
      </c>
    </row>
    <row r="1163">
      <c r="A1163" s="14">
        <v>1.52</v>
      </c>
      <c r="B1163" s="14">
        <v>0.921336651</v>
      </c>
      <c r="C1163" s="14">
        <v>0.892629504</v>
      </c>
      <c r="D1163" s="25">
        <v>1162.0</v>
      </c>
      <c r="E1163" s="26">
        <f t="shared" si="1"/>
        <v>0.9655029094</v>
      </c>
      <c r="F1163" s="18">
        <f t="shared" si="2"/>
        <v>1.818457865</v>
      </c>
    </row>
    <row r="1164">
      <c r="A1164" s="14">
        <v>1.522</v>
      </c>
      <c r="B1164" s="14">
        <v>0.924911439</v>
      </c>
      <c r="C1164" s="14">
        <v>0.892916501</v>
      </c>
      <c r="D1164" s="25">
        <v>1163.0</v>
      </c>
      <c r="E1164" s="26">
        <f t="shared" si="1"/>
        <v>0.9663341646</v>
      </c>
      <c r="F1164" s="18">
        <f t="shared" si="2"/>
        <v>1.82945369</v>
      </c>
    </row>
    <row r="1165">
      <c r="A1165" s="14">
        <v>1.522</v>
      </c>
      <c r="B1165" s="14">
        <v>0.925</v>
      </c>
      <c r="C1165" s="14">
        <v>0.893714964</v>
      </c>
      <c r="D1165" s="25">
        <v>1164.0</v>
      </c>
      <c r="E1165" s="26">
        <f t="shared" si="1"/>
        <v>0.9671654198</v>
      </c>
      <c r="F1165" s="18">
        <f t="shared" si="2"/>
        <v>1.840675267</v>
      </c>
    </row>
    <row r="1166">
      <c r="A1166" s="14">
        <v>1.523</v>
      </c>
      <c r="B1166" s="14">
        <v>0.926645339</v>
      </c>
      <c r="C1166" s="14">
        <v>0.895</v>
      </c>
      <c r="D1166" s="25">
        <v>1165.0</v>
      </c>
      <c r="E1166" s="26">
        <f t="shared" si="1"/>
        <v>0.967996675</v>
      </c>
      <c r="F1166" s="18">
        <f t="shared" si="2"/>
        <v>1.852133534</v>
      </c>
    </row>
    <row r="1167">
      <c r="A1167" s="14">
        <v>1.525</v>
      </c>
      <c r="B1167" s="14">
        <v>0.927</v>
      </c>
      <c r="C1167" s="14">
        <v>0.896303713</v>
      </c>
      <c r="D1167" s="25">
        <v>1166.0</v>
      </c>
      <c r="E1167" s="26">
        <f t="shared" si="1"/>
        <v>0.9688279302</v>
      </c>
      <c r="F1167" s="18">
        <f t="shared" si="2"/>
        <v>1.863840262</v>
      </c>
    </row>
    <row r="1168">
      <c r="A1168" s="14">
        <v>1.526</v>
      </c>
      <c r="B1168" s="14">
        <v>0.927</v>
      </c>
      <c r="C1168" s="14">
        <v>0.898</v>
      </c>
      <c r="D1168" s="25">
        <v>1167.0</v>
      </c>
      <c r="E1168" s="26">
        <f t="shared" si="1"/>
        <v>0.9696591854</v>
      </c>
      <c r="F1168" s="18">
        <f t="shared" si="2"/>
        <v>1.875808142</v>
      </c>
    </row>
    <row r="1169">
      <c r="A1169" s="14">
        <v>1.527</v>
      </c>
      <c r="B1169" s="14">
        <v>0.929</v>
      </c>
      <c r="C1169" s="14">
        <v>0.898</v>
      </c>
      <c r="D1169" s="25">
        <v>1168.0</v>
      </c>
      <c r="E1169" s="26">
        <f t="shared" si="1"/>
        <v>0.9704904406</v>
      </c>
      <c r="F1169" s="18">
        <f t="shared" si="2"/>
        <v>1.888050888</v>
      </c>
    </row>
    <row r="1170">
      <c r="A1170" s="14">
        <v>1.528</v>
      </c>
      <c r="B1170" s="14">
        <v>0.929</v>
      </c>
      <c r="C1170" s="14">
        <v>0.901</v>
      </c>
      <c r="D1170" s="25">
        <v>1169.0</v>
      </c>
      <c r="E1170" s="26">
        <f t="shared" si="1"/>
        <v>0.9713216958</v>
      </c>
      <c r="F1170" s="18">
        <f t="shared" si="2"/>
        <v>1.900583345</v>
      </c>
    </row>
    <row r="1171">
      <c r="A1171" s="14">
        <v>1.529</v>
      </c>
      <c r="B1171" s="14">
        <v>0.932</v>
      </c>
      <c r="C1171" s="14">
        <v>0.901</v>
      </c>
      <c r="D1171" s="25">
        <v>1170.0</v>
      </c>
      <c r="E1171" s="26">
        <f t="shared" si="1"/>
        <v>0.972152951</v>
      </c>
      <c r="F1171" s="18">
        <f t="shared" si="2"/>
        <v>1.913421625</v>
      </c>
    </row>
    <row r="1172">
      <c r="A1172" s="14">
        <v>1.531</v>
      </c>
      <c r="B1172" s="14">
        <v>0.933913231</v>
      </c>
      <c r="C1172" s="14">
        <v>0.902</v>
      </c>
      <c r="D1172" s="25">
        <v>1171.0</v>
      </c>
      <c r="E1172" s="26">
        <f t="shared" si="1"/>
        <v>0.9729842062</v>
      </c>
      <c r="F1172" s="18">
        <f t="shared" si="2"/>
        <v>1.926583251</v>
      </c>
    </row>
    <row r="1173">
      <c r="A1173" s="14">
        <v>1.532</v>
      </c>
      <c r="B1173" s="14">
        <v>0.934</v>
      </c>
      <c r="C1173" s="14">
        <v>0.902</v>
      </c>
      <c r="D1173" s="25">
        <v>1172.0</v>
      </c>
      <c r="E1173" s="26">
        <f t="shared" si="1"/>
        <v>0.9738154613</v>
      </c>
      <c r="F1173" s="18">
        <f t="shared" si="2"/>
        <v>1.940087334</v>
      </c>
    </row>
    <row r="1174">
      <c r="A1174" s="14">
        <v>1.532</v>
      </c>
      <c r="B1174" s="14">
        <v>0.934</v>
      </c>
      <c r="C1174" s="14">
        <v>0.90225625</v>
      </c>
      <c r="D1174" s="25">
        <v>1173.0</v>
      </c>
      <c r="E1174" s="26">
        <f t="shared" si="1"/>
        <v>0.9746467165</v>
      </c>
      <c r="F1174" s="18">
        <f t="shared" si="2"/>
        <v>1.953954768</v>
      </c>
    </row>
    <row r="1175">
      <c r="A1175" s="14">
        <v>1.532090902</v>
      </c>
      <c r="B1175" s="14">
        <v>0.934738934</v>
      </c>
      <c r="C1175" s="14">
        <v>0.905</v>
      </c>
      <c r="D1175" s="25">
        <v>1174.0</v>
      </c>
      <c r="E1175" s="26">
        <f t="shared" si="1"/>
        <v>0.9754779717</v>
      </c>
      <c r="F1175" s="18">
        <f t="shared" si="2"/>
        <v>1.968208466</v>
      </c>
    </row>
    <row r="1176">
      <c r="A1176" s="14">
        <v>1.533</v>
      </c>
      <c r="B1176" s="14">
        <v>0.936</v>
      </c>
      <c r="C1176" s="14">
        <v>0.907</v>
      </c>
      <c r="D1176" s="25">
        <v>1175.0</v>
      </c>
      <c r="E1176" s="26">
        <f t="shared" si="1"/>
        <v>0.9763092269</v>
      </c>
      <c r="F1176" s="18">
        <f t="shared" si="2"/>
        <v>1.982873638</v>
      </c>
    </row>
    <row r="1177">
      <c r="A1177" s="14">
        <v>1.53352356</v>
      </c>
      <c r="B1177" s="14">
        <v>0.936142623</v>
      </c>
      <c r="C1177" s="14">
        <v>0.907</v>
      </c>
      <c r="D1177" s="25">
        <v>1176.0</v>
      </c>
      <c r="E1177" s="26">
        <f t="shared" si="1"/>
        <v>0.9771404821</v>
      </c>
      <c r="F1177" s="18">
        <f t="shared" si="2"/>
        <v>1.997978089</v>
      </c>
    </row>
    <row r="1178">
      <c r="A1178" s="14">
        <v>1.537</v>
      </c>
      <c r="B1178" s="14">
        <v>0.936217487</v>
      </c>
      <c r="C1178" s="14">
        <v>0.91</v>
      </c>
      <c r="D1178" s="25">
        <v>1177.0</v>
      </c>
      <c r="E1178" s="26">
        <f t="shared" si="1"/>
        <v>0.9779717373</v>
      </c>
      <c r="F1178" s="18">
        <f t="shared" si="2"/>
        <v>2.013552618</v>
      </c>
    </row>
    <row r="1179">
      <c r="A1179" s="14">
        <v>1.538</v>
      </c>
      <c r="B1179" s="14">
        <v>0.938</v>
      </c>
      <c r="C1179" s="14">
        <v>0.911</v>
      </c>
      <c r="D1179" s="25">
        <v>1178.0</v>
      </c>
      <c r="E1179" s="26">
        <f t="shared" si="1"/>
        <v>0.9788029925</v>
      </c>
      <c r="F1179" s="18">
        <f t="shared" si="2"/>
        <v>2.029631455</v>
      </c>
    </row>
    <row r="1180">
      <c r="A1180" s="14">
        <v>1.538</v>
      </c>
      <c r="B1180" s="14">
        <v>0.939</v>
      </c>
      <c r="C1180" s="14">
        <v>0.911</v>
      </c>
      <c r="D1180" s="25">
        <v>1179.0</v>
      </c>
      <c r="E1180" s="26">
        <f t="shared" si="1"/>
        <v>0.9796342477</v>
      </c>
      <c r="F1180" s="18">
        <f t="shared" si="2"/>
        <v>2.046252802</v>
      </c>
    </row>
    <row r="1181">
      <c r="A1181" s="14">
        <v>1.538</v>
      </c>
      <c r="B1181" s="14">
        <v>0.939144194</v>
      </c>
      <c r="C1181" s="14">
        <v>0.911</v>
      </c>
      <c r="D1181" s="25">
        <v>1180.0</v>
      </c>
      <c r="E1181" s="26">
        <f t="shared" si="1"/>
        <v>0.9804655029</v>
      </c>
      <c r="F1181" s="18">
        <f t="shared" si="2"/>
        <v>2.063459474</v>
      </c>
    </row>
    <row r="1182">
      <c r="A1182" s="14">
        <v>1.540246725</v>
      </c>
      <c r="B1182" s="14">
        <v>0.939592957</v>
      </c>
      <c r="C1182" s="14">
        <v>0.912230611</v>
      </c>
      <c r="D1182" s="25">
        <v>1181.0</v>
      </c>
      <c r="E1182" s="26">
        <f t="shared" si="1"/>
        <v>0.9812967581</v>
      </c>
      <c r="F1182" s="18">
        <f t="shared" si="2"/>
        <v>2.081299685</v>
      </c>
    </row>
    <row r="1183">
      <c r="A1183" s="14">
        <v>1.548</v>
      </c>
      <c r="B1183" s="14">
        <v>0.94</v>
      </c>
      <c r="C1183" s="14">
        <v>0.913314283</v>
      </c>
      <c r="D1183" s="25">
        <v>1182.0</v>
      </c>
      <c r="E1183" s="26">
        <f t="shared" si="1"/>
        <v>0.9821280133</v>
      </c>
      <c r="F1183" s="18">
        <f t="shared" si="2"/>
        <v>2.099828007</v>
      </c>
    </row>
    <row r="1184">
      <c r="A1184" s="14">
        <v>1.548195124</v>
      </c>
      <c r="B1184" s="14">
        <v>0.941345513</v>
      </c>
      <c r="C1184" s="14">
        <v>0.915</v>
      </c>
      <c r="D1184" s="25">
        <v>1183.0</v>
      </c>
      <c r="E1184" s="26">
        <f t="shared" si="1"/>
        <v>0.9829592685</v>
      </c>
      <c r="F1184" s="18">
        <f t="shared" si="2"/>
        <v>2.119106551</v>
      </c>
    </row>
    <row r="1185">
      <c r="A1185" s="14">
        <v>1.54896915</v>
      </c>
      <c r="B1185" s="14">
        <v>0.942</v>
      </c>
      <c r="C1185" s="14">
        <v>0.916495264</v>
      </c>
      <c r="D1185" s="25">
        <v>1184.0</v>
      </c>
      <c r="E1185" s="26">
        <f t="shared" si="1"/>
        <v>0.9837905237</v>
      </c>
      <c r="F1185" s="18">
        <f t="shared" si="2"/>
        <v>2.139206441</v>
      </c>
    </row>
    <row r="1186">
      <c r="A1186" s="14">
        <v>1.549</v>
      </c>
      <c r="B1186" s="14">
        <v>0.944</v>
      </c>
      <c r="C1186" s="14">
        <v>0.917</v>
      </c>
      <c r="D1186" s="25">
        <v>1185.0</v>
      </c>
      <c r="E1186" s="26">
        <f t="shared" si="1"/>
        <v>0.9846217789</v>
      </c>
      <c r="F1186" s="18">
        <f t="shared" si="2"/>
        <v>2.160209664</v>
      </c>
    </row>
    <row r="1187">
      <c r="A1187" s="14">
        <v>1.551121593</v>
      </c>
      <c r="B1187" s="14">
        <v>0.945</v>
      </c>
      <c r="C1187" s="14">
        <v>0.918</v>
      </c>
      <c r="D1187" s="25">
        <v>1186.0</v>
      </c>
      <c r="E1187" s="26">
        <f t="shared" si="1"/>
        <v>0.9854530341</v>
      </c>
      <c r="F1187" s="18">
        <f t="shared" si="2"/>
        <v>2.182211432</v>
      </c>
    </row>
    <row r="1188">
      <c r="A1188" s="14">
        <v>1.553</v>
      </c>
      <c r="B1188" s="14">
        <v>0.946</v>
      </c>
      <c r="C1188" s="14">
        <v>0.918</v>
      </c>
      <c r="D1188" s="25">
        <v>1187.0</v>
      </c>
      <c r="E1188" s="26">
        <f t="shared" si="1"/>
        <v>0.9862842893</v>
      </c>
      <c r="F1188" s="18">
        <f t="shared" si="2"/>
        <v>2.20532322</v>
      </c>
    </row>
    <row r="1189">
      <c r="A1189" s="14">
        <v>1.557</v>
      </c>
      <c r="B1189" s="14">
        <v>0.947</v>
      </c>
      <c r="C1189" s="14">
        <v>0.918096125</v>
      </c>
      <c r="D1189" s="25">
        <v>1188.0</v>
      </c>
      <c r="E1189" s="26">
        <f t="shared" si="1"/>
        <v>0.9871155445</v>
      </c>
      <c r="F1189" s="18">
        <f t="shared" si="2"/>
        <v>2.22967674</v>
      </c>
    </row>
    <row r="1190">
      <c r="A1190" s="14">
        <v>1.558231115</v>
      </c>
      <c r="B1190" s="14">
        <v>0.948</v>
      </c>
      <c r="C1190" s="14">
        <v>0.920636714</v>
      </c>
      <c r="D1190" s="25">
        <v>1189.0</v>
      </c>
      <c r="E1190" s="26">
        <f t="shared" si="1"/>
        <v>0.9879467997</v>
      </c>
      <c r="F1190" s="18">
        <f t="shared" si="2"/>
        <v>2.255429214</v>
      </c>
    </row>
    <row r="1191">
      <c r="A1191" s="14">
        <v>1.559</v>
      </c>
      <c r="B1191" s="14">
        <v>0.948891878</v>
      </c>
      <c r="C1191" s="14">
        <v>0.922328293</v>
      </c>
      <c r="D1191" s="25">
        <v>1190.0</v>
      </c>
      <c r="E1191" s="26">
        <f t="shared" si="1"/>
        <v>0.9887780549</v>
      </c>
      <c r="F1191" s="18">
        <f t="shared" si="2"/>
        <v>2.282770504</v>
      </c>
    </row>
    <row r="1192">
      <c r="A1192" s="14">
        <v>1.573</v>
      </c>
      <c r="B1192" s="14">
        <v>0.949</v>
      </c>
      <c r="C1192" s="14">
        <v>0.924</v>
      </c>
      <c r="D1192" s="25">
        <v>1191.0</v>
      </c>
      <c r="E1192" s="26">
        <f t="shared" si="1"/>
        <v>0.9896093101</v>
      </c>
      <c r="F1192" s="18">
        <f t="shared" si="2"/>
        <v>2.311932926</v>
      </c>
    </row>
    <row r="1193">
      <c r="A1193" s="14">
        <v>1.573</v>
      </c>
      <c r="B1193" s="14">
        <v>0.949</v>
      </c>
      <c r="C1193" s="14">
        <v>0.924</v>
      </c>
      <c r="D1193" s="25">
        <v>1192.0</v>
      </c>
      <c r="E1193" s="26">
        <f t="shared" si="1"/>
        <v>0.9904405653</v>
      </c>
      <c r="F1193" s="18">
        <f t="shared" si="2"/>
        <v>2.343205106</v>
      </c>
    </row>
    <row r="1194">
      <c r="A1194" s="14">
        <v>1.582</v>
      </c>
      <c r="B1194" s="14">
        <v>0.949172199</v>
      </c>
      <c r="C1194" s="14">
        <v>0.925</v>
      </c>
      <c r="D1194" s="25">
        <v>1193.0</v>
      </c>
      <c r="E1194" s="26">
        <f t="shared" si="1"/>
        <v>0.9912718204</v>
      </c>
      <c r="F1194" s="18">
        <f t="shared" si="2"/>
        <v>2.37695201</v>
      </c>
    </row>
    <row r="1195">
      <c r="A1195" s="14">
        <v>1.582</v>
      </c>
      <c r="B1195" s="14">
        <v>0.951444268</v>
      </c>
      <c r="C1195" s="14">
        <v>0.929</v>
      </c>
      <c r="D1195" s="25">
        <v>1194.0</v>
      </c>
      <c r="E1195" s="26">
        <f t="shared" si="1"/>
        <v>0.9921030756</v>
      </c>
      <c r="F1195" s="18">
        <f t="shared" si="2"/>
        <v>2.413644851</v>
      </c>
    </row>
    <row r="1196">
      <c r="A1196" s="14">
        <v>1.583</v>
      </c>
      <c r="B1196" s="14">
        <v>0.955</v>
      </c>
      <c r="C1196" s="14">
        <v>0.931</v>
      </c>
      <c r="D1196" s="25">
        <v>1195.0</v>
      </c>
      <c r="E1196" s="26">
        <f t="shared" si="1"/>
        <v>0.9929343308</v>
      </c>
      <c r="F1196" s="18">
        <f t="shared" si="2"/>
        <v>2.453907358</v>
      </c>
    </row>
    <row r="1197">
      <c r="A1197" s="14">
        <v>1.584</v>
      </c>
      <c r="B1197" s="14">
        <v>0.955750287</v>
      </c>
      <c r="C1197" s="14">
        <v>0.932</v>
      </c>
      <c r="D1197" s="25">
        <v>1196.0</v>
      </c>
      <c r="E1197" s="26">
        <f t="shared" si="1"/>
        <v>0.993765586</v>
      </c>
      <c r="F1197" s="18">
        <f t="shared" si="2"/>
        <v>2.498590564</v>
      </c>
    </row>
    <row r="1198">
      <c r="A1198" s="14">
        <v>1.587</v>
      </c>
      <c r="B1198" s="14">
        <v>0.958</v>
      </c>
      <c r="C1198" s="14">
        <v>0.933686554</v>
      </c>
      <c r="D1198" s="25">
        <v>1197.0</v>
      </c>
      <c r="E1198" s="26">
        <f t="shared" si="1"/>
        <v>0.9945968412</v>
      </c>
      <c r="F1198" s="18">
        <f t="shared" si="2"/>
        <v>2.548900346</v>
      </c>
    </row>
    <row r="1199">
      <c r="A1199" s="14">
        <v>1.59</v>
      </c>
      <c r="B1199" s="14">
        <v>0.959</v>
      </c>
      <c r="C1199" s="14">
        <v>0.933769107</v>
      </c>
      <c r="D1199" s="25">
        <v>1198.0</v>
      </c>
      <c r="E1199" s="26">
        <f t="shared" si="1"/>
        <v>0.9954280964</v>
      </c>
      <c r="F1199" s="18">
        <f t="shared" si="2"/>
        <v>2.606630135</v>
      </c>
    </row>
    <row r="1200">
      <c r="A1200" s="14">
        <v>1.592</v>
      </c>
      <c r="B1200" s="14">
        <v>0.959704638</v>
      </c>
      <c r="C1200" s="14">
        <v>0.934300244</v>
      </c>
      <c r="D1200" s="25">
        <v>1199.0</v>
      </c>
      <c r="E1200" s="26">
        <f t="shared" si="1"/>
        <v>0.9962593516</v>
      </c>
      <c r="F1200" s="18">
        <f t="shared" si="2"/>
        <v>2.674624614</v>
      </c>
    </row>
    <row r="1201">
      <c r="A1201" s="14">
        <v>1.601</v>
      </c>
      <c r="B1201" s="14">
        <v>0.96</v>
      </c>
      <c r="C1201" s="14">
        <v>0.935585141</v>
      </c>
      <c r="D1201" s="25">
        <v>1200.0</v>
      </c>
      <c r="E1201" s="26">
        <f t="shared" si="1"/>
        <v>0.9970906068</v>
      </c>
      <c r="F1201" s="18">
        <f t="shared" si="2"/>
        <v>2.757822056</v>
      </c>
    </row>
    <row r="1202">
      <c r="A1202" s="14">
        <v>1.610574007</v>
      </c>
      <c r="B1202" s="14">
        <v>0.961</v>
      </c>
      <c r="C1202" s="14">
        <v>0.938</v>
      </c>
      <c r="D1202" s="25">
        <v>1201.0</v>
      </c>
      <c r="E1202" s="26">
        <f t="shared" si="1"/>
        <v>0.997921862</v>
      </c>
      <c r="F1202" s="18">
        <f t="shared" si="2"/>
        <v>2.866050761</v>
      </c>
    </row>
    <row r="1203">
      <c r="A1203" s="14">
        <v>1.624</v>
      </c>
      <c r="B1203" s="14">
        <v>0.97</v>
      </c>
      <c r="C1203" s="14">
        <v>0.939</v>
      </c>
      <c r="D1203" s="25">
        <v>1202.0</v>
      </c>
      <c r="E1203" s="26">
        <f t="shared" si="1"/>
        <v>0.9987531172</v>
      </c>
      <c r="F1203" s="18">
        <f t="shared" si="2"/>
        <v>3.02409689</v>
      </c>
    </row>
    <row r="1204">
      <c r="A1204" s="14">
        <v>1.644</v>
      </c>
      <c r="B1204" s="14">
        <v>0.974998116</v>
      </c>
      <c r="C1204" s="14"/>
      <c r="D1204" s="25">
        <v>1203.0</v>
      </c>
      <c r="E1204" s="26">
        <f t="shared" si="1"/>
        <v>0.9995843724</v>
      </c>
      <c r="F1204" s="18">
        <f t="shared" si="2"/>
        <v>3.342172044</v>
      </c>
    </row>
    <row r="1205">
      <c r="D1205" s="25"/>
      <c r="E1205" s="26"/>
    </row>
    <row r="1206">
      <c r="D1206" s="25"/>
      <c r="E1206" s="26"/>
    </row>
    <row r="1207">
      <c r="D1207" s="25"/>
      <c r="E1207" s="26"/>
    </row>
    <row r="1208">
      <c r="D1208" s="25"/>
      <c r="E1208" s="26"/>
    </row>
    <row r="1209">
      <c r="D1209" s="25"/>
      <c r="E1209" s="26"/>
    </row>
    <row r="1210">
      <c r="D1210" s="25"/>
      <c r="E1210" s="26"/>
    </row>
    <row r="1211">
      <c r="D1211" s="25"/>
      <c r="E1211" s="26"/>
    </row>
    <row r="1212">
      <c r="D1212" s="25"/>
      <c r="E1212" s="26"/>
    </row>
    <row r="1213">
      <c r="D1213" s="25"/>
      <c r="E1213" s="26"/>
    </row>
    <row r="1214">
      <c r="D1214" s="25"/>
      <c r="E1214" s="26"/>
    </row>
    <row r="1215">
      <c r="D1215" s="25"/>
      <c r="E1215" s="26"/>
    </row>
    <row r="1216">
      <c r="D1216" s="25"/>
      <c r="E1216" s="26"/>
    </row>
    <row r="1217">
      <c r="D1217" s="25"/>
      <c r="E1217" s="26"/>
    </row>
    <row r="1218">
      <c r="D1218" s="25"/>
      <c r="E1218" s="26"/>
    </row>
    <row r="1219">
      <c r="D1219" s="25"/>
      <c r="E1219" s="26"/>
    </row>
    <row r="1220">
      <c r="D1220" s="25"/>
      <c r="E1220" s="26"/>
    </row>
    <row r="1221">
      <c r="D1221" s="25"/>
      <c r="E1221" s="26"/>
    </row>
    <row r="1222">
      <c r="D1222" s="25"/>
      <c r="E1222" s="26"/>
    </row>
    <row r="1223">
      <c r="D1223" s="25"/>
      <c r="E1223" s="26"/>
    </row>
    <row r="1224">
      <c r="D1224" s="25"/>
      <c r="E1224" s="26"/>
    </row>
    <row r="1225">
      <c r="D1225" s="25"/>
      <c r="E1225" s="26"/>
    </row>
    <row r="1226">
      <c r="D1226" s="25"/>
      <c r="E1226" s="26"/>
    </row>
    <row r="1227">
      <c r="D1227" s="25"/>
      <c r="E1227" s="26"/>
    </row>
    <row r="1228">
      <c r="D1228" s="25"/>
      <c r="E1228" s="26"/>
    </row>
    <row r="1229">
      <c r="D1229" s="25"/>
      <c r="E1229" s="26"/>
    </row>
    <row r="1230">
      <c r="D1230" s="25"/>
      <c r="E1230" s="26"/>
    </row>
    <row r="1231">
      <c r="D1231" s="25"/>
      <c r="E1231" s="26"/>
    </row>
    <row r="1232">
      <c r="D1232" s="25"/>
      <c r="E1232" s="26"/>
    </row>
    <row r="1233">
      <c r="D1233" s="25"/>
      <c r="E1233" s="26"/>
    </row>
    <row r="1234">
      <c r="D1234" s="25"/>
      <c r="E1234" s="26"/>
    </row>
    <row r="1235">
      <c r="D1235" s="25"/>
      <c r="E1235" s="26"/>
    </row>
    <row r="1236">
      <c r="D1236" s="25"/>
      <c r="E1236" s="26"/>
    </row>
    <row r="1237">
      <c r="D1237" s="25"/>
      <c r="E1237" s="26"/>
    </row>
    <row r="1238">
      <c r="D1238" s="25"/>
      <c r="E1238" s="26"/>
    </row>
    <row r="1239">
      <c r="D1239" s="25"/>
      <c r="E1239" s="26"/>
    </row>
    <row r="1240">
      <c r="D1240" s="25"/>
      <c r="E1240" s="26"/>
    </row>
    <row r="1241">
      <c r="D1241" s="25"/>
      <c r="E1241" s="26"/>
    </row>
    <row r="1242">
      <c r="D1242" s="25"/>
      <c r="E1242" s="26"/>
    </row>
    <row r="1243">
      <c r="D1243" s="25"/>
      <c r="E1243" s="26"/>
    </row>
    <row r="1244">
      <c r="D1244" s="25"/>
      <c r="E1244" s="26"/>
    </row>
    <row r="1245">
      <c r="D1245" s="25"/>
      <c r="E1245" s="26"/>
    </row>
    <row r="1246">
      <c r="D1246" s="25"/>
      <c r="E1246" s="26"/>
    </row>
    <row r="1247">
      <c r="D1247" s="25"/>
      <c r="E1247" s="26"/>
    </row>
    <row r="1248">
      <c r="D1248" s="25"/>
      <c r="E1248" s="26"/>
    </row>
    <row r="1249">
      <c r="D1249" s="25"/>
      <c r="E1249" s="26"/>
    </row>
    <row r="1250">
      <c r="D1250" s="25"/>
      <c r="E1250" s="26"/>
    </row>
    <row r="1251">
      <c r="D1251" s="25"/>
      <c r="E1251" s="26"/>
    </row>
    <row r="1252">
      <c r="D1252" s="25"/>
      <c r="E1252" s="26"/>
    </row>
    <row r="1253">
      <c r="D1253" s="25"/>
      <c r="E1253" s="26"/>
    </row>
    <row r="1254">
      <c r="D1254" s="25"/>
      <c r="E1254" s="26"/>
    </row>
    <row r="1255">
      <c r="D1255" s="25"/>
      <c r="E1255" s="26"/>
    </row>
    <row r="1256">
      <c r="D1256" s="25"/>
      <c r="E1256" s="26"/>
    </row>
    <row r="1257">
      <c r="D1257" s="25"/>
      <c r="E1257" s="26"/>
    </row>
    <row r="1258">
      <c r="D1258" s="25"/>
      <c r="E1258" s="26"/>
    </row>
    <row r="1259">
      <c r="D1259" s="25"/>
      <c r="E1259" s="26"/>
    </row>
    <row r="1260">
      <c r="D1260" s="25"/>
      <c r="E1260" s="26"/>
    </row>
    <row r="1261">
      <c r="D1261" s="25"/>
      <c r="E1261" s="26"/>
    </row>
    <row r="1262">
      <c r="D1262" s="25"/>
      <c r="E1262" s="26"/>
    </row>
    <row r="1263">
      <c r="D1263" s="25"/>
      <c r="E1263" s="26"/>
    </row>
    <row r="1264">
      <c r="D1264" s="25"/>
      <c r="E1264" s="26"/>
    </row>
    <row r="1265">
      <c r="D1265" s="25"/>
      <c r="E1265" s="26"/>
    </row>
    <row r="1266">
      <c r="D1266" s="25"/>
      <c r="E1266" s="26"/>
    </row>
    <row r="1267">
      <c r="D1267" s="25"/>
      <c r="E1267" s="26"/>
    </row>
    <row r="1268">
      <c r="D1268" s="25"/>
      <c r="E1268" s="26"/>
    </row>
    <row r="1269">
      <c r="D1269" s="25"/>
      <c r="E1269" s="26"/>
    </row>
    <row r="1270">
      <c r="D1270" s="25"/>
      <c r="E1270" s="26"/>
    </row>
    <row r="1271">
      <c r="D1271" s="25"/>
      <c r="E1271" s="26"/>
    </row>
    <row r="1272">
      <c r="D1272" s="25"/>
      <c r="E1272" s="26"/>
    </row>
    <row r="1273">
      <c r="D1273" s="25"/>
      <c r="E1273" s="26"/>
    </row>
    <row r="1274">
      <c r="D1274" s="25"/>
      <c r="E1274" s="26"/>
    </row>
    <row r="1275">
      <c r="D1275" s="25"/>
      <c r="E1275" s="26"/>
    </row>
    <row r="1276">
      <c r="D1276" s="25"/>
      <c r="E1276" s="26"/>
    </row>
    <row r="1277">
      <c r="D1277" s="25"/>
      <c r="E1277" s="26"/>
    </row>
    <row r="1278">
      <c r="D1278" s="25"/>
      <c r="E1278" s="26"/>
    </row>
    <row r="1279">
      <c r="D1279" s="25"/>
      <c r="E1279" s="26"/>
    </row>
    <row r="1280">
      <c r="D1280" s="25"/>
      <c r="E1280" s="26"/>
    </row>
    <row r="1281">
      <c r="D1281" s="25"/>
      <c r="E1281" s="26"/>
    </row>
    <row r="1282">
      <c r="D1282" s="25"/>
      <c r="E1282" s="26"/>
    </row>
    <row r="1283">
      <c r="D1283" s="25"/>
      <c r="E1283" s="26"/>
    </row>
    <row r="1284">
      <c r="D1284" s="25"/>
      <c r="E1284" s="26"/>
    </row>
    <row r="1285">
      <c r="D1285" s="25"/>
      <c r="E1285" s="26"/>
    </row>
    <row r="1286">
      <c r="D1286" s="25"/>
      <c r="E1286" s="26"/>
    </row>
    <row r="1287">
      <c r="D1287" s="25"/>
      <c r="E1287" s="26"/>
    </row>
    <row r="1288">
      <c r="D1288" s="25"/>
      <c r="E1288" s="26"/>
    </row>
    <row r="1289">
      <c r="D1289" s="25"/>
      <c r="E1289" s="26"/>
    </row>
    <row r="1290">
      <c r="D1290" s="25"/>
      <c r="E1290" s="26"/>
    </row>
    <row r="1291">
      <c r="D1291" s="25"/>
      <c r="E1291" s="26"/>
    </row>
    <row r="1292">
      <c r="D1292" s="25"/>
      <c r="E1292" s="26"/>
    </row>
    <row r="1293">
      <c r="D1293" s="25"/>
      <c r="E1293" s="26"/>
    </row>
    <row r="1294">
      <c r="D1294" s="25"/>
      <c r="E1294" s="26"/>
    </row>
    <row r="1295">
      <c r="D1295" s="25"/>
      <c r="E1295" s="26"/>
    </row>
    <row r="1296">
      <c r="D1296" s="25"/>
      <c r="E1296" s="26"/>
    </row>
    <row r="1297">
      <c r="D1297" s="25"/>
      <c r="E1297" s="26"/>
    </row>
    <row r="1298">
      <c r="D1298" s="25"/>
      <c r="E1298" s="26"/>
    </row>
    <row r="1299">
      <c r="D1299" s="25"/>
      <c r="E1299" s="26"/>
    </row>
    <row r="1300">
      <c r="D1300" s="25"/>
      <c r="E1300" s="26"/>
    </row>
    <row r="1301">
      <c r="D1301" s="25"/>
      <c r="E1301" s="26"/>
    </row>
    <row r="1302">
      <c r="D1302" s="25"/>
      <c r="E1302" s="26"/>
    </row>
    <row r="1303">
      <c r="D1303" s="25"/>
      <c r="E1303" s="26"/>
    </row>
    <row r="1304">
      <c r="D1304" s="25"/>
      <c r="E1304" s="26"/>
    </row>
    <row r="1305">
      <c r="D1305" s="25"/>
      <c r="E1305" s="26"/>
    </row>
    <row r="1306">
      <c r="D1306" s="25"/>
      <c r="E1306" s="26"/>
    </row>
    <row r="1307">
      <c r="D1307" s="25"/>
      <c r="E1307" s="26"/>
    </row>
    <row r="1308">
      <c r="D1308" s="25"/>
      <c r="E1308" s="26"/>
    </row>
    <row r="1309">
      <c r="D1309" s="25"/>
      <c r="E1309" s="26"/>
    </row>
    <row r="1310">
      <c r="D1310" s="25"/>
      <c r="E1310" s="26"/>
    </row>
    <row r="1311">
      <c r="D1311" s="25"/>
      <c r="E1311" s="26"/>
    </row>
    <row r="1312">
      <c r="D1312" s="25"/>
      <c r="E1312" s="26"/>
    </row>
    <row r="1313">
      <c r="D1313" s="25"/>
      <c r="E1313" s="26"/>
    </row>
    <row r="1314">
      <c r="D1314" s="25"/>
      <c r="E1314" s="26"/>
    </row>
    <row r="1315">
      <c r="D1315" s="25"/>
      <c r="E1315" s="26"/>
    </row>
    <row r="1316">
      <c r="D1316" s="25"/>
      <c r="E1316" s="26"/>
    </row>
    <row r="1317">
      <c r="D1317" s="25"/>
      <c r="E1317" s="26"/>
    </row>
    <row r="1318">
      <c r="D1318" s="25"/>
      <c r="E1318" s="26"/>
    </row>
    <row r="1319">
      <c r="D1319" s="25"/>
      <c r="E1319" s="26"/>
    </row>
    <row r="1320">
      <c r="D1320" s="25"/>
      <c r="E1320" s="26"/>
    </row>
    <row r="1321">
      <c r="D1321" s="25"/>
      <c r="E1321" s="26"/>
    </row>
    <row r="1322">
      <c r="D1322" s="25"/>
      <c r="E1322" s="26"/>
    </row>
    <row r="1323">
      <c r="D1323" s="25"/>
      <c r="E1323" s="26"/>
    </row>
    <row r="1324">
      <c r="D1324" s="25"/>
      <c r="E1324" s="26"/>
    </row>
    <row r="1325">
      <c r="D1325" s="25"/>
      <c r="E1325" s="26"/>
    </row>
    <row r="1326">
      <c r="D1326" s="25"/>
      <c r="E1326" s="26"/>
    </row>
    <row r="1327">
      <c r="D1327" s="25"/>
      <c r="E1327" s="26"/>
    </row>
    <row r="1328">
      <c r="D1328" s="25"/>
      <c r="E1328" s="26"/>
    </row>
    <row r="1329">
      <c r="D1329" s="25"/>
      <c r="E1329" s="26"/>
    </row>
    <row r="1330">
      <c r="D1330" s="25"/>
      <c r="E1330" s="26"/>
    </row>
    <row r="1331">
      <c r="D1331" s="25"/>
      <c r="E1331" s="26"/>
    </row>
    <row r="1332">
      <c r="D1332" s="25"/>
      <c r="E1332" s="26"/>
    </row>
    <row r="1333">
      <c r="D1333" s="25"/>
      <c r="E1333" s="26"/>
    </row>
    <row r="1334">
      <c r="D1334" s="25"/>
      <c r="E1334" s="26"/>
    </row>
    <row r="1335">
      <c r="D1335" s="25"/>
      <c r="E1335" s="26"/>
    </row>
    <row r="1336">
      <c r="D1336" s="25"/>
      <c r="E1336" s="26"/>
    </row>
    <row r="1337">
      <c r="D1337" s="25"/>
      <c r="E1337" s="26"/>
    </row>
    <row r="1338">
      <c r="D1338" s="25"/>
      <c r="E1338" s="26"/>
    </row>
    <row r="1339">
      <c r="D1339" s="25"/>
      <c r="E1339" s="26"/>
    </row>
    <row r="1340">
      <c r="D1340" s="25"/>
      <c r="E1340" s="26"/>
    </row>
    <row r="1341">
      <c r="D1341" s="25"/>
      <c r="E1341" s="26"/>
    </row>
    <row r="1342">
      <c r="D1342" s="25"/>
      <c r="E1342" s="26"/>
    </row>
    <row r="1343">
      <c r="D1343" s="25"/>
      <c r="E1343" s="26"/>
    </row>
    <row r="1344">
      <c r="D1344" s="25"/>
      <c r="E1344" s="26"/>
    </row>
    <row r="1345">
      <c r="D1345" s="25"/>
      <c r="E1345" s="26"/>
    </row>
    <row r="1346">
      <c r="D1346" s="25"/>
      <c r="E1346" s="26"/>
    </row>
    <row r="1347">
      <c r="D1347" s="25"/>
      <c r="E1347" s="26"/>
    </row>
    <row r="1348">
      <c r="D1348" s="25"/>
      <c r="E1348" s="26"/>
    </row>
    <row r="1349">
      <c r="D1349" s="25"/>
      <c r="E1349" s="26"/>
    </row>
    <row r="1350">
      <c r="D1350" s="25"/>
      <c r="E1350" s="26"/>
    </row>
    <row r="1351">
      <c r="D1351" s="25"/>
      <c r="E1351" s="26"/>
    </row>
    <row r="1352">
      <c r="D1352" s="25"/>
      <c r="E1352" s="26"/>
    </row>
    <row r="1353">
      <c r="D1353" s="25"/>
      <c r="E1353" s="26"/>
    </row>
    <row r="1354">
      <c r="D1354" s="25"/>
      <c r="E1354" s="26"/>
    </row>
    <row r="1355">
      <c r="D1355" s="25"/>
      <c r="E1355" s="26"/>
    </row>
    <row r="1356">
      <c r="D1356" s="25"/>
      <c r="E1356" s="26"/>
    </row>
    <row r="1357">
      <c r="D1357" s="25"/>
      <c r="E1357" s="26"/>
    </row>
    <row r="1358">
      <c r="D1358" s="25"/>
      <c r="E1358" s="26"/>
    </row>
    <row r="1359">
      <c r="D1359" s="25"/>
      <c r="E1359" s="26"/>
    </row>
    <row r="1360">
      <c r="D1360" s="25"/>
      <c r="E1360" s="26"/>
    </row>
    <row r="1361">
      <c r="D1361" s="25"/>
      <c r="E1361" s="26"/>
    </row>
    <row r="1362">
      <c r="D1362" s="25"/>
      <c r="E1362" s="26"/>
    </row>
    <row r="1363">
      <c r="D1363" s="25"/>
      <c r="E1363" s="26"/>
    </row>
    <row r="1364">
      <c r="D1364" s="25"/>
      <c r="E1364" s="26"/>
    </row>
    <row r="1365">
      <c r="D1365" s="25"/>
      <c r="E1365" s="26"/>
    </row>
    <row r="1366">
      <c r="D1366" s="25"/>
      <c r="E1366" s="26"/>
    </row>
    <row r="1367">
      <c r="D1367" s="25"/>
      <c r="E1367" s="26"/>
    </row>
    <row r="1368">
      <c r="D1368" s="25"/>
      <c r="E1368" s="26"/>
    </row>
    <row r="1369">
      <c r="D1369" s="25"/>
      <c r="E1369" s="26"/>
    </row>
    <row r="1370">
      <c r="D1370" s="25"/>
      <c r="E1370" s="26"/>
    </row>
    <row r="1371">
      <c r="D1371" s="25"/>
      <c r="E1371" s="26"/>
    </row>
    <row r="1372">
      <c r="D1372" s="25"/>
      <c r="E1372" s="26"/>
    </row>
    <row r="1373">
      <c r="D1373" s="25"/>
      <c r="E1373" s="26"/>
    </row>
    <row r="1374">
      <c r="D1374" s="25"/>
      <c r="E1374" s="26"/>
    </row>
    <row r="1375">
      <c r="D1375" s="25"/>
      <c r="E1375" s="26"/>
    </row>
    <row r="1376">
      <c r="D1376" s="25"/>
      <c r="E1376" s="26"/>
    </row>
    <row r="1377">
      <c r="D1377" s="25"/>
      <c r="E1377" s="26"/>
    </row>
    <row r="1378">
      <c r="D1378" s="25"/>
      <c r="E1378" s="26"/>
    </row>
    <row r="1379">
      <c r="D1379" s="25"/>
      <c r="E1379" s="26"/>
    </row>
    <row r="1380">
      <c r="D1380" s="25"/>
      <c r="E1380" s="26"/>
    </row>
    <row r="1381">
      <c r="D1381" s="25"/>
      <c r="E1381" s="26"/>
    </row>
    <row r="1382">
      <c r="D1382" s="25"/>
      <c r="E1382" s="26"/>
    </row>
    <row r="1383">
      <c r="D1383" s="25"/>
      <c r="E1383" s="26"/>
    </row>
    <row r="1384">
      <c r="D1384" s="25"/>
      <c r="E1384" s="26"/>
    </row>
    <row r="1385">
      <c r="D1385" s="25"/>
      <c r="E1385" s="26"/>
    </row>
    <row r="1386">
      <c r="D1386" s="25"/>
      <c r="E1386" s="26"/>
    </row>
    <row r="1387">
      <c r="D1387" s="25"/>
      <c r="E1387" s="26"/>
    </row>
    <row r="1388">
      <c r="D1388" s="25"/>
      <c r="E1388" s="26"/>
    </row>
    <row r="1389">
      <c r="D1389" s="25"/>
      <c r="E1389" s="26"/>
    </row>
    <row r="1390">
      <c r="D1390" s="25"/>
      <c r="E1390" s="26"/>
    </row>
    <row r="1391">
      <c r="D1391" s="25"/>
      <c r="E1391" s="26"/>
    </row>
    <row r="1392">
      <c r="D1392" s="25"/>
      <c r="E1392" s="26"/>
    </row>
    <row r="1393">
      <c r="D1393" s="25"/>
      <c r="E1393" s="26"/>
    </row>
    <row r="1394">
      <c r="D1394" s="25"/>
      <c r="E1394" s="26"/>
    </row>
    <row r="1395">
      <c r="D1395" s="25"/>
      <c r="E1395" s="26"/>
    </row>
    <row r="1396">
      <c r="D1396" s="25"/>
      <c r="E1396" s="26"/>
    </row>
    <row r="1397">
      <c r="D1397" s="25"/>
      <c r="E1397" s="26"/>
    </row>
    <row r="1398">
      <c r="D1398" s="25"/>
      <c r="E1398" s="26"/>
    </row>
    <row r="1399">
      <c r="D1399" s="25"/>
      <c r="E1399" s="26"/>
    </row>
    <row r="1400">
      <c r="D1400" s="25"/>
      <c r="E1400" s="26"/>
    </row>
    <row r="1401">
      <c r="D1401" s="25"/>
      <c r="E1401" s="26"/>
    </row>
    <row r="1402">
      <c r="D1402" s="25"/>
      <c r="E1402" s="26"/>
    </row>
    <row r="1403">
      <c r="D1403" s="25"/>
      <c r="E1403" s="26"/>
    </row>
    <row r="1404">
      <c r="D1404" s="25"/>
      <c r="E1404" s="26"/>
    </row>
    <row r="1405">
      <c r="D1405" s="25"/>
      <c r="E1405" s="26"/>
    </row>
    <row r="1406">
      <c r="D1406" s="25"/>
      <c r="E1406" s="26"/>
    </row>
    <row r="1407">
      <c r="D1407" s="25"/>
      <c r="E1407" s="26"/>
    </row>
    <row r="1408">
      <c r="D1408" s="25"/>
      <c r="E1408" s="26"/>
    </row>
    <row r="1409">
      <c r="D1409" s="25"/>
      <c r="E1409" s="26"/>
    </row>
    <row r="1410">
      <c r="D1410" s="25"/>
      <c r="E1410" s="26"/>
    </row>
    <row r="1411">
      <c r="D1411" s="25"/>
      <c r="E1411" s="26"/>
    </row>
    <row r="1412">
      <c r="D1412" s="25"/>
      <c r="E1412" s="26"/>
    </row>
    <row r="1413">
      <c r="D1413" s="25"/>
      <c r="E1413" s="26"/>
    </row>
    <row r="1414">
      <c r="D1414" s="25"/>
      <c r="E1414" s="26"/>
    </row>
    <row r="1415">
      <c r="D1415" s="25"/>
      <c r="E1415" s="26"/>
    </row>
    <row r="1416">
      <c r="D1416" s="25"/>
      <c r="E1416" s="26"/>
    </row>
    <row r="1417">
      <c r="D1417" s="25"/>
      <c r="E1417" s="26"/>
    </row>
    <row r="1418">
      <c r="D1418" s="25"/>
      <c r="E1418" s="26"/>
    </row>
    <row r="1419">
      <c r="D1419" s="25"/>
      <c r="E1419" s="26"/>
    </row>
    <row r="1420">
      <c r="D1420" s="25"/>
      <c r="E1420" s="26"/>
    </row>
    <row r="1421">
      <c r="D1421" s="25"/>
      <c r="E1421" s="26"/>
    </row>
    <row r="1422">
      <c r="D1422" s="25"/>
      <c r="E1422" s="26"/>
    </row>
    <row r="1423">
      <c r="D1423" s="25"/>
      <c r="E1423" s="26"/>
    </row>
    <row r="1424">
      <c r="D1424" s="25"/>
      <c r="E1424" s="26"/>
    </row>
    <row r="1425">
      <c r="D1425" s="25"/>
      <c r="E1425" s="26"/>
    </row>
    <row r="1426">
      <c r="D1426" s="25"/>
      <c r="E1426" s="26"/>
    </row>
    <row r="1427">
      <c r="D1427" s="25"/>
      <c r="E1427" s="26"/>
    </row>
    <row r="1428">
      <c r="D1428" s="25"/>
      <c r="E1428" s="26"/>
    </row>
    <row r="1429">
      <c r="D1429" s="25"/>
      <c r="E1429" s="26"/>
    </row>
    <row r="1430">
      <c r="D1430" s="25"/>
      <c r="E1430" s="26"/>
    </row>
    <row r="1431">
      <c r="D1431" s="25"/>
      <c r="E1431" s="26"/>
    </row>
    <row r="1432">
      <c r="D1432" s="25"/>
      <c r="E1432" s="26"/>
    </row>
    <row r="1433">
      <c r="D1433" s="25"/>
      <c r="E1433" s="26"/>
    </row>
    <row r="1434">
      <c r="D1434" s="25"/>
      <c r="E1434" s="26"/>
    </row>
    <row r="1435">
      <c r="D1435" s="25"/>
      <c r="E1435" s="26"/>
    </row>
    <row r="1436">
      <c r="D1436" s="25"/>
      <c r="E1436" s="26"/>
    </row>
    <row r="1437">
      <c r="D1437" s="25"/>
      <c r="E1437" s="26"/>
    </row>
    <row r="1438">
      <c r="D1438" s="25"/>
      <c r="E1438" s="26"/>
    </row>
    <row r="1439">
      <c r="D1439" s="25"/>
      <c r="E1439" s="26"/>
    </row>
    <row r="1440">
      <c r="D1440" s="25"/>
      <c r="E1440" s="26"/>
    </row>
    <row r="1441">
      <c r="D1441" s="25"/>
      <c r="E1441" s="26"/>
    </row>
    <row r="1442">
      <c r="D1442" s="25"/>
      <c r="E1442" s="26"/>
    </row>
    <row r="1443">
      <c r="D1443" s="25"/>
      <c r="E1443" s="26"/>
    </row>
    <row r="1444">
      <c r="D1444" s="25"/>
      <c r="E1444" s="26"/>
    </row>
    <row r="1445">
      <c r="D1445" s="25"/>
      <c r="E1445" s="26"/>
    </row>
    <row r="1446">
      <c r="D1446" s="25"/>
      <c r="E1446" s="26"/>
    </row>
    <row r="1447">
      <c r="D1447" s="25"/>
      <c r="E1447" s="26"/>
    </row>
    <row r="1448">
      <c r="D1448" s="25"/>
      <c r="E1448" s="26"/>
    </row>
    <row r="1449">
      <c r="D1449" s="25"/>
      <c r="E1449" s="26"/>
    </row>
    <row r="1450">
      <c r="D1450" s="25"/>
      <c r="E1450" s="26"/>
    </row>
    <row r="1451">
      <c r="D1451" s="25"/>
      <c r="E1451" s="26"/>
    </row>
    <row r="1452">
      <c r="D1452" s="25"/>
      <c r="E1452" s="26"/>
    </row>
    <row r="1453">
      <c r="D1453" s="25"/>
      <c r="E1453" s="26"/>
    </row>
    <row r="1454">
      <c r="D1454" s="25"/>
      <c r="E1454" s="26"/>
    </row>
    <row r="1455">
      <c r="D1455" s="25"/>
      <c r="E1455" s="26"/>
    </row>
    <row r="1456">
      <c r="D1456" s="25"/>
      <c r="E1456" s="26"/>
    </row>
    <row r="1457">
      <c r="D1457" s="25"/>
      <c r="E1457" s="26"/>
    </row>
    <row r="1458">
      <c r="D1458" s="25"/>
      <c r="E1458" s="26"/>
    </row>
    <row r="1459">
      <c r="D1459" s="25"/>
      <c r="E1459" s="26"/>
    </row>
    <row r="1460">
      <c r="D1460" s="25"/>
      <c r="E1460" s="26"/>
    </row>
    <row r="1461">
      <c r="D1461" s="25"/>
      <c r="E1461" s="26"/>
    </row>
    <row r="1462">
      <c r="D1462" s="25"/>
      <c r="E1462" s="26"/>
    </row>
    <row r="1463">
      <c r="D1463" s="25"/>
      <c r="E1463" s="26"/>
    </row>
    <row r="1464">
      <c r="D1464" s="25"/>
      <c r="E1464" s="26"/>
    </row>
    <row r="1465">
      <c r="D1465" s="25"/>
      <c r="E1465" s="26"/>
    </row>
    <row r="1466">
      <c r="D1466" s="25"/>
      <c r="E1466" s="26"/>
    </row>
    <row r="1467">
      <c r="D1467" s="25"/>
      <c r="E1467" s="26"/>
    </row>
    <row r="1468">
      <c r="D1468" s="25"/>
      <c r="E1468" s="26"/>
    </row>
    <row r="1469">
      <c r="D1469" s="25"/>
      <c r="E1469" s="26"/>
    </row>
    <row r="1470">
      <c r="D1470" s="25"/>
      <c r="E1470" s="26"/>
    </row>
    <row r="1471">
      <c r="D1471" s="25"/>
      <c r="E1471" s="26"/>
    </row>
    <row r="1472">
      <c r="D1472" s="25"/>
      <c r="E1472" s="26"/>
    </row>
    <row r="1473">
      <c r="D1473" s="25"/>
      <c r="E1473" s="26"/>
    </row>
    <row r="1474">
      <c r="D1474" s="25"/>
      <c r="E1474" s="26"/>
    </row>
    <row r="1475">
      <c r="D1475" s="25"/>
      <c r="E1475" s="26"/>
    </row>
    <row r="1476">
      <c r="D1476" s="25"/>
      <c r="E1476" s="26"/>
    </row>
    <row r="1477">
      <c r="D1477" s="25"/>
      <c r="E1477" s="26"/>
    </row>
    <row r="1478">
      <c r="D1478" s="25"/>
      <c r="E1478" s="26"/>
    </row>
    <row r="1479">
      <c r="D1479" s="25"/>
      <c r="E1479" s="26"/>
    </row>
    <row r="1480">
      <c r="D1480" s="25"/>
      <c r="E1480" s="26"/>
    </row>
    <row r="1481">
      <c r="D1481" s="25"/>
      <c r="E1481" s="26"/>
    </row>
    <row r="1482">
      <c r="D1482" s="25"/>
      <c r="E1482" s="26"/>
    </row>
    <row r="1483">
      <c r="D1483" s="25"/>
      <c r="E1483" s="26"/>
    </row>
    <row r="1484">
      <c r="D1484" s="25"/>
      <c r="E1484" s="26"/>
    </row>
    <row r="1485">
      <c r="D1485" s="25"/>
      <c r="E1485" s="26"/>
    </row>
    <row r="1486">
      <c r="D1486" s="25"/>
      <c r="E1486" s="26"/>
    </row>
    <row r="1487">
      <c r="D1487" s="25"/>
      <c r="E1487" s="26"/>
    </row>
    <row r="1488">
      <c r="D1488" s="25"/>
      <c r="E1488" s="26"/>
    </row>
    <row r="1489">
      <c r="D1489" s="25"/>
      <c r="E1489" s="26"/>
    </row>
    <row r="1490">
      <c r="D1490" s="25"/>
      <c r="E1490" s="26"/>
    </row>
    <row r="1491">
      <c r="D1491" s="25"/>
      <c r="E1491" s="26"/>
    </row>
    <row r="1492">
      <c r="D1492" s="25"/>
      <c r="E1492" s="26"/>
    </row>
    <row r="1493">
      <c r="D1493" s="25"/>
      <c r="E1493" s="26"/>
    </row>
    <row r="1494">
      <c r="D1494" s="25"/>
      <c r="E1494" s="26"/>
    </row>
    <row r="1495">
      <c r="D1495" s="25"/>
      <c r="E1495" s="26"/>
    </row>
    <row r="1496">
      <c r="D1496" s="25"/>
      <c r="E1496" s="26"/>
    </row>
    <row r="1497">
      <c r="D1497" s="25"/>
      <c r="E1497" s="26"/>
    </row>
    <row r="1498">
      <c r="D1498" s="25"/>
      <c r="E1498" s="26"/>
    </row>
    <row r="1499">
      <c r="D1499" s="25"/>
      <c r="E1499" s="26"/>
    </row>
    <row r="1500">
      <c r="D1500" s="25"/>
      <c r="E1500" s="26"/>
    </row>
    <row r="1501">
      <c r="D1501" s="25"/>
      <c r="E1501" s="26"/>
    </row>
    <row r="1502">
      <c r="D1502" s="25"/>
      <c r="E1502" s="26"/>
    </row>
    <row r="1503">
      <c r="D1503" s="25"/>
      <c r="E1503" s="26"/>
    </row>
    <row r="1504">
      <c r="D1504" s="25"/>
      <c r="E1504" s="26"/>
    </row>
    <row r="1505">
      <c r="D1505" s="25"/>
      <c r="E1505" s="26"/>
    </row>
    <row r="1506">
      <c r="D1506" s="25"/>
      <c r="E1506" s="26"/>
    </row>
    <row r="1507">
      <c r="D1507" s="25"/>
      <c r="E1507" s="26"/>
    </row>
    <row r="1508">
      <c r="D1508" s="25"/>
      <c r="E1508" s="26"/>
    </row>
    <row r="1509">
      <c r="D1509" s="25"/>
      <c r="E1509" s="26"/>
    </row>
    <row r="1510">
      <c r="D1510" s="25"/>
      <c r="E1510" s="26"/>
    </row>
    <row r="1511">
      <c r="D1511" s="25"/>
      <c r="E1511" s="26"/>
    </row>
    <row r="1512">
      <c r="D1512" s="25"/>
      <c r="E1512" s="26"/>
    </row>
    <row r="1513">
      <c r="D1513" s="25"/>
      <c r="E1513" s="26"/>
    </row>
    <row r="1514">
      <c r="D1514" s="25"/>
      <c r="E1514" s="26"/>
    </row>
    <row r="1515">
      <c r="D1515" s="25"/>
      <c r="E1515" s="26"/>
    </row>
    <row r="1516">
      <c r="D1516" s="25"/>
      <c r="E1516" s="26"/>
    </row>
    <row r="1517">
      <c r="D1517" s="25"/>
      <c r="E1517" s="26"/>
    </row>
    <row r="1518">
      <c r="D1518" s="25"/>
      <c r="E1518" s="26"/>
    </row>
    <row r="1519">
      <c r="D1519" s="25"/>
      <c r="E1519" s="26"/>
    </row>
    <row r="1520">
      <c r="D1520" s="25"/>
      <c r="E1520" s="26"/>
    </row>
    <row r="1521">
      <c r="D1521" s="25"/>
      <c r="E1521" s="26"/>
    </row>
    <row r="1522">
      <c r="D1522" s="25"/>
      <c r="E1522" s="26"/>
    </row>
    <row r="1523">
      <c r="D1523" s="25"/>
      <c r="E1523" s="26"/>
    </row>
    <row r="1524">
      <c r="D1524" s="25"/>
      <c r="E1524" s="26"/>
    </row>
    <row r="1525">
      <c r="D1525" s="25"/>
      <c r="E1525" s="26"/>
    </row>
    <row r="1526">
      <c r="D1526" s="25"/>
      <c r="E1526" s="26"/>
    </row>
    <row r="1527">
      <c r="D1527" s="25"/>
      <c r="E1527" s="26"/>
    </row>
    <row r="1528">
      <c r="D1528" s="25"/>
      <c r="E1528" s="26"/>
    </row>
    <row r="1529">
      <c r="D1529" s="25"/>
      <c r="E1529" s="26"/>
    </row>
    <row r="1530">
      <c r="D1530" s="25"/>
      <c r="E1530" s="26"/>
    </row>
    <row r="1531">
      <c r="D1531" s="25"/>
      <c r="E1531" s="26"/>
    </row>
    <row r="1532">
      <c r="D1532" s="25"/>
      <c r="E1532" s="26"/>
    </row>
    <row r="1533">
      <c r="D1533" s="25"/>
      <c r="E1533" s="26"/>
    </row>
    <row r="1534">
      <c r="D1534" s="25"/>
      <c r="E1534" s="26"/>
    </row>
    <row r="1535">
      <c r="D1535" s="25"/>
      <c r="E1535" s="26"/>
    </row>
    <row r="1536">
      <c r="D1536" s="25"/>
      <c r="E1536" s="26"/>
    </row>
    <row r="1537">
      <c r="D1537" s="25"/>
      <c r="E1537" s="26"/>
    </row>
    <row r="1538">
      <c r="D1538" s="25"/>
      <c r="E1538" s="26"/>
    </row>
    <row r="1539">
      <c r="D1539" s="25"/>
      <c r="E1539" s="26"/>
    </row>
    <row r="1540">
      <c r="D1540" s="25"/>
      <c r="E1540" s="26"/>
    </row>
    <row r="1541">
      <c r="D1541" s="25"/>
      <c r="E1541" s="26"/>
    </row>
    <row r="1542">
      <c r="D1542" s="25"/>
      <c r="E1542" s="26"/>
    </row>
    <row r="1543">
      <c r="D1543" s="25"/>
      <c r="E1543" s="26"/>
    </row>
    <row r="1544">
      <c r="D1544" s="25"/>
      <c r="E1544" s="26"/>
    </row>
    <row r="1545">
      <c r="D1545" s="25"/>
      <c r="E1545" s="26"/>
    </row>
    <row r="1546">
      <c r="D1546" s="25"/>
      <c r="E1546" s="26"/>
    </row>
    <row r="1547">
      <c r="D1547" s="25"/>
      <c r="E1547" s="26"/>
    </row>
    <row r="1548">
      <c r="D1548" s="25"/>
      <c r="E1548" s="26"/>
    </row>
    <row r="1549">
      <c r="D1549" s="25"/>
      <c r="E1549" s="26"/>
    </row>
    <row r="1550">
      <c r="D1550" s="25"/>
      <c r="E1550" s="26"/>
    </row>
    <row r="1551">
      <c r="D1551" s="25"/>
      <c r="E1551" s="26"/>
    </row>
    <row r="1552">
      <c r="D1552" s="25"/>
      <c r="E1552" s="26"/>
    </row>
    <row r="1553">
      <c r="D1553" s="25"/>
      <c r="E1553" s="26"/>
    </row>
    <row r="1554">
      <c r="D1554" s="25"/>
      <c r="E1554" s="26"/>
    </row>
    <row r="1555">
      <c r="D1555" s="25"/>
      <c r="E1555" s="26"/>
    </row>
    <row r="1556">
      <c r="D1556" s="25"/>
      <c r="E1556" s="26"/>
    </row>
    <row r="1557">
      <c r="D1557" s="25"/>
      <c r="E1557" s="26"/>
    </row>
    <row r="1558">
      <c r="D1558" s="25"/>
      <c r="E1558" s="26"/>
    </row>
    <row r="1559">
      <c r="D1559" s="25"/>
      <c r="E1559" s="26"/>
    </row>
    <row r="1560">
      <c r="D1560" s="25"/>
      <c r="E1560" s="26"/>
    </row>
    <row r="1561">
      <c r="D1561" s="25"/>
      <c r="E1561" s="26"/>
    </row>
    <row r="1562">
      <c r="D1562" s="25"/>
      <c r="E1562" s="26"/>
    </row>
    <row r="1563">
      <c r="D1563" s="25"/>
      <c r="E1563" s="26"/>
    </row>
    <row r="1564">
      <c r="D1564" s="25"/>
      <c r="E1564" s="26"/>
    </row>
    <row r="1565">
      <c r="D1565" s="25"/>
      <c r="E1565" s="26"/>
    </row>
    <row r="1566">
      <c r="D1566" s="25"/>
      <c r="E1566" s="26"/>
    </row>
    <row r="1567">
      <c r="D1567" s="25"/>
      <c r="E1567" s="26"/>
    </row>
    <row r="1568">
      <c r="D1568" s="25"/>
      <c r="E1568" s="26"/>
    </row>
    <row r="1569">
      <c r="D1569" s="25"/>
      <c r="E1569" s="26"/>
    </row>
    <row r="1570">
      <c r="D1570" s="25"/>
      <c r="E1570" s="26"/>
    </row>
    <row r="1571">
      <c r="D1571" s="25"/>
      <c r="E1571" s="26"/>
    </row>
    <row r="1572">
      <c r="D1572" s="25"/>
      <c r="E1572" s="26"/>
    </row>
    <row r="1573">
      <c r="D1573" s="25"/>
      <c r="E1573" s="26"/>
    </row>
    <row r="1574">
      <c r="D1574" s="25"/>
      <c r="E1574" s="26"/>
    </row>
    <row r="1575">
      <c r="D1575" s="25"/>
      <c r="E1575" s="26"/>
    </row>
    <row r="1576">
      <c r="D1576" s="25"/>
      <c r="E1576" s="26"/>
    </row>
    <row r="1577">
      <c r="D1577" s="25"/>
      <c r="E1577" s="26"/>
    </row>
    <row r="1578">
      <c r="D1578" s="25"/>
      <c r="E1578" s="26"/>
    </row>
    <row r="1579">
      <c r="D1579" s="25"/>
      <c r="E1579" s="26"/>
    </row>
    <row r="1580">
      <c r="D1580" s="25"/>
      <c r="E1580" s="26"/>
    </row>
    <row r="1581">
      <c r="D1581" s="25"/>
      <c r="E1581" s="26"/>
    </row>
    <row r="1582">
      <c r="D1582" s="25"/>
      <c r="E1582" s="26"/>
    </row>
    <row r="1583">
      <c r="D1583" s="25"/>
      <c r="E1583" s="26"/>
    </row>
    <row r="1584">
      <c r="D1584" s="25"/>
      <c r="E1584" s="26"/>
    </row>
    <row r="1585">
      <c r="D1585" s="25"/>
      <c r="E1585" s="26"/>
    </row>
    <row r="1586">
      <c r="D1586" s="25"/>
      <c r="E1586" s="26"/>
    </row>
    <row r="1587">
      <c r="D1587" s="25"/>
      <c r="E1587" s="26"/>
    </row>
    <row r="1588">
      <c r="D1588" s="25"/>
      <c r="E1588" s="26"/>
    </row>
    <row r="1589">
      <c r="D1589" s="25"/>
      <c r="E1589" s="26"/>
    </row>
    <row r="1590">
      <c r="D1590" s="25"/>
      <c r="E1590" s="26"/>
    </row>
    <row r="1591">
      <c r="D1591" s="25"/>
      <c r="E1591" s="26"/>
    </row>
    <row r="1592">
      <c r="D1592" s="25"/>
      <c r="E1592" s="26"/>
    </row>
    <row r="1593">
      <c r="D1593" s="25"/>
      <c r="E1593" s="26"/>
    </row>
    <row r="1594">
      <c r="D1594" s="25"/>
      <c r="E1594" s="26"/>
    </row>
    <row r="1595">
      <c r="D1595" s="25"/>
      <c r="E1595" s="26"/>
    </row>
    <row r="1596">
      <c r="D1596" s="25"/>
      <c r="E1596" s="26"/>
    </row>
    <row r="1597">
      <c r="D1597" s="25"/>
      <c r="E1597" s="26"/>
    </row>
    <row r="1598">
      <c r="D1598" s="25"/>
      <c r="E1598" s="26"/>
    </row>
    <row r="1599">
      <c r="D1599" s="25"/>
      <c r="E1599" s="26"/>
    </row>
    <row r="1600">
      <c r="D1600" s="25"/>
      <c r="E1600" s="26"/>
    </row>
    <row r="1601">
      <c r="D1601" s="25"/>
      <c r="E1601" s="26"/>
    </row>
    <row r="1602">
      <c r="D1602" s="25"/>
      <c r="E1602" s="26"/>
    </row>
    <row r="1603">
      <c r="D1603" s="25"/>
      <c r="E1603" s="26"/>
    </row>
    <row r="1604">
      <c r="D1604" s="25"/>
      <c r="E1604" s="26"/>
    </row>
    <row r="1605">
      <c r="D1605" s="25"/>
      <c r="E1605" s="26"/>
    </row>
    <row r="1606">
      <c r="D1606" s="25"/>
      <c r="E1606" s="26"/>
    </row>
    <row r="1607">
      <c r="D1607" s="25"/>
      <c r="E1607" s="26"/>
    </row>
    <row r="1608">
      <c r="D1608" s="25"/>
      <c r="E1608" s="26"/>
    </row>
    <row r="1609">
      <c r="D1609" s="25"/>
      <c r="E1609" s="26"/>
    </row>
    <row r="1610">
      <c r="D1610" s="25"/>
      <c r="E1610" s="26"/>
    </row>
    <row r="1611">
      <c r="D1611" s="25"/>
      <c r="E1611" s="26"/>
    </row>
    <row r="1612">
      <c r="D1612" s="25"/>
      <c r="E1612" s="26"/>
    </row>
    <row r="1613">
      <c r="D1613" s="25"/>
      <c r="E1613" s="26"/>
    </row>
    <row r="1614">
      <c r="D1614" s="25"/>
      <c r="E1614" s="26"/>
    </row>
    <row r="1615">
      <c r="D1615" s="25"/>
      <c r="E1615" s="26"/>
    </row>
    <row r="1616">
      <c r="D1616" s="25"/>
      <c r="E1616" s="26"/>
    </row>
    <row r="1617">
      <c r="D1617" s="25"/>
      <c r="E1617" s="26"/>
    </row>
    <row r="1618">
      <c r="D1618" s="25"/>
      <c r="E1618" s="26"/>
    </row>
    <row r="1619">
      <c r="D1619" s="25"/>
      <c r="E1619" s="26"/>
    </row>
    <row r="1620">
      <c r="D1620" s="25"/>
      <c r="E1620" s="26"/>
    </row>
    <row r="1621">
      <c r="D1621" s="25"/>
      <c r="E1621" s="26"/>
    </row>
    <row r="1622">
      <c r="D1622" s="25"/>
      <c r="E1622" s="26"/>
    </row>
    <row r="1623">
      <c r="D1623" s="25"/>
      <c r="E1623" s="26"/>
    </row>
    <row r="1624">
      <c r="D1624" s="25"/>
      <c r="E1624" s="26"/>
    </row>
    <row r="1625">
      <c r="D1625" s="25"/>
      <c r="E1625" s="26"/>
    </row>
    <row r="1626">
      <c r="D1626" s="25"/>
      <c r="E1626" s="26"/>
    </row>
    <row r="1627">
      <c r="D1627" s="25"/>
      <c r="E1627" s="26"/>
    </row>
    <row r="1628">
      <c r="D1628" s="25"/>
      <c r="E1628" s="26"/>
    </row>
    <row r="1629">
      <c r="D1629" s="25"/>
      <c r="E1629" s="26"/>
    </row>
    <row r="1630">
      <c r="D1630" s="25"/>
      <c r="E1630" s="26"/>
    </row>
    <row r="1631">
      <c r="D1631" s="25"/>
      <c r="E1631" s="26"/>
    </row>
    <row r="1632">
      <c r="D1632" s="25"/>
      <c r="E1632" s="26"/>
    </row>
    <row r="1633">
      <c r="D1633" s="25"/>
      <c r="E1633" s="26"/>
    </row>
    <row r="1634">
      <c r="D1634" s="25"/>
      <c r="E1634" s="26"/>
    </row>
    <row r="1635">
      <c r="D1635" s="25"/>
      <c r="E1635" s="26"/>
    </row>
    <row r="1636">
      <c r="D1636" s="25"/>
      <c r="E1636" s="26"/>
    </row>
    <row r="1637">
      <c r="D1637" s="25"/>
      <c r="E1637" s="26"/>
    </row>
    <row r="1638">
      <c r="D1638" s="25"/>
      <c r="E1638" s="26"/>
    </row>
    <row r="1639">
      <c r="D1639" s="25"/>
      <c r="E1639" s="26"/>
    </row>
    <row r="1640">
      <c r="D1640" s="25"/>
      <c r="E1640" s="26"/>
    </row>
    <row r="1641">
      <c r="D1641" s="25"/>
      <c r="E1641" s="26"/>
    </row>
    <row r="1642">
      <c r="D1642" s="25"/>
      <c r="E1642" s="26"/>
    </row>
    <row r="1643">
      <c r="D1643" s="25"/>
      <c r="E1643" s="26"/>
    </row>
    <row r="1644">
      <c r="D1644" s="25"/>
      <c r="E1644" s="26"/>
    </row>
    <row r="1645">
      <c r="D1645" s="25"/>
      <c r="E1645" s="26"/>
    </row>
    <row r="1646">
      <c r="D1646" s="25"/>
      <c r="E1646" s="26"/>
    </row>
    <row r="1647">
      <c r="D1647" s="25"/>
      <c r="E1647" s="26"/>
    </row>
    <row r="1648">
      <c r="D1648" s="25"/>
      <c r="E1648" s="26"/>
    </row>
    <row r="1649">
      <c r="D1649" s="25"/>
      <c r="E1649" s="26"/>
    </row>
    <row r="1650">
      <c r="D1650" s="25"/>
      <c r="E1650" s="26"/>
    </row>
    <row r="1651">
      <c r="D1651" s="25"/>
      <c r="E1651" s="26"/>
    </row>
    <row r="1652">
      <c r="D1652" s="25"/>
      <c r="E1652" s="26"/>
    </row>
    <row r="1653">
      <c r="D1653" s="25"/>
      <c r="E1653" s="26"/>
    </row>
    <row r="1654">
      <c r="D1654" s="25"/>
      <c r="E1654" s="26"/>
    </row>
    <row r="1655">
      <c r="D1655" s="25"/>
      <c r="E1655" s="26"/>
    </row>
    <row r="1656">
      <c r="D1656" s="25"/>
      <c r="E1656" s="26"/>
    </row>
    <row r="1657">
      <c r="D1657" s="25"/>
      <c r="E1657" s="26"/>
    </row>
    <row r="1658">
      <c r="D1658" s="25"/>
      <c r="E1658" s="26"/>
    </row>
    <row r="1659">
      <c r="D1659" s="25"/>
      <c r="E1659" s="26"/>
    </row>
    <row r="1660">
      <c r="D1660" s="25"/>
      <c r="E1660" s="26"/>
    </row>
    <row r="1661">
      <c r="D1661" s="25"/>
      <c r="E1661" s="26"/>
    </row>
    <row r="1662">
      <c r="D1662" s="25"/>
      <c r="E1662" s="26"/>
    </row>
    <row r="1663">
      <c r="D1663" s="25"/>
      <c r="E1663" s="26"/>
    </row>
    <row r="1664">
      <c r="D1664" s="25"/>
      <c r="E1664" s="26"/>
    </row>
    <row r="1665">
      <c r="D1665" s="25"/>
      <c r="E1665" s="26"/>
    </row>
    <row r="1666">
      <c r="D1666" s="25"/>
      <c r="E1666" s="26"/>
    </row>
    <row r="1667">
      <c r="D1667" s="25"/>
      <c r="E1667" s="26"/>
    </row>
    <row r="1668">
      <c r="D1668" s="25"/>
      <c r="E1668" s="26"/>
    </row>
    <row r="1669">
      <c r="D1669" s="25"/>
      <c r="E1669" s="26"/>
    </row>
    <row r="1670">
      <c r="D1670" s="25"/>
      <c r="E1670" s="26"/>
    </row>
    <row r="1671">
      <c r="D1671" s="25"/>
      <c r="E1671" s="26"/>
    </row>
    <row r="1672">
      <c r="D1672" s="25"/>
      <c r="E1672" s="26"/>
    </row>
    <row r="1673">
      <c r="D1673" s="25"/>
      <c r="E1673" s="26"/>
    </row>
    <row r="1674">
      <c r="D1674" s="25"/>
      <c r="E1674" s="26"/>
    </row>
    <row r="1675">
      <c r="D1675" s="25"/>
      <c r="E1675" s="26"/>
    </row>
    <row r="1676">
      <c r="D1676" s="25"/>
      <c r="E1676" s="26"/>
    </row>
    <row r="1677">
      <c r="D1677" s="25"/>
      <c r="E1677" s="26"/>
    </row>
    <row r="1678">
      <c r="D1678" s="25"/>
      <c r="E1678" s="26"/>
    </row>
    <row r="1679">
      <c r="D1679" s="25"/>
      <c r="E1679" s="26"/>
    </row>
    <row r="1680">
      <c r="D1680" s="25"/>
      <c r="E1680" s="26"/>
    </row>
    <row r="1681">
      <c r="D1681" s="25"/>
      <c r="E1681" s="26"/>
    </row>
    <row r="1682">
      <c r="D1682" s="25"/>
      <c r="E1682" s="26"/>
    </row>
    <row r="1683">
      <c r="D1683" s="25"/>
      <c r="E1683" s="26"/>
    </row>
    <row r="1684">
      <c r="D1684" s="25"/>
      <c r="E1684" s="26"/>
    </row>
    <row r="1685">
      <c r="D1685" s="25"/>
      <c r="E1685" s="26"/>
    </row>
    <row r="1686">
      <c r="D1686" s="25"/>
      <c r="E1686" s="26"/>
    </row>
    <row r="1687">
      <c r="D1687" s="25"/>
      <c r="E1687" s="26"/>
    </row>
    <row r="1688">
      <c r="D1688" s="25"/>
      <c r="E1688" s="26"/>
    </row>
    <row r="1689">
      <c r="D1689" s="25"/>
      <c r="E1689" s="26"/>
    </row>
    <row r="1690">
      <c r="D1690" s="25"/>
      <c r="E1690" s="26"/>
    </row>
    <row r="1691">
      <c r="D1691" s="25"/>
      <c r="E1691" s="26"/>
    </row>
    <row r="1692">
      <c r="D1692" s="25"/>
      <c r="E1692" s="26"/>
    </row>
    <row r="1693">
      <c r="D1693" s="25"/>
      <c r="E1693" s="26"/>
    </row>
    <row r="1694">
      <c r="D1694" s="25"/>
      <c r="E1694" s="26"/>
    </row>
    <row r="1695">
      <c r="D1695" s="25"/>
      <c r="E1695" s="26"/>
    </row>
    <row r="1696">
      <c r="D1696" s="25"/>
      <c r="E1696" s="26"/>
    </row>
    <row r="1697">
      <c r="D1697" s="25"/>
      <c r="E1697" s="26"/>
    </row>
    <row r="1698">
      <c r="D1698" s="25"/>
      <c r="E1698" s="26"/>
    </row>
    <row r="1699">
      <c r="D1699" s="25"/>
      <c r="E1699" s="26"/>
    </row>
    <row r="1700">
      <c r="D1700" s="25"/>
      <c r="E1700" s="26"/>
    </row>
    <row r="1701">
      <c r="D1701" s="25"/>
      <c r="E1701" s="26"/>
    </row>
    <row r="1702">
      <c r="D1702" s="25"/>
      <c r="E1702" s="26"/>
    </row>
    <row r="1703">
      <c r="D1703" s="25"/>
      <c r="E1703" s="26"/>
    </row>
    <row r="1704">
      <c r="D1704" s="25"/>
      <c r="E1704" s="26"/>
    </row>
    <row r="1705">
      <c r="D1705" s="25"/>
      <c r="E1705" s="2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7" t="s">
        <v>183</v>
      </c>
      <c r="J1" s="28"/>
    </row>
    <row r="2">
      <c r="J2" s="29"/>
    </row>
    <row r="3">
      <c r="J3" s="29"/>
    </row>
    <row r="4">
      <c r="J4" s="29"/>
    </row>
    <row r="5">
      <c r="J5" s="28"/>
    </row>
    <row r="6">
      <c r="J6" s="29"/>
    </row>
    <row r="7">
      <c r="J7" s="29"/>
    </row>
    <row r="8">
      <c r="J8" s="29"/>
    </row>
    <row r="9">
      <c r="J9" s="29"/>
    </row>
    <row r="10">
      <c r="J10" s="29"/>
    </row>
    <row r="11">
      <c r="J11" s="29"/>
    </row>
    <row r="12">
      <c r="J12" s="29"/>
    </row>
    <row r="13">
      <c r="J13" s="29"/>
    </row>
    <row r="14">
      <c r="J14" s="29"/>
    </row>
    <row r="15">
      <c r="J15" s="29"/>
    </row>
    <row r="16">
      <c r="J16" s="28"/>
    </row>
    <row r="17">
      <c r="J17" s="29"/>
    </row>
    <row r="18">
      <c r="J18" s="29"/>
    </row>
    <row r="19">
      <c r="A19" s="27" t="s">
        <v>184</v>
      </c>
      <c r="B19" s="30"/>
      <c r="C19" s="30"/>
      <c r="D19" s="30"/>
      <c r="E19" s="30"/>
      <c r="F19" s="27" t="s">
        <v>184</v>
      </c>
      <c r="G19" s="30"/>
      <c r="H19" s="30"/>
      <c r="I19" s="30"/>
      <c r="J19" s="31"/>
      <c r="K19" s="27" t="s">
        <v>184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2" t="s">
        <v>185</v>
      </c>
      <c r="F20" s="32" t="s">
        <v>186</v>
      </c>
      <c r="J20" s="29"/>
      <c r="K20" s="32" t="s">
        <v>187</v>
      </c>
    </row>
    <row r="21">
      <c r="J21" s="29"/>
    </row>
    <row r="22">
      <c r="J22" s="29"/>
    </row>
    <row r="23">
      <c r="J23" s="29"/>
    </row>
    <row r="24">
      <c r="J24" s="29"/>
    </row>
    <row r="25">
      <c r="J25" s="29"/>
    </row>
    <row r="26">
      <c r="J26" s="29"/>
    </row>
    <row r="27">
      <c r="J27" s="29"/>
    </row>
    <row r="28">
      <c r="A28" s="27" t="s">
        <v>188</v>
      </c>
      <c r="B28" s="30"/>
      <c r="C28" s="27"/>
      <c r="J28" s="29"/>
    </row>
    <row r="29">
      <c r="J29" s="29"/>
    </row>
    <row r="30">
      <c r="J30" s="29"/>
    </row>
    <row r="31">
      <c r="J31" s="29"/>
    </row>
    <row r="32">
      <c r="J32" s="28"/>
    </row>
    <row r="33">
      <c r="J33" s="29"/>
    </row>
    <row r="34">
      <c r="J34" s="29"/>
    </row>
    <row r="35">
      <c r="J35" s="28"/>
    </row>
    <row r="36">
      <c r="J36" s="29"/>
    </row>
    <row r="37">
      <c r="J37" s="29"/>
    </row>
    <row r="38">
      <c r="J38" s="29"/>
    </row>
    <row r="39">
      <c r="J39" s="29"/>
    </row>
    <row r="40">
      <c r="J40" s="29"/>
    </row>
    <row r="41">
      <c r="J41" s="29"/>
    </row>
    <row r="42">
      <c r="J42" s="29"/>
    </row>
    <row r="43">
      <c r="J43" s="29"/>
    </row>
    <row r="44">
      <c r="J44" s="29"/>
    </row>
    <row r="45">
      <c r="A45" s="27"/>
      <c r="J45" s="29"/>
    </row>
    <row r="46">
      <c r="A46" s="33" t="s">
        <v>189</v>
      </c>
      <c r="B46" s="26">
        <f>SKEW(Raw!F2:F1204)</f>
        <v>-0.1007385553</v>
      </c>
      <c r="C46" s="26"/>
      <c r="D46" s="26"/>
      <c r="E46" s="26"/>
      <c r="F46" s="33" t="s">
        <v>189</v>
      </c>
      <c r="G46" s="26">
        <f>SKEW(Raw!H2:H1204)</f>
        <v>-0.1118763635</v>
      </c>
      <c r="H46" s="26"/>
      <c r="I46" s="26"/>
      <c r="J46" s="34"/>
      <c r="K46" s="33" t="s">
        <v>189</v>
      </c>
      <c r="L46" s="26">
        <f>SKEW(Raw!J2:J1204)</f>
        <v>0.7411759997</v>
      </c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33" t="s">
        <v>190</v>
      </c>
      <c r="B47" s="26">
        <f>KURT(Raw!F2:F1204)</f>
        <v>-0.03393368197</v>
      </c>
      <c r="C47" s="26"/>
      <c r="D47" s="26"/>
      <c r="E47" s="26"/>
      <c r="F47" s="33" t="s">
        <v>190</v>
      </c>
      <c r="G47" s="26">
        <f>KURT(Raw!H3:H1205)</f>
        <v>-0.6036294248</v>
      </c>
      <c r="H47" s="26"/>
      <c r="I47" s="26"/>
      <c r="J47" s="35"/>
      <c r="K47" s="33" t="s">
        <v>190</v>
      </c>
      <c r="L47" s="26">
        <f>KURT(Raw!J3:J1205)</f>
        <v>-1.098423608</v>
      </c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J48" s="29"/>
      <c r="L48" s="36"/>
    </row>
    <row r="49">
      <c r="A49" s="27" t="s">
        <v>191</v>
      </c>
      <c r="F49" s="27" t="s">
        <v>191</v>
      </c>
      <c r="J49" s="29"/>
      <c r="K49" s="27" t="s">
        <v>191</v>
      </c>
      <c r="L49" s="36"/>
    </row>
    <row r="50">
      <c r="A50" s="32" t="s">
        <v>192</v>
      </c>
      <c r="F50" s="32" t="s">
        <v>193</v>
      </c>
      <c r="J50" s="29"/>
      <c r="K50" s="37" t="s">
        <v>194</v>
      </c>
    </row>
    <row r="51">
      <c r="J51" s="29"/>
    </row>
    <row r="52">
      <c r="J52" s="29"/>
    </row>
    <row r="53">
      <c r="J53" s="29"/>
    </row>
    <row r="54">
      <c r="J54" s="29"/>
    </row>
    <row r="55">
      <c r="J55" s="29"/>
    </row>
    <row r="56">
      <c r="J56" s="29"/>
    </row>
    <row r="57">
      <c r="J57" s="29"/>
      <c r="K57" s="36"/>
      <c r="L57" s="36"/>
    </row>
    <row r="58">
      <c r="A58" s="27" t="s">
        <v>195</v>
      </c>
      <c r="J58" s="29"/>
      <c r="K58" s="36"/>
      <c r="L58" s="36"/>
    </row>
    <row r="59">
      <c r="A59" s="32" t="s">
        <v>196</v>
      </c>
      <c r="J59" s="29"/>
      <c r="K59" s="36"/>
      <c r="L59" s="36"/>
    </row>
    <row r="60">
      <c r="J60" s="29"/>
      <c r="K60" s="36"/>
      <c r="L60" s="36"/>
    </row>
    <row r="61">
      <c r="J61" s="29"/>
      <c r="K61" s="38"/>
      <c r="L61" s="36"/>
    </row>
    <row r="62">
      <c r="J62" s="29"/>
      <c r="K62" s="36"/>
      <c r="L62" s="36"/>
    </row>
    <row r="63">
      <c r="J63" s="29"/>
      <c r="K63" s="36"/>
      <c r="L63" s="36"/>
    </row>
    <row r="64">
      <c r="J64" s="29"/>
      <c r="K64" s="39"/>
      <c r="L64" s="40"/>
    </row>
    <row r="65">
      <c r="J65" s="29"/>
      <c r="K65" s="36"/>
      <c r="L65" s="40"/>
    </row>
    <row r="66">
      <c r="J66" s="29"/>
      <c r="K66" s="36"/>
      <c r="L66" s="36"/>
    </row>
    <row r="67">
      <c r="J67" s="29"/>
      <c r="K67" s="40"/>
      <c r="L67" s="40"/>
    </row>
    <row r="68">
      <c r="J68" s="29"/>
      <c r="K68" s="36"/>
      <c r="L68" s="40"/>
    </row>
    <row r="69">
      <c r="J69" s="29"/>
      <c r="K69" s="36"/>
      <c r="L69" s="40"/>
    </row>
    <row r="70">
      <c r="J70" s="29"/>
      <c r="K70" s="36"/>
      <c r="L70" s="40"/>
    </row>
    <row r="71">
      <c r="J71" s="29"/>
      <c r="K71" s="36"/>
      <c r="L71" s="36"/>
    </row>
    <row r="72">
      <c r="J72" s="29"/>
      <c r="K72" s="36"/>
      <c r="L72" s="40"/>
    </row>
    <row r="73">
      <c r="J73" s="29"/>
      <c r="K73" s="36"/>
      <c r="L73" s="40"/>
    </row>
    <row r="74">
      <c r="J74" s="29"/>
      <c r="K74" s="36"/>
      <c r="L74" s="40"/>
    </row>
    <row r="75">
      <c r="J75" s="29"/>
      <c r="K75" s="38"/>
      <c r="L75" s="36"/>
    </row>
    <row r="76">
      <c r="J76" s="29"/>
      <c r="K76" s="29"/>
    </row>
    <row r="77">
      <c r="J77" s="29"/>
      <c r="K77" s="29"/>
    </row>
    <row r="78">
      <c r="J78" s="29"/>
      <c r="K78" s="28"/>
    </row>
    <row r="79">
      <c r="J79" s="29"/>
    </row>
    <row r="80">
      <c r="J80" s="29"/>
    </row>
    <row r="81">
      <c r="J81" s="29"/>
    </row>
    <row r="82">
      <c r="J82" s="29"/>
    </row>
    <row r="83">
      <c r="J83" s="29"/>
    </row>
    <row r="84">
      <c r="J84" s="29"/>
    </row>
    <row r="85">
      <c r="J85" s="29"/>
    </row>
    <row r="86">
      <c r="J86" s="29"/>
    </row>
    <row r="87">
      <c r="J87" s="29"/>
    </row>
    <row r="88">
      <c r="J88" s="29"/>
    </row>
    <row r="89">
      <c r="J89" s="29"/>
    </row>
    <row r="90">
      <c r="J90" s="29"/>
    </row>
    <row r="91">
      <c r="J91" s="29"/>
    </row>
    <row r="92">
      <c r="J92" s="29"/>
    </row>
    <row r="93">
      <c r="J93" s="29"/>
    </row>
    <row r="94">
      <c r="J94" s="29"/>
    </row>
    <row r="95">
      <c r="J95" s="29"/>
    </row>
    <row r="96">
      <c r="J96" s="29"/>
    </row>
    <row r="97">
      <c r="J97" s="29"/>
    </row>
    <row r="98">
      <c r="J98" s="29"/>
    </row>
    <row r="99">
      <c r="J99" s="29"/>
    </row>
    <row r="100">
      <c r="J100" s="29"/>
    </row>
    <row r="101">
      <c r="J101" s="29"/>
    </row>
    <row r="102">
      <c r="J102" s="29"/>
    </row>
    <row r="103">
      <c r="J103" s="29"/>
    </row>
    <row r="104">
      <c r="J104" s="29"/>
    </row>
    <row r="105">
      <c r="J105" s="29"/>
    </row>
    <row r="106">
      <c r="J106" s="29"/>
    </row>
    <row r="107">
      <c r="J107" s="29"/>
    </row>
    <row r="108">
      <c r="J108" s="29"/>
    </row>
    <row r="109">
      <c r="J109" s="29"/>
    </row>
    <row r="110">
      <c r="J110" s="29"/>
    </row>
    <row r="111">
      <c r="J111" s="29"/>
    </row>
    <row r="112">
      <c r="J112" s="29"/>
    </row>
    <row r="113">
      <c r="J113" s="29"/>
    </row>
    <row r="114">
      <c r="J114" s="29"/>
    </row>
    <row r="115">
      <c r="J115" s="29"/>
    </row>
    <row r="116">
      <c r="J116" s="29"/>
    </row>
    <row r="117">
      <c r="J117" s="29"/>
    </row>
    <row r="118">
      <c r="J118" s="29"/>
    </row>
    <row r="119">
      <c r="J119" s="29"/>
    </row>
    <row r="120">
      <c r="J120" s="29"/>
    </row>
    <row r="121">
      <c r="J121" s="29"/>
    </row>
    <row r="122">
      <c r="J122" s="29"/>
    </row>
    <row r="123">
      <c r="J123" s="29"/>
    </row>
    <row r="124">
      <c r="J124" s="29"/>
    </row>
    <row r="125">
      <c r="J125" s="29"/>
    </row>
    <row r="126">
      <c r="J126" s="29"/>
    </row>
    <row r="127">
      <c r="J127" s="29"/>
    </row>
    <row r="128">
      <c r="J128" s="29"/>
    </row>
    <row r="129">
      <c r="J129" s="29"/>
    </row>
    <row r="130">
      <c r="J130" s="29"/>
    </row>
    <row r="131">
      <c r="J131" s="29"/>
    </row>
    <row r="132">
      <c r="J132" s="29"/>
    </row>
    <row r="133">
      <c r="J133" s="29"/>
    </row>
    <row r="134">
      <c r="J134" s="29"/>
    </row>
    <row r="135">
      <c r="J135" s="29"/>
    </row>
    <row r="136">
      <c r="J136" s="29"/>
    </row>
    <row r="137">
      <c r="J137" s="29"/>
    </row>
    <row r="138">
      <c r="J138" s="29"/>
    </row>
    <row r="139">
      <c r="J139" s="29"/>
    </row>
    <row r="140">
      <c r="J140" s="29"/>
    </row>
    <row r="141">
      <c r="J141" s="29"/>
    </row>
    <row r="142">
      <c r="J142" s="29"/>
    </row>
    <row r="143">
      <c r="J143" s="29"/>
    </row>
    <row r="144">
      <c r="J144" s="29"/>
    </row>
    <row r="145">
      <c r="J145" s="29"/>
    </row>
    <row r="146">
      <c r="J146" s="29"/>
    </row>
    <row r="147">
      <c r="J147" s="29"/>
    </row>
    <row r="148">
      <c r="J148" s="29"/>
    </row>
    <row r="149">
      <c r="J149" s="29"/>
    </row>
    <row r="150">
      <c r="J150" s="29"/>
    </row>
    <row r="151">
      <c r="J151" s="29"/>
    </row>
    <row r="152">
      <c r="J152" s="29"/>
    </row>
    <row r="153">
      <c r="J153" s="29"/>
    </row>
    <row r="154">
      <c r="J154" s="29"/>
    </row>
    <row r="155">
      <c r="J155" s="29"/>
    </row>
    <row r="156">
      <c r="J156" s="29"/>
    </row>
    <row r="157">
      <c r="J157" s="29"/>
    </row>
    <row r="158">
      <c r="J158" s="29"/>
    </row>
    <row r="159">
      <c r="J159" s="29"/>
    </row>
    <row r="160">
      <c r="J160" s="29"/>
    </row>
    <row r="161">
      <c r="J161" s="29"/>
    </row>
    <row r="162">
      <c r="J162" s="29"/>
    </row>
    <row r="163">
      <c r="J163" s="29"/>
    </row>
    <row r="164">
      <c r="J164" s="29"/>
    </row>
    <row r="165">
      <c r="J165" s="29"/>
    </row>
    <row r="166">
      <c r="J166" s="29"/>
    </row>
    <row r="167">
      <c r="J167" s="29"/>
    </row>
    <row r="168">
      <c r="J168" s="29"/>
    </row>
    <row r="169">
      <c r="J169" s="29"/>
    </row>
    <row r="170">
      <c r="J170" s="29"/>
    </row>
    <row r="171">
      <c r="J171" s="29"/>
    </row>
    <row r="172">
      <c r="J172" s="29"/>
    </row>
    <row r="173">
      <c r="J173" s="29"/>
    </row>
    <row r="174">
      <c r="J174" s="29"/>
    </row>
    <row r="175">
      <c r="J175" s="29"/>
    </row>
    <row r="176">
      <c r="J176" s="29"/>
    </row>
    <row r="177">
      <c r="J177" s="29"/>
    </row>
    <row r="178">
      <c r="J178" s="29"/>
    </row>
    <row r="179">
      <c r="J179" s="29"/>
    </row>
    <row r="180">
      <c r="J180" s="29"/>
    </row>
    <row r="181">
      <c r="J181" s="29"/>
    </row>
    <row r="182">
      <c r="J182" s="29"/>
    </row>
    <row r="183">
      <c r="J183" s="29"/>
    </row>
    <row r="184">
      <c r="J184" s="29"/>
    </row>
    <row r="185">
      <c r="J185" s="29"/>
    </row>
    <row r="186">
      <c r="J186" s="29"/>
    </row>
    <row r="187">
      <c r="J187" s="29"/>
    </row>
    <row r="188">
      <c r="J188" s="29"/>
    </row>
    <row r="189">
      <c r="J189" s="29"/>
    </row>
    <row r="190">
      <c r="J190" s="29"/>
    </row>
    <row r="191">
      <c r="J191" s="29"/>
    </row>
    <row r="192">
      <c r="J192" s="29"/>
    </row>
    <row r="193">
      <c r="J193" s="29"/>
    </row>
    <row r="194">
      <c r="J194" s="29"/>
    </row>
    <row r="195">
      <c r="J195" s="29"/>
    </row>
    <row r="196">
      <c r="J196" s="29"/>
    </row>
    <row r="197">
      <c r="J197" s="29"/>
    </row>
    <row r="198">
      <c r="J198" s="29"/>
    </row>
    <row r="199">
      <c r="J199" s="29"/>
    </row>
    <row r="200">
      <c r="J200" s="29"/>
    </row>
    <row r="201">
      <c r="J201" s="29"/>
    </row>
    <row r="202">
      <c r="J202" s="29"/>
    </row>
    <row r="203">
      <c r="J203" s="29"/>
    </row>
    <row r="204">
      <c r="J204" s="29"/>
    </row>
    <row r="205">
      <c r="J205" s="29"/>
    </row>
    <row r="206">
      <c r="J206" s="29"/>
    </row>
    <row r="207">
      <c r="J207" s="29"/>
    </row>
    <row r="208">
      <c r="J208" s="29"/>
    </row>
    <row r="209">
      <c r="J209" s="29"/>
    </row>
    <row r="210">
      <c r="J210" s="29"/>
    </row>
    <row r="211">
      <c r="J211" s="29"/>
    </row>
    <row r="212">
      <c r="J212" s="29"/>
    </row>
    <row r="213">
      <c r="J213" s="29"/>
    </row>
    <row r="214">
      <c r="J214" s="29"/>
    </row>
    <row r="215">
      <c r="J215" s="29"/>
    </row>
    <row r="216">
      <c r="J216" s="29"/>
    </row>
    <row r="217">
      <c r="J217" s="29"/>
    </row>
    <row r="218">
      <c r="J218" s="29"/>
    </row>
    <row r="219">
      <c r="J219" s="29"/>
    </row>
    <row r="220">
      <c r="J220" s="29"/>
    </row>
    <row r="221">
      <c r="J221" s="29"/>
    </row>
    <row r="222">
      <c r="J222" s="29"/>
    </row>
    <row r="223">
      <c r="J223" s="29"/>
    </row>
    <row r="224">
      <c r="J224" s="29"/>
    </row>
    <row r="225">
      <c r="J225" s="29"/>
    </row>
    <row r="226">
      <c r="J226" s="29"/>
    </row>
    <row r="227">
      <c r="J227" s="29"/>
    </row>
    <row r="228">
      <c r="J228" s="29"/>
    </row>
    <row r="229">
      <c r="J229" s="29"/>
    </row>
    <row r="230">
      <c r="J230" s="29"/>
    </row>
    <row r="231">
      <c r="J231" s="29"/>
    </row>
    <row r="232">
      <c r="J232" s="29"/>
    </row>
    <row r="233">
      <c r="J233" s="29"/>
    </row>
    <row r="234">
      <c r="J234" s="29"/>
    </row>
    <row r="235">
      <c r="J235" s="29"/>
    </row>
    <row r="236">
      <c r="J236" s="29"/>
    </row>
    <row r="237">
      <c r="J237" s="29"/>
    </row>
    <row r="238">
      <c r="J238" s="29"/>
    </row>
    <row r="239">
      <c r="J239" s="29"/>
    </row>
    <row r="240">
      <c r="J240" s="29"/>
    </row>
    <row r="241">
      <c r="J241" s="29"/>
    </row>
    <row r="242">
      <c r="J242" s="29"/>
    </row>
    <row r="243">
      <c r="J243" s="29"/>
    </row>
    <row r="244">
      <c r="J244" s="29"/>
    </row>
    <row r="245">
      <c r="J245" s="29"/>
    </row>
    <row r="246">
      <c r="J246" s="29"/>
    </row>
    <row r="247">
      <c r="J247" s="29"/>
    </row>
    <row r="248">
      <c r="J248" s="29"/>
    </row>
    <row r="249">
      <c r="J249" s="29"/>
    </row>
    <row r="250">
      <c r="J250" s="29"/>
    </row>
    <row r="251">
      <c r="J251" s="29"/>
    </row>
    <row r="252">
      <c r="J252" s="29"/>
    </row>
    <row r="253">
      <c r="J253" s="29"/>
    </row>
    <row r="254">
      <c r="J254" s="29"/>
    </row>
    <row r="255">
      <c r="J255" s="29"/>
    </row>
    <row r="256">
      <c r="J256" s="29"/>
    </row>
    <row r="257">
      <c r="J257" s="29"/>
    </row>
    <row r="258">
      <c r="J258" s="29"/>
    </row>
    <row r="259">
      <c r="J259" s="29"/>
    </row>
    <row r="260">
      <c r="J260" s="29"/>
    </row>
    <row r="261">
      <c r="J261" s="29"/>
    </row>
    <row r="262">
      <c r="J262" s="29"/>
    </row>
    <row r="263">
      <c r="J263" s="29"/>
    </row>
    <row r="264">
      <c r="J264" s="29"/>
    </row>
    <row r="265">
      <c r="J265" s="29"/>
    </row>
    <row r="266">
      <c r="J266" s="29"/>
    </row>
    <row r="267">
      <c r="J267" s="29"/>
    </row>
    <row r="268">
      <c r="J268" s="29"/>
    </row>
    <row r="269">
      <c r="J269" s="29"/>
    </row>
    <row r="270">
      <c r="J270" s="29"/>
    </row>
    <row r="271">
      <c r="J271" s="29"/>
    </row>
    <row r="272">
      <c r="J272" s="29"/>
    </row>
    <row r="273">
      <c r="J273" s="29"/>
    </row>
    <row r="274">
      <c r="J274" s="29"/>
    </row>
    <row r="275">
      <c r="J275" s="29"/>
    </row>
    <row r="276">
      <c r="J276" s="29"/>
    </row>
    <row r="277">
      <c r="J277" s="29"/>
    </row>
    <row r="278">
      <c r="J278" s="29"/>
    </row>
    <row r="279">
      <c r="J279" s="29"/>
    </row>
    <row r="280">
      <c r="J280" s="29"/>
    </row>
    <row r="281">
      <c r="J281" s="29"/>
    </row>
    <row r="282">
      <c r="J282" s="29"/>
    </row>
    <row r="283">
      <c r="J283" s="29"/>
    </row>
    <row r="284">
      <c r="J284" s="29"/>
    </row>
    <row r="285">
      <c r="J285" s="29"/>
    </row>
    <row r="286">
      <c r="J286" s="29"/>
    </row>
    <row r="287">
      <c r="J287" s="29"/>
    </row>
    <row r="288">
      <c r="J288" s="29"/>
    </row>
    <row r="289">
      <c r="J289" s="29"/>
    </row>
    <row r="290">
      <c r="J290" s="29"/>
    </row>
    <row r="291">
      <c r="J291" s="29"/>
    </row>
    <row r="292">
      <c r="J292" s="29"/>
    </row>
    <row r="293">
      <c r="J293" s="29"/>
    </row>
    <row r="294">
      <c r="J294" s="29"/>
    </row>
    <row r="295">
      <c r="J295" s="29"/>
    </row>
    <row r="296">
      <c r="J296" s="29"/>
    </row>
    <row r="297">
      <c r="J297" s="29"/>
    </row>
    <row r="298">
      <c r="J298" s="29"/>
    </row>
    <row r="299">
      <c r="J299" s="29"/>
    </row>
    <row r="300">
      <c r="J300" s="29"/>
    </row>
    <row r="301">
      <c r="J301" s="29"/>
    </row>
    <row r="302">
      <c r="J302" s="29"/>
    </row>
    <row r="303">
      <c r="J303" s="29"/>
    </row>
    <row r="304">
      <c r="J304" s="29"/>
    </row>
    <row r="305">
      <c r="J305" s="29"/>
    </row>
    <row r="306">
      <c r="J306" s="29"/>
    </row>
    <row r="307">
      <c r="J307" s="29"/>
    </row>
    <row r="308">
      <c r="J308" s="29"/>
    </row>
    <row r="309">
      <c r="J309" s="29"/>
    </row>
    <row r="310">
      <c r="J310" s="29"/>
    </row>
    <row r="311">
      <c r="J311" s="29"/>
    </row>
    <row r="312">
      <c r="J312" s="29"/>
    </row>
    <row r="313">
      <c r="J313" s="29"/>
    </row>
    <row r="314">
      <c r="J314" s="29"/>
    </row>
    <row r="315">
      <c r="J315" s="29"/>
    </row>
    <row r="316">
      <c r="J316" s="29"/>
    </row>
    <row r="317">
      <c r="J317" s="29"/>
    </row>
    <row r="318">
      <c r="J318" s="29"/>
    </row>
    <row r="319">
      <c r="J319" s="29"/>
    </row>
    <row r="320">
      <c r="J320" s="29"/>
    </row>
    <row r="321">
      <c r="J321" s="29"/>
    </row>
    <row r="322">
      <c r="J322" s="29"/>
    </row>
    <row r="323">
      <c r="J323" s="29"/>
    </row>
    <row r="324">
      <c r="J324" s="29"/>
    </row>
    <row r="325">
      <c r="J325" s="29"/>
    </row>
    <row r="326">
      <c r="J326" s="29"/>
    </row>
    <row r="327">
      <c r="J327" s="29"/>
    </row>
    <row r="328">
      <c r="J328" s="29"/>
    </row>
    <row r="329">
      <c r="J329" s="29"/>
    </row>
    <row r="330">
      <c r="J330" s="29"/>
    </row>
    <row r="331">
      <c r="J331" s="29"/>
    </row>
    <row r="332">
      <c r="J332" s="29"/>
    </row>
    <row r="333">
      <c r="J333" s="29"/>
    </row>
    <row r="334">
      <c r="J334" s="29"/>
    </row>
    <row r="335">
      <c r="J335" s="29"/>
    </row>
    <row r="336">
      <c r="J336" s="29"/>
    </row>
    <row r="337">
      <c r="J337" s="29"/>
    </row>
    <row r="338">
      <c r="J338" s="29"/>
    </row>
    <row r="339">
      <c r="J339" s="29"/>
    </row>
    <row r="340">
      <c r="J340" s="29"/>
    </row>
    <row r="341">
      <c r="J341" s="29"/>
    </row>
    <row r="342">
      <c r="J342" s="29"/>
    </row>
    <row r="343">
      <c r="J343" s="29"/>
    </row>
    <row r="344">
      <c r="J344" s="29"/>
    </row>
    <row r="345">
      <c r="J345" s="29"/>
    </row>
    <row r="346">
      <c r="J346" s="29"/>
    </row>
    <row r="347">
      <c r="J347" s="29"/>
    </row>
    <row r="348">
      <c r="J348" s="29"/>
    </row>
    <row r="349">
      <c r="J349" s="29"/>
    </row>
    <row r="350">
      <c r="J350" s="29"/>
    </row>
    <row r="351">
      <c r="J351" s="29"/>
    </row>
    <row r="352">
      <c r="J352" s="29"/>
    </row>
    <row r="353">
      <c r="J353" s="29"/>
    </row>
    <row r="354">
      <c r="J354" s="29"/>
    </row>
    <row r="355">
      <c r="J355" s="29"/>
    </row>
    <row r="356">
      <c r="J356" s="29"/>
    </row>
    <row r="357">
      <c r="J357" s="29"/>
    </row>
    <row r="358">
      <c r="J358" s="29"/>
    </row>
    <row r="359">
      <c r="J359" s="29"/>
    </row>
    <row r="360">
      <c r="J360" s="29"/>
    </row>
    <row r="361">
      <c r="J361" s="29"/>
    </row>
    <row r="362">
      <c r="J362" s="29"/>
    </row>
    <row r="363">
      <c r="J363" s="29"/>
    </row>
    <row r="364">
      <c r="J364" s="29"/>
    </row>
    <row r="365">
      <c r="J365" s="29"/>
    </row>
    <row r="366">
      <c r="J366" s="29"/>
    </row>
    <row r="367">
      <c r="J367" s="29"/>
    </row>
    <row r="368">
      <c r="J368" s="29"/>
    </row>
    <row r="369">
      <c r="J369" s="29"/>
    </row>
    <row r="370">
      <c r="J370" s="29"/>
    </row>
    <row r="371">
      <c r="J371" s="29"/>
    </row>
    <row r="372">
      <c r="J372" s="29"/>
    </row>
    <row r="373">
      <c r="J373" s="29"/>
    </row>
    <row r="374">
      <c r="J374" s="29"/>
    </row>
    <row r="375">
      <c r="J375" s="29"/>
    </row>
    <row r="376">
      <c r="J376" s="29"/>
    </row>
    <row r="377">
      <c r="J377" s="29"/>
    </row>
    <row r="378">
      <c r="J378" s="29"/>
    </row>
    <row r="379">
      <c r="J379" s="29"/>
    </row>
    <row r="380">
      <c r="J380" s="29"/>
    </row>
    <row r="381">
      <c r="J381" s="29"/>
    </row>
    <row r="382">
      <c r="J382" s="29"/>
    </row>
    <row r="383">
      <c r="J383" s="29"/>
    </row>
    <row r="384">
      <c r="J384" s="29"/>
    </row>
    <row r="385">
      <c r="J385" s="29"/>
    </row>
    <row r="386">
      <c r="J386" s="29"/>
    </row>
    <row r="387">
      <c r="J387" s="29"/>
    </row>
    <row r="388">
      <c r="J388" s="29"/>
    </row>
    <row r="389">
      <c r="J389" s="29"/>
    </row>
    <row r="390">
      <c r="J390" s="29"/>
    </row>
    <row r="391">
      <c r="J391" s="29"/>
    </row>
    <row r="392">
      <c r="J392" s="29"/>
    </row>
    <row r="393">
      <c r="J393" s="29"/>
    </row>
    <row r="394">
      <c r="J394" s="29"/>
    </row>
    <row r="395">
      <c r="J395" s="29"/>
    </row>
    <row r="396">
      <c r="J396" s="29"/>
    </row>
    <row r="397">
      <c r="J397" s="29"/>
    </row>
    <row r="398">
      <c r="J398" s="29"/>
    </row>
    <row r="399">
      <c r="J399" s="29"/>
    </row>
    <row r="400">
      <c r="J400" s="29"/>
    </row>
    <row r="401">
      <c r="J401" s="29"/>
    </row>
    <row r="402">
      <c r="J402" s="29"/>
    </row>
    <row r="403">
      <c r="J403" s="29"/>
    </row>
    <row r="404">
      <c r="J404" s="29"/>
    </row>
    <row r="405">
      <c r="J405" s="29"/>
    </row>
    <row r="406">
      <c r="J406" s="29"/>
    </row>
    <row r="407">
      <c r="J407" s="29"/>
    </row>
    <row r="408">
      <c r="J408" s="29"/>
    </row>
    <row r="409">
      <c r="J409" s="29"/>
    </row>
    <row r="410">
      <c r="J410" s="29"/>
    </row>
    <row r="411">
      <c r="J411" s="29"/>
    </row>
    <row r="412">
      <c r="J412" s="29"/>
    </row>
    <row r="413">
      <c r="J413" s="29"/>
    </row>
    <row r="414">
      <c r="J414" s="29"/>
    </row>
    <row r="415">
      <c r="J415" s="29"/>
    </row>
    <row r="416">
      <c r="J416" s="29"/>
    </row>
    <row r="417">
      <c r="J417" s="29"/>
    </row>
    <row r="418">
      <c r="J418" s="29"/>
    </row>
    <row r="419">
      <c r="J419" s="29"/>
    </row>
    <row r="420">
      <c r="J420" s="29"/>
    </row>
    <row r="421">
      <c r="J421" s="29"/>
    </row>
    <row r="422">
      <c r="J422" s="29"/>
    </row>
    <row r="423">
      <c r="J423" s="29"/>
    </row>
    <row r="424">
      <c r="J424" s="29"/>
    </row>
    <row r="425">
      <c r="J425" s="29"/>
    </row>
    <row r="426">
      <c r="J426" s="29"/>
    </row>
    <row r="427">
      <c r="J427" s="29"/>
    </row>
    <row r="428">
      <c r="J428" s="29"/>
    </row>
    <row r="429">
      <c r="J429" s="29"/>
    </row>
    <row r="430">
      <c r="J430" s="29"/>
    </row>
    <row r="431">
      <c r="J431" s="29"/>
    </row>
    <row r="432">
      <c r="J432" s="29"/>
    </row>
    <row r="433">
      <c r="J433" s="29"/>
    </row>
    <row r="434">
      <c r="J434" s="29"/>
    </row>
    <row r="435">
      <c r="J435" s="29"/>
    </row>
    <row r="436">
      <c r="J436" s="29"/>
    </row>
    <row r="437">
      <c r="J437" s="29"/>
    </row>
    <row r="438">
      <c r="J438" s="29"/>
    </row>
    <row r="439">
      <c r="J439" s="29"/>
    </row>
    <row r="440">
      <c r="J440" s="29"/>
    </row>
    <row r="441">
      <c r="J441" s="29"/>
    </row>
    <row r="442">
      <c r="J442" s="29"/>
    </row>
    <row r="443">
      <c r="J443" s="29"/>
    </row>
    <row r="444">
      <c r="J444" s="29"/>
    </row>
    <row r="445">
      <c r="J445" s="29"/>
    </row>
    <row r="446">
      <c r="J446" s="29"/>
    </row>
    <row r="447">
      <c r="J447" s="29"/>
    </row>
    <row r="448">
      <c r="J448" s="29"/>
    </row>
    <row r="449">
      <c r="J449" s="29"/>
    </row>
    <row r="450">
      <c r="J450" s="29"/>
    </row>
    <row r="451">
      <c r="J451" s="29"/>
    </row>
    <row r="452">
      <c r="J452" s="29"/>
    </row>
    <row r="453">
      <c r="J453" s="29"/>
    </row>
    <row r="454">
      <c r="J454" s="29"/>
    </row>
    <row r="455">
      <c r="J455" s="29"/>
    </row>
    <row r="456">
      <c r="J456" s="29"/>
    </row>
    <row r="457">
      <c r="J457" s="29"/>
    </row>
    <row r="458">
      <c r="J458" s="29"/>
    </row>
    <row r="459">
      <c r="J459" s="29"/>
    </row>
    <row r="460">
      <c r="J460" s="29"/>
    </row>
    <row r="461">
      <c r="J461" s="29"/>
    </row>
    <row r="462">
      <c r="J462" s="29"/>
    </row>
    <row r="463">
      <c r="J463" s="29"/>
    </row>
    <row r="464">
      <c r="J464" s="29"/>
    </row>
    <row r="465">
      <c r="J465" s="29"/>
    </row>
    <row r="466">
      <c r="J466" s="29"/>
    </row>
    <row r="467">
      <c r="J467" s="29"/>
    </row>
    <row r="468">
      <c r="J468" s="29"/>
    </row>
    <row r="469">
      <c r="J469" s="29"/>
    </row>
    <row r="470">
      <c r="J470" s="29"/>
    </row>
    <row r="471">
      <c r="J471" s="29"/>
    </row>
    <row r="472">
      <c r="J472" s="29"/>
    </row>
    <row r="473">
      <c r="J473" s="29"/>
    </row>
    <row r="474">
      <c r="J474" s="29"/>
    </row>
    <row r="475">
      <c r="J475" s="29"/>
    </row>
    <row r="476">
      <c r="J476" s="29"/>
    </row>
    <row r="477">
      <c r="J477" s="29"/>
    </row>
    <row r="478">
      <c r="J478" s="29"/>
    </row>
    <row r="479">
      <c r="J479" s="29"/>
    </row>
    <row r="480">
      <c r="J480" s="29"/>
    </row>
    <row r="481">
      <c r="J481" s="29"/>
    </row>
    <row r="482">
      <c r="J482" s="29"/>
    </row>
    <row r="483">
      <c r="J483" s="29"/>
    </row>
    <row r="484">
      <c r="J484" s="29"/>
    </row>
    <row r="485">
      <c r="J485" s="29"/>
    </row>
    <row r="486">
      <c r="J486" s="29"/>
    </row>
    <row r="487">
      <c r="J487" s="29"/>
    </row>
    <row r="488">
      <c r="J488" s="29"/>
    </row>
    <row r="489">
      <c r="J489" s="29"/>
    </row>
    <row r="490">
      <c r="J490" s="29"/>
    </row>
    <row r="491">
      <c r="J491" s="29"/>
    </row>
    <row r="492">
      <c r="J492" s="29"/>
    </row>
    <row r="493">
      <c r="J493" s="29"/>
    </row>
    <row r="494">
      <c r="J494" s="29"/>
    </row>
    <row r="495">
      <c r="J495" s="29"/>
    </row>
    <row r="496">
      <c r="J496" s="29"/>
    </row>
    <row r="497">
      <c r="J497" s="29"/>
    </row>
    <row r="498">
      <c r="J498" s="29"/>
    </row>
    <row r="499">
      <c r="J499" s="29"/>
    </row>
    <row r="500">
      <c r="J500" s="29"/>
    </row>
    <row r="501">
      <c r="J501" s="29"/>
    </row>
    <row r="502">
      <c r="J502" s="29"/>
    </row>
    <row r="503">
      <c r="J503" s="29"/>
    </row>
    <row r="504">
      <c r="J504" s="29"/>
    </row>
    <row r="505">
      <c r="J505" s="29"/>
    </row>
    <row r="506">
      <c r="J506" s="29"/>
    </row>
    <row r="507">
      <c r="J507" s="29"/>
    </row>
    <row r="508">
      <c r="J508" s="29"/>
    </row>
    <row r="509">
      <c r="J509" s="29"/>
    </row>
    <row r="510">
      <c r="J510" s="29"/>
    </row>
    <row r="511">
      <c r="J511" s="29"/>
    </row>
    <row r="512">
      <c r="J512" s="29"/>
    </row>
    <row r="513">
      <c r="J513" s="29"/>
    </row>
    <row r="514">
      <c r="J514" s="29"/>
    </row>
    <row r="515">
      <c r="J515" s="29"/>
    </row>
    <row r="516">
      <c r="J516" s="29"/>
    </row>
    <row r="517">
      <c r="J517" s="29"/>
    </row>
    <row r="518">
      <c r="J518" s="29"/>
    </row>
    <row r="519">
      <c r="J519" s="29"/>
    </row>
    <row r="520">
      <c r="J520" s="29"/>
    </row>
    <row r="521">
      <c r="J521" s="29"/>
    </row>
    <row r="522">
      <c r="J522" s="29"/>
    </row>
    <row r="523">
      <c r="J523" s="29"/>
    </row>
    <row r="524">
      <c r="J524" s="29"/>
    </row>
    <row r="525">
      <c r="J525" s="29"/>
    </row>
    <row r="526">
      <c r="J526" s="29"/>
    </row>
    <row r="527">
      <c r="J527" s="29"/>
    </row>
    <row r="528">
      <c r="J528" s="29"/>
    </row>
    <row r="529">
      <c r="J529" s="29"/>
    </row>
    <row r="530">
      <c r="J530" s="29"/>
    </row>
    <row r="531">
      <c r="J531" s="29"/>
    </row>
    <row r="532">
      <c r="J532" s="29"/>
    </row>
    <row r="533">
      <c r="J533" s="29"/>
    </row>
    <row r="534">
      <c r="J534" s="29"/>
    </row>
    <row r="535">
      <c r="J535" s="29"/>
    </row>
    <row r="536">
      <c r="J536" s="29"/>
    </row>
    <row r="537">
      <c r="J537" s="29"/>
    </row>
    <row r="538">
      <c r="J538" s="29"/>
    </row>
    <row r="539">
      <c r="J539" s="29"/>
    </row>
    <row r="540">
      <c r="J540" s="29"/>
    </row>
    <row r="541">
      <c r="J541" s="29"/>
    </row>
    <row r="542">
      <c r="J542" s="29"/>
    </row>
    <row r="543">
      <c r="J543" s="29"/>
    </row>
    <row r="544">
      <c r="J544" s="29"/>
    </row>
    <row r="545">
      <c r="J545" s="29"/>
    </row>
    <row r="546">
      <c r="J546" s="29"/>
    </row>
    <row r="547">
      <c r="J547" s="29"/>
    </row>
    <row r="548">
      <c r="J548" s="29"/>
    </row>
    <row r="549">
      <c r="J549" s="29"/>
    </row>
    <row r="550">
      <c r="J550" s="29"/>
    </row>
    <row r="551">
      <c r="J551" s="29"/>
    </row>
    <row r="552">
      <c r="J552" s="29"/>
    </row>
    <row r="553">
      <c r="J553" s="29"/>
    </row>
    <row r="554">
      <c r="J554" s="29"/>
    </row>
    <row r="555">
      <c r="J555" s="29"/>
    </row>
    <row r="556">
      <c r="J556" s="29"/>
    </row>
    <row r="557">
      <c r="J557" s="29"/>
    </row>
    <row r="558">
      <c r="J558" s="29"/>
    </row>
    <row r="559">
      <c r="J559" s="29"/>
    </row>
    <row r="560">
      <c r="J560" s="29"/>
    </row>
    <row r="561">
      <c r="J561" s="29"/>
    </row>
    <row r="562">
      <c r="J562" s="29"/>
    </row>
    <row r="563">
      <c r="J563" s="29"/>
    </row>
    <row r="564">
      <c r="J564" s="29"/>
    </row>
    <row r="565">
      <c r="J565" s="29"/>
    </row>
    <row r="566">
      <c r="J566" s="29"/>
    </row>
    <row r="567">
      <c r="J567" s="29"/>
    </row>
    <row r="568">
      <c r="J568" s="29"/>
    </row>
    <row r="569">
      <c r="J569" s="29"/>
    </row>
    <row r="570">
      <c r="J570" s="29"/>
    </row>
    <row r="571">
      <c r="J571" s="29"/>
    </row>
    <row r="572">
      <c r="J572" s="29"/>
    </row>
    <row r="573">
      <c r="J573" s="29"/>
    </row>
    <row r="574">
      <c r="J574" s="29"/>
    </row>
    <row r="575">
      <c r="J575" s="29"/>
    </row>
    <row r="576">
      <c r="J576" s="29"/>
    </row>
    <row r="577">
      <c r="J577" s="29"/>
    </row>
    <row r="578">
      <c r="J578" s="29"/>
    </row>
    <row r="579">
      <c r="J579" s="29"/>
    </row>
    <row r="580">
      <c r="J580" s="29"/>
    </row>
    <row r="581">
      <c r="J581" s="29"/>
    </row>
    <row r="582">
      <c r="J582" s="29"/>
    </row>
    <row r="583">
      <c r="J583" s="29"/>
    </row>
    <row r="584">
      <c r="J584" s="29"/>
    </row>
    <row r="585">
      <c r="J585" s="29"/>
    </row>
    <row r="586">
      <c r="J586" s="29"/>
    </row>
    <row r="587">
      <c r="J587" s="29"/>
    </row>
    <row r="588">
      <c r="J588" s="29"/>
    </row>
    <row r="589">
      <c r="J589" s="29"/>
    </row>
    <row r="590">
      <c r="J590" s="29"/>
    </row>
    <row r="591">
      <c r="J591" s="29"/>
    </row>
    <row r="592">
      <c r="J592" s="29"/>
    </row>
    <row r="593">
      <c r="J593" s="29"/>
    </row>
    <row r="594">
      <c r="J594" s="29"/>
    </row>
    <row r="595">
      <c r="J595" s="29"/>
    </row>
    <row r="596">
      <c r="J596" s="29"/>
    </row>
    <row r="597">
      <c r="J597" s="29"/>
    </row>
    <row r="598">
      <c r="J598" s="29"/>
    </row>
    <row r="599">
      <c r="J599" s="29"/>
    </row>
    <row r="600">
      <c r="J600" s="29"/>
    </row>
    <row r="601">
      <c r="J601" s="29"/>
    </row>
    <row r="602">
      <c r="J602" s="29"/>
    </row>
    <row r="603">
      <c r="J603" s="29"/>
    </row>
    <row r="604">
      <c r="J604" s="29"/>
    </row>
    <row r="605">
      <c r="J605" s="29"/>
    </row>
    <row r="606">
      <c r="J606" s="29"/>
    </row>
    <row r="607">
      <c r="J607" s="29"/>
    </row>
    <row r="608">
      <c r="J608" s="29"/>
    </row>
    <row r="609">
      <c r="J609" s="29"/>
    </row>
    <row r="610">
      <c r="J610" s="29"/>
    </row>
    <row r="611">
      <c r="J611" s="29"/>
    </row>
    <row r="612">
      <c r="J612" s="29"/>
    </row>
    <row r="613">
      <c r="J613" s="29"/>
    </row>
    <row r="614">
      <c r="J614" s="29"/>
    </row>
    <row r="615">
      <c r="J615" s="29"/>
    </row>
    <row r="616">
      <c r="J616" s="29"/>
    </row>
    <row r="617">
      <c r="J617" s="29"/>
    </row>
    <row r="618">
      <c r="J618" s="29"/>
    </row>
    <row r="619">
      <c r="J619" s="29"/>
    </row>
    <row r="620">
      <c r="J620" s="29"/>
    </row>
    <row r="621">
      <c r="J621" s="29"/>
    </row>
    <row r="622">
      <c r="J622" s="29"/>
    </row>
    <row r="623">
      <c r="J623" s="29"/>
    </row>
    <row r="624">
      <c r="J624" s="29"/>
    </row>
    <row r="625">
      <c r="J625" s="29"/>
    </row>
    <row r="626">
      <c r="J626" s="29"/>
    </row>
    <row r="627">
      <c r="J627" s="29"/>
    </row>
    <row r="628">
      <c r="J628" s="29"/>
    </row>
    <row r="629">
      <c r="J629" s="29"/>
    </row>
    <row r="630">
      <c r="J630" s="29"/>
    </row>
    <row r="631">
      <c r="J631" s="29"/>
    </row>
    <row r="632">
      <c r="J632" s="29"/>
    </row>
    <row r="633">
      <c r="J633" s="29"/>
    </row>
    <row r="634">
      <c r="J634" s="29"/>
    </row>
    <row r="635">
      <c r="J635" s="29"/>
    </row>
    <row r="636">
      <c r="J636" s="29"/>
    </row>
    <row r="637">
      <c r="J637" s="29"/>
    </row>
    <row r="638">
      <c r="J638" s="29"/>
    </row>
    <row r="639">
      <c r="J639" s="29"/>
    </row>
    <row r="640">
      <c r="J640" s="29"/>
    </row>
    <row r="641">
      <c r="J641" s="29"/>
    </row>
    <row r="642">
      <c r="J642" s="29"/>
    </row>
    <row r="643">
      <c r="J643" s="29"/>
    </row>
    <row r="644">
      <c r="J644" s="29"/>
    </row>
    <row r="645">
      <c r="J645" s="29"/>
    </row>
    <row r="646">
      <c r="J646" s="29"/>
    </row>
    <row r="647">
      <c r="J647" s="29"/>
    </row>
    <row r="648">
      <c r="J648" s="29"/>
    </row>
    <row r="649">
      <c r="J649" s="29"/>
    </row>
    <row r="650">
      <c r="J650" s="29"/>
    </row>
    <row r="651">
      <c r="J651" s="29"/>
    </row>
    <row r="652">
      <c r="J652" s="29"/>
    </row>
    <row r="653">
      <c r="J653" s="29"/>
    </row>
    <row r="654">
      <c r="J654" s="29"/>
    </row>
    <row r="655">
      <c r="J655" s="29"/>
    </row>
    <row r="656">
      <c r="J656" s="29"/>
    </row>
    <row r="657">
      <c r="J657" s="29"/>
    </row>
    <row r="658">
      <c r="J658" s="29"/>
    </row>
    <row r="659">
      <c r="J659" s="29"/>
    </row>
    <row r="660">
      <c r="J660" s="29"/>
    </row>
    <row r="661">
      <c r="J661" s="29"/>
    </row>
    <row r="662">
      <c r="J662" s="29"/>
    </row>
    <row r="663">
      <c r="J663" s="29"/>
    </row>
    <row r="664">
      <c r="J664" s="29"/>
    </row>
    <row r="665">
      <c r="J665" s="29"/>
    </row>
    <row r="666">
      <c r="J666" s="29"/>
    </row>
    <row r="667">
      <c r="J667" s="29"/>
    </row>
    <row r="668">
      <c r="J668" s="29"/>
    </row>
    <row r="669">
      <c r="J669" s="29"/>
    </row>
    <row r="670">
      <c r="J670" s="29"/>
    </row>
    <row r="671">
      <c r="J671" s="29"/>
    </row>
    <row r="672">
      <c r="J672" s="29"/>
    </row>
    <row r="673">
      <c r="J673" s="29"/>
    </row>
    <row r="674">
      <c r="J674" s="29"/>
    </row>
    <row r="675">
      <c r="J675" s="29"/>
    </row>
    <row r="676">
      <c r="J676" s="29"/>
    </row>
    <row r="677">
      <c r="J677" s="29"/>
    </row>
    <row r="678">
      <c r="J678" s="29"/>
    </row>
    <row r="679">
      <c r="J679" s="29"/>
    </row>
    <row r="680">
      <c r="J680" s="29"/>
    </row>
    <row r="681">
      <c r="J681" s="29"/>
    </row>
    <row r="682">
      <c r="J682" s="29"/>
    </row>
    <row r="683">
      <c r="J683" s="29"/>
    </row>
    <row r="684">
      <c r="J684" s="29"/>
    </row>
    <row r="685">
      <c r="J685" s="29"/>
    </row>
    <row r="686">
      <c r="J686" s="29"/>
    </row>
    <row r="687">
      <c r="J687" s="29"/>
    </row>
    <row r="688">
      <c r="J688" s="29"/>
    </row>
    <row r="689">
      <c r="J689" s="29"/>
    </row>
    <row r="690">
      <c r="J690" s="29"/>
    </row>
    <row r="691">
      <c r="J691" s="29"/>
    </row>
    <row r="692">
      <c r="J692" s="29"/>
    </row>
    <row r="693">
      <c r="J693" s="29"/>
    </row>
    <row r="694">
      <c r="J694" s="29"/>
    </row>
    <row r="695">
      <c r="J695" s="29"/>
    </row>
    <row r="696">
      <c r="J696" s="29"/>
    </row>
    <row r="697">
      <c r="J697" s="29"/>
    </row>
    <row r="698">
      <c r="J698" s="29"/>
    </row>
    <row r="699">
      <c r="J699" s="29"/>
    </row>
    <row r="700">
      <c r="J700" s="29"/>
    </row>
    <row r="701">
      <c r="J701" s="29"/>
    </row>
    <row r="702">
      <c r="J702" s="29"/>
    </row>
    <row r="703">
      <c r="J703" s="29"/>
    </row>
    <row r="704">
      <c r="J704" s="29"/>
    </row>
    <row r="705">
      <c r="J705" s="29"/>
    </row>
    <row r="706">
      <c r="J706" s="29"/>
    </row>
    <row r="707">
      <c r="J707" s="29"/>
    </row>
    <row r="708">
      <c r="J708" s="29"/>
    </row>
    <row r="709">
      <c r="J709" s="29"/>
    </row>
    <row r="710">
      <c r="J710" s="29"/>
    </row>
    <row r="711">
      <c r="J711" s="29"/>
    </row>
    <row r="712">
      <c r="J712" s="29"/>
    </row>
    <row r="713">
      <c r="J713" s="29"/>
    </row>
    <row r="714">
      <c r="J714" s="29"/>
    </row>
    <row r="715">
      <c r="J715" s="29"/>
    </row>
    <row r="716">
      <c r="J716" s="29"/>
    </row>
    <row r="717">
      <c r="J717" s="29"/>
    </row>
    <row r="718">
      <c r="J718" s="29"/>
    </row>
    <row r="719">
      <c r="J719" s="29"/>
    </row>
    <row r="720">
      <c r="J720" s="29"/>
    </row>
    <row r="721">
      <c r="J721" s="29"/>
    </row>
    <row r="722">
      <c r="J722" s="29"/>
    </row>
    <row r="723">
      <c r="J723" s="29"/>
    </row>
    <row r="724">
      <c r="J724" s="29"/>
    </row>
    <row r="725">
      <c r="J725" s="29"/>
    </row>
    <row r="726">
      <c r="J726" s="29"/>
    </row>
    <row r="727">
      <c r="J727" s="29"/>
    </row>
    <row r="728">
      <c r="J728" s="29"/>
    </row>
    <row r="729">
      <c r="J729" s="29"/>
    </row>
    <row r="730">
      <c r="J730" s="29"/>
    </row>
    <row r="731">
      <c r="J731" s="29"/>
    </row>
    <row r="732">
      <c r="J732" s="29"/>
    </row>
    <row r="733">
      <c r="J733" s="29"/>
    </row>
    <row r="734">
      <c r="J734" s="29"/>
    </row>
    <row r="735">
      <c r="J735" s="29"/>
    </row>
    <row r="736">
      <c r="J736" s="29"/>
    </row>
    <row r="737">
      <c r="J737" s="29"/>
    </row>
    <row r="738">
      <c r="J738" s="29"/>
    </row>
    <row r="739">
      <c r="J739" s="29"/>
    </row>
    <row r="740">
      <c r="J740" s="29"/>
    </row>
    <row r="741">
      <c r="J741" s="29"/>
    </row>
    <row r="742">
      <c r="J742" s="29"/>
    </row>
    <row r="743">
      <c r="J743" s="29"/>
    </row>
    <row r="744">
      <c r="J744" s="29"/>
    </row>
    <row r="745">
      <c r="J745" s="29"/>
    </row>
    <row r="746">
      <c r="J746" s="29"/>
    </row>
    <row r="747">
      <c r="J747" s="29"/>
    </row>
    <row r="748">
      <c r="J748" s="29"/>
    </row>
    <row r="749">
      <c r="J749" s="29"/>
    </row>
    <row r="750">
      <c r="J750" s="29"/>
    </row>
    <row r="751">
      <c r="J751" s="29"/>
    </row>
    <row r="752">
      <c r="J752" s="29"/>
    </row>
    <row r="753">
      <c r="J753" s="29"/>
    </row>
    <row r="754">
      <c r="J754" s="29"/>
    </row>
    <row r="755">
      <c r="J755" s="29"/>
    </row>
    <row r="756">
      <c r="J756" s="29"/>
    </row>
    <row r="757">
      <c r="J757" s="29"/>
    </row>
    <row r="758">
      <c r="J758" s="29"/>
    </row>
    <row r="759">
      <c r="J759" s="29"/>
    </row>
    <row r="760">
      <c r="J760" s="29"/>
    </row>
    <row r="761">
      <c r="J761" s="29"/>
    </row>
    <row r="762">
      <c r="J762" s="29"/>
    </row>
    <row r="763">
      <c r="J763" s="29"/>
    </row>
    <row r="764">
      <c r="J764" s="29"/>
    </row>
    <row r="765">
      <c r="J765" s="29"/>
    </row>
    <row r="766">
      <c r="J766" s="29"/>
    </row>
    <row r="767">
      <c r="J767" s="29"/>
    </row>
    <row r="768">
      <c r="J768" s="29"/>
    </row>
    <row r="769">
      <c r="J769" s="29"/>
    </row>
    <row r="770">
      <c r="J770" s="29"/>
    </row>
    <row r="771">
      <c r="J771" s="29"/>
    </row>
    <row r="772">
      <c r="J772" s="29"/>
    </row>
    <row r="773">
      <c r="J773" s="29"/>
    </row>
    <row r="774">
      <c r="J774" s="29"/>
    </row>
    <row r="775">
      <c r="J775" s="29"/>
    </row>
    <row r="776">
      <c r="J776" s="29"/>
    </row>
    <row r="777">
      <c r="J777" s="29"/>
    </row>
    <row r="778">
      <c r="J778" s="29"/>
    </row>
    <row r="779">
      <c r="J779" s="29"/>
    </row>
    <row r="780">
      <c r="J780" s="29"/>
    </row>
    <row r="781">
      <c r="J781" s="29"/>
    </row>
    <row r="782">
      <c r="J782" s="29"/>
    </row>
    <row r="783">
      <c r="J783" s="29"/>
    </row>
    <row r="784">
      <c r="J784" s="29"/>
    </row>
    <row r="785">
      <c r="J785" s="29"/>
    </row>
    <row r="786">
      <c r="J786" s="29"/>
    </row>
    <row r="787">
      <c r="J787" s="29"/>
    </row>
    <row r="788">
      <c r="J788" s="29"/>
    </row>
    <row r="789">
      <c r="J789" s="29"/>
    </row>
    <row r="790">
      <c r="J790" s="29"/>
    </row>
    <row r="791">
      <c r="J791" s="29"/>
    </row>
    <row r="792">
      <c r="J792" s="29"/>
    </row>
    <row r="793">
      <c r="J793" s="29"/>
    </row>
    <row r="794">
      <c r="J794" s="29"/>
    </row>
    <row r="795">
      <c r="J795" s="29"/>
    </row>
    <row r="796">
      <c r="J796" s="29"/>
    </row>
    <row r="797">
      <c r="J797" s="29"/>
    </row>
    <row r="798">
      <c r="J798" s="29"/>
    </row>
    <row r="799">
      <c r="J799" s="29"/>
    </row>
    <row r="800">
      <c r="J800" s="29"/>
    </row>
    <row r="801">
      <c r="J801" s="29"/>
    </row>
    <row r="802">
      <c r="J802" s="29"/>
    </row>
    <row r="803">
      <c r="J803" s="29"/>
    </row>
    <row r="804">
      <c r="J804" s="29"/>
    </row>
    <row r="805">
      <c r="J805" s="29"/>
    </row>
    <row r="806">
      <c r="J806" s="29"/>
    </row>
    <row r="807">
      <c r="J807" s="29"/>
    </row>
    <row r="808">
      <c r="J808" s="29"/>
    </row>
    <row r="809">
      <c r="J809" s="29"/>
    </row>
    <row r="810">
      <c r="J810" s="29"/>
    </row>
    <row r="811">
      <c r="J811" s="29"/>
    </row>
    <row r="812">
      <c r="J812" s="29"/>
    </row>
    <row r="813">
      <c r="J813" s="29"/>
    </row>
    <row r="814">
      <c r="J814" s="29"/>
    </row>
    <row r="815">
      <c r="J815" s="29"/>
    </row>
    <row r="816">
      <c r="J816" s="29"/>
    </row>
    <row r="817">
      <c r="J817" s="29"/>
    </row>
    <row r="818">
      <c r="J818" s="29"/>
    </row>
    <row r="819">
      <c r="J819" s="29"/>
    </row>
    <row r="820">
      <c r="J820" s="29"/>
    </row>
    <row r="821">
      <c r="J821" s="29"/>
    </row>
    <row r="822">
      <c r="J822" s="29"/>
    </row>
    <row r="823">
      <c r="J823" s="29"/>
    </row>
    <row r="824">
      <c r="J824" s="29"/>
    </row>
    <row r="825">
      <c r="J825" s="29"/>
    </row>
    <row r="826">
      <c r="J826" s="29"/>
    </row>
    <row r="827">
      <c r="J827" s="29"/>
    </row>
    <row r="828">
      <c r="J828" s="29"/>
    </row>
    <row r="829">
      <c r="J829" s="29"/>
    </row>
    <row r="830">
      <c r="J830" s="29"/>
    </row>
    <row r="831">
      <c r="J831" s="29"/>
    </row>
    <row r="832">
      <c r="J832" s="29"/>
    </row>
    <row r="833">
      <c r="J833" s="29"/>
    </row>
    <row r="834">
      <c r="J834" s="29"/>
    </row>
    <row r="835">
      <c r="J835" s="29"/>
    </row>
    <row r="836">
      <c r="J836" s="29"/>
    </row>
    <row r="837">
      <c r="J837" s="29"/>
    </row>
    <row r="838">
      <c r="J838" s="29"/>
    </row>
    <row r="839">
      <c r="J839" s="29"/>
    </row>
    <row r="840">
      <c r="J840" s="29"/>
    </row>
    <row r="841">
      <c r="J841" s="29"/>
    </row>
    <row r="842">
      <c r="J842" s="29"/>
    </row>
    <row r="843">
      <c r="J843" s="29"/>
    </row>
    <row r="844">
      <c r="J844" s="29"/>
    </row>
    <row r="845">
      <c r="J845" s="29"/>
    </row>
    <row r="846">
      <c r="J846" s="29"/>
    </row>
    <row r="847">
      <c r="J847" s="29"/>
    </row>
    <row r="848">
      <c r="J848" s="29"/>
    </row>
    <row r="849">
      <c r="J849" s="29"/>
    </row>
    <row r="850">
      <c r="J850" s="29"/>
    </row>
    <row r="851">
      <c r="J851" s="29"/>
    </row>
    <row r="852">
      <c r="J852" s="29"/>
    </row>
    <row r="853">
      <c r="J853" s="29"/>
    </row>
    <row r="854">
      <c r="J854" s="29"/>
    </row>
    <row r="855">
      <c r="J855" s="29"/>
    </row>
    <row r="856">
      <c r="J856" s="29"/>
    </row>
    <row r="857">
      <c r="J857" s="29"/>
    </row>
    <row r="858">
      <c r="J858" s="29"/>
    </row>
    <row r="859">
      <c r="J859" s="29"/>
    </row>
    <row r="860">
      <c r="J860" s="29"/>
    </row>
    <row r="861">
      <c r="J861" s="29"/>
    </row>
    <row r="862">
      <c r="J862" s="29"/>
    </row>
    <row r="863">
      <c r="J863" s="29"/>
    </row>
    <row r="864">
      <c r="J864" s="29"/>
    </row>
    <row r="865">
      <c r="J865" s="29"/>
    </row>
    <row r="866">
      <c r="J866" s="29"/>
    </row>
    <row r="867">
      <c r="J867" s="29"/>
    </row>
    <row r="868">
      <c r="J868" s="29"/>
    </row>
    <row r="869">
      <c r="J869" s="29"/>
    </row>
    <row r="870">
      <c r="J870" s="29"/>
    </row>
    <row r="871">
      <c r="J871" s="29"/>
    </row>
    <row r="872">
      <c r="J872" s="29"/>
    </row>
    <row r="873">
      <c r="J873" s="29"/>
    </row>
    <row r="874">
      <c r="J874" s="29"/>
    </row>
    <row r="875">
      <c r="J875" s="29"/>
    </row>
    <row r="876">
      <c r="J876" s="29"/>
    </row>
    <row r="877">
      <c r="J877" s="29"/>
    </row>
    <row r="878">
      <c r="J878" s="29"/>
    </row>
    <row r="879">
      <c r="J879" s="29"/>
    </row>
    <row r="880">
      <c r="J880" s="29"/>
    </row>
    <row r="881">
      <c r="J881" s="29"/>
    </row>
    <row r="882">
      <c r="J882" s="29"/>
    </row>
    <row r="883">
      <c r="J883" s="29"/>
    </row>
    <row r="884">
      <c r="J884" s="29"/>
    </row>
    <row r="885">
      <c r="J885" s="29"/>
    </row>
    <row r="886">
      <c r="J886" s="29"/>
    </row>
    <row r="887">
      <c r="J887" s="29"/>
    </row>
    <row r="888">
      <c r="J888" s="29"/>
    </row>
    <row r="889">
      <c r="J889" s="29"/>
    </row>
    <row r="890">
      <c r="J890" s="29"/>
    </row>
    <row r="891">
      <c r="J891" s="29"/>
    </row>
    <row r="892">
      <c r="J892" s="29"/>
    </row>
    <row r="893">
      <c r="J893" s="29"/>
    </row>
    <row r="894">
      <c r="J894" s="29"/>
    </row>
    <row r="895">
      <c r="J895" s="29"/>
    </row>
    <row r="896">
      <c r="J896" s="29"/>
    </row>
    <row r="897">
      <c r="J897" s="29"/>
    </row>
    <row r="898">
      <c r="J898" s="29"/>
    </row>
    <row r="899">
      <c r="J899" s="29"/>
    </row>
    <row r="900">
      <c r="J900" s="29"/>
    </row>
    <row r="901">
      <c r="J901" s="29"/>
    </row>
    <row r="902">
      <c r="J902" s="29"/>
    </row>
    <row r="903">
      <c r="J903" s="29"/>
    </row>
    <row r="904">
      <c r="J904" s="29"/>
    </row>
    <row r="905">
      <c r="J905" s="29"/>
    </row>
    <row r="906">
      <c r="J906" s="29"/>
    </row>
    <row r="907">
      <c r="J907" s="29"/>
    </row>
    <row r="908">
      <c r="J908" s="29"/>
    </row>
    <row r="909">
      <c r="J909" s="29"/>
    </row>
    <row r="910">
      <c r="J910" s="29"/>
    </row>
    <row r="911">
      <c r="J911" s="29"/>
    </row>
    <row r="912">
      <c r="J912" s="29"/>
    </row>
    <row r="913">
      <c r="J913" s="29"/>
    </row>
    <row r="914">
      <c r="J914" s="29"/>
    </row>
    <row r="915">
      <c r="J915" s="29"/>
    </row>
    <row r="916">
      <c r="J916" s="29"/>
    </row>
    <row r="917">
      <c r="J917" s="29"/>
    </row>
    <row r="918">
      <c r="J918" s="29"/>
    </row>
    <row r="919">
      <c r="J919" s="29"/>
    </row>
    <row r="920">
      <c r="J920" s="29"/>
    </row>
    <row r="921">
      <c r="J921" s="29"/>
    </row>
    <row r="922">
      <c r="J922" s="29"/>
    </row>
    <row r="923">
      <c r="J923" s="29"/>
    </row>
    <row r="924">
      <c r="J924" s="29"/>
    </row>
    <row r="925">
      <c r="J925" s="29"/>
    </row>
    <row r="926">
      <c r="J926" s="29"/>
    </row>
    <row r="927">
      <c r="J927" s="29"/>
    </row>
    <row r="928">
      <c r="J928" s="29"/>
    </row>
    <row r="929">
      <c r="J929" s="29"/>
    </row>
    <row r="930">
      <c r="J930" s="29"/>
    </row>
    <row r="931">
      <c r="J931" s="29"/>
    </row>
    <row r="932">
      <c r="J932" s="29"/>
    </row>
    <row r="933">
      <c r="J933" s="29"/>
    </row>
    <row r="934">
      <c r="J934" s="29"/>
    </row>
    <row r="935">
      <c r="J935" s="29"/>
    </row>
    <row r="936">
      <c r="J936" s="29"/>
    </row>
    <row r="937">
      <c r="J937" s="29"/>
    </row>
    <row r="938">
      <c r="J938" s="29"/>
    </row>
    <row r="939">
      <c r="J939" s="29"/>
    </row>
    <row r="940">
      <c r="J940" s="29"/>
    </row>
    <row r="941">
      <c r="J941" s="29"/>
    </row>
    <row r="942">
      <c r="J942" s="29"/>
    </row>
    <row r="943">
      <c r="J943" s="29"/>
    </row>
    <row r="944">
      <c r="J944" s="29"/>
    </row>
    <row r="945">
      <c r="J945" s="29"/>
    </row>
    <row r="946">
      <c r="J946" s="29"/>
    </row>
    <row r="947">
      <c r="J947" s="29"/>
    </row>
    <row r="948">
      <c r="J948" s="29"/>
    </row>
    <row r="949">
      <c r="J949" s="29"/>
    </row>
    <row r="950">
      <c r="J950" s="29"/>
    </row>
    <row r="951">
      <c r="J951" s="29"/>
    </row>
    <row r="952">
      <c r="J952" s="29"/>
    </row>
    <row r="953">
      <c r="J953" s="29"/>
    </row>
    <row r="954">
      <c r="J954" s="29"/>
    </row>
    <row r="955">
      <c r="J955" s="29"/>
    </row>
    <row r="956">
      <c r="J956" s="29"/>
    </row>
    <row r="957">
      <c r="J957" s="29"/>
    </row>
    <row r="958">
      <c r="J958" s="29"/>
    </row>
    <row r="959">
      <c r="J959" s="29"/>
    </row>
    <row r="960">
      <c r="J960" s="29"/>
    </row>
    <row r="961">
      <c r="J961" s="29"/>
    </row>
    <row r="962">
      <c r="J962" s="29"/>
    </row>
    <row r="963">
      <c r="J963" s="29"/>
    </row>
    <row r="964">
      <c r="J964" s="29"/>
    </row>
    <row r="965">
      <c r="J965" s="29"/>
    </row>
    <row r="966">
      <c r="J966" s="29"/>
    </row>
    <row r="967">
      <c r="J967" s="29"/>
    </row>
    <row r="968">
      <c r="J968" s="29"/>
    </row>
    <row r="969">
      <c r="J969" s="29"/>
    </row>
    <row r="970">
      <c r="J970" s="29"/>
    </row>
    <row r="971">
      <c r="J971" s="29"/>
    </row>
    <row r="972">
      <c r="J972" s="29"/>
    </row>
    <row r="973">
      <c r="J973" s="29"/>
    </row>
    <row r="974">
      <c r="J974" s="29"/>
    </row>
    <row r="975">
      <c r="J975" s="29"/>
    </row>
    <row r="976">
      <c r="J976" s="29"/>
    </row>
    <row r="977">
      <c r="J977" s="29"/>
    </row>
    <row r="978">
      <c r="J978" s="29"/>
    </row>
    <row r="979">
      <c r="J979" s="29"/>
    </row>
    <row r="980">
      <c r="J980" s="29"/>
    </row>
    <row r="981">
      <c r="J981" s="29"/>
    </row>
    <row r="982">
      <c r="J982" s="29"/>
    </row>
    <row r="983">
      <c r="J983" s="29"/>
    </row>
    <row r="984">
      <c r="J984" s="29"/>
    </row>
    <row r="985">
      <c r="J985" s="29"/>
    </row>
    <row r="986">
      <c r="J986" s="29"/>
    </row>
    <row r="987">
      <c r="J987" s="29"/>
    </row>
    <row r="988">
      <c r="J988" s="29"/>
    </row>
    <row r="989">
      <c r="J989" s="29"/>
    </row>
    <row r="990">
      <c r="J990" s="29"/>
    </row>
    <row r="991">
      <c r="J991" s="29"/>
    </row>
    <row r="992">
      <c r="J992" s="29"/>
    </row>
    <row r="993">
      <c r="J993" s="29"/>
    </row>
    <row r="994">
      <c r="J994" s="29"/>
    </row>
    <row r="995">
      <c r="J995" s="29"/>
    </row>
    <row r="996">
      <c r="J996" s="29"/>
    </row>
    <row r="997">
      <c r="J997" s="29"/>
    </row>
    <row r="998">
      <c r="J998" s="29"/>
    </row>
    <row r="999">
      <c r="J999" s="29"/>
    </row>
    <row r="1000">
      <c r="J1000" s="29"/>
    </row>
    <row r="1001">
      <c r="J1001" s="29"/>
    </row>
    <row r="1002">
      <c r="J1002" s="29"/>
    </row>
    <row r="1003">
      <c r="J1003" s="29"/>
    </row>
    <row r="1004">
      <c r="J1004" s="29"/>
    </row>
    <row r="1005">
      <c r="J1005" s="29"/>
    </row>
    <row r="1006">
      <c r="J1006" s="29"/>
    </row>
    <row r="1007">
      <c r="J1007" s="29"/>
    </row>
    <row r="1008">
      <c r="J1008" s="29"/>
    </row>
    <row r="1009">
      <c r="J1009" s="29"/>
    </row>
    <row r="1010">
      <c r="J1010" s="29"/>
    </row>
    <row r="1011">
      <c r="J1011" s="29"/>
    </row>
    <row r="1012">
      <c r="J1012" s="29"/>
    </row>
  </sheetData>
  <mergeCells count="7">
    <mergeCell ref="F20:I24"/>
    <mergeCell ref="K20:N24"/>
    <mergeCell ref="A59:I61"/>
    <mergeCell ref="A20:D26"/>
    <mergeCell ref="A50:D54"/>
    <mergeCell ref="K50:N56"/>
    <mergeCell ref="F50:I5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2023-02-14T11:15:23Z</dcterms:created>
  <dc:creator>Microsoft Office User</dc:creator>
</cp:coreProperties>
</file>